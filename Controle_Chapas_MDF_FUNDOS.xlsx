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600" firstSheet="1" activeTab="5" autoFilterDateGrouping="1"/>
  </bookViews>
  <sheets>
    <sheet name="PREÇOS MDF" sheetId="1" state="hidden" r:id="rId1"/>
    <sheet name="Controle de Fundos" sheetId="2" state="visible" r:id="rId2"/>
    <sheet name="Controle de Sobras MDF" sheetId="3" state="visible" r:id="rId3"/>
    <sheet name="REFERÊNCIA" sheetId="4" state="hidden" r:id="rId4"/>
    <sheet name="LISTA" sheetId="5" state="hidden" r:id="rId5"/>
    <sheet name="CHAPAS POR LOTE" sheetId="6" state="visible" r:id="rId6"/>
    <sheet name="PPN - PERDAS" sheetId="7" state="visible" r:id="rId7"/>
    <sheet name="REDUÇÃO" sheetId="8" state="hidden" r:id="rId8"/>
  </sheets>
  <definedNames>
    <definedName name="_xlcn.WorksheetConnection_Controle_Sobras_MDF_FUNDOS_ATUALIZADO.xlsxTabela10" hidden="1">Tabela10[]</definedName>
    <definedName name="_xlcn.WorksheetConnection_Controle_Sobras_MDF_FUNDOS_ATUALIZADO.xlsxTabelaSobras" hidden="1">TabelaSobras[]</definedName>
    <definedName name="_xlcn.WorksheetConnection_Controle_Sobras_MDF_FUNDOS_ATUALIZADO.xlsxTabelaSobras8" hidden="1">TabelaSobras8[]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0.00000"/>
    <numFmt numFmtId="166" formatCode="0.0000"/>
    <numFmt numFmtId="167" formatCode="yyyy-mm-dd h:mm:ss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sz val="8"/>
      <scheme val="minor"/>
    </font>
    <font>
      <name val="Courier New"/>
      <family val="2"/>
      <color indexed="8"/>
      <sz val="12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1"/>
      <scheme val="minor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b val="1"/>
      <color rgb="FFFF0000"/>
      <sz val="11"/>
      <scheme val="minor"/>
    </font>
    <font>
      <name val="Segoe UI"/>
      <family val="2"/>
      <color indexed="81"/>
      <sz val="8"/>
    </font>
    <font>
      <name val="Segoe UI"/>
      <family val="2"/>
      <b val="1"/>
      <color indexed="81"/>
      <sz val="8"/>
    </font>
    <font>
      <name val="Calibri"/>
      <family val="2"/>
      <color theme="1"/>
      <sz val="11"/>
      <u val="single"/>
      <scheme val="minor"/>
    </font>
  </fonts>
  <fills count="16">
    <fill>
      <patternFill/>
    </fill>
    <fill>
      <patternFill patternType="gray125"/>
    </fill>
    <fill>
      <gradientFill type="linear" degree="90">
        <stop position="0">
          <color theme="0"/>
        </stop>
        <stop position="1">
          <color theme="1"/>
        </stop>
      </gradient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4B"/>
        <bgColor indexed="64"/>
      </patternFill>
    </fill>
    <fill>
      <patternFill patternType="solid">
        <fgColor rgb="FFEDF69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theme="0" tint="-0.3499862666707358"/>
      </patternFill>
    </fill>
    <fill>
      <patternFill patternType="solid">
        <fgColor theme="9" tint="0.5999938962981048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5" fillId="0" borderId="0"/>
    <xf numFmtId="44" fontId="5" fillId="0" borderId="0"/>
    <xf numFmtId="9" fontId="5" fillId="0" borderId="0"/>
  </cellStyleXfs>
  <cellXfs count="18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6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pivotButton="0" quotePrefix="0" xfId="0"/>
    <xf numFmtId="1" fontId="0" fillId="0" borderId="1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/>
    </xf>
    <xf numFmtId="0" fontId="0" fillId="0" borderId="12" applyAlignment="1" pivotButton="0" quotePrefix="0" xfId="0">
      <alignment vertical="center" wrapText="1"/>
    </xf>
    <xf numFmtId="164" fontId="0" fillId="0" borderId="13" applyAlignment="1" pivotButton="0" quotePrefix="0" xfId="1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 wrapText="1"/>
    </xf>
    <xf numFmtId="164" fontId="0" fillId="0" borderId="17" applyAlignment="1" pivotButton="0" quotePrefix="0" xfId="1">
      <alignment horizont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2" fontId="7" fillId="0" borderId="18" applyAlignment="1" pivotButton="0" quotePrefix="0" xfId="0">
      <alignment horizontal="center" vertical="center"/>
    </xf>
    <xf numFmtId="2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1" fillId="0" borderId="23" applyAlignment="1" pivotButton="0" quotePrefix="0" xfId="2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6" fontId="0" fillId="7" borderId="0" applyAlignment="1" pivotButton="0" quotePrefix="0" xfId="0">
      <alignment horizontal="center" vertical="center"/>
    </xf>
    <xf numFmtId="1" fontId="0" fillId="7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0" fontId="1" fillId="0" borderId="0" applyAlignment="1" pivotButton="0" quotePrefix="0" xfId="2">
      <alignment horizontal="center" vertical="center"/>
    </xf>
    <xf numFmtId="4" fontId="0" fillId="0" borderId="0" applyAlignment="1" pivotButton="0" quotePrefix="0" xfId="0">
      <alignment horizontal="center" vertical="center"/>
    </xf>
    <xf numFmtId="10" fontId="1" fillId="0" borderId="0" applyAlignment="1" pivotButton="0" quotePrefix="0" xfId="2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0" fontId="0" fillId="0" borderId="0" applyAlignment="1" pivotButton="0" quotePrefix="0" xfId="2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10" fontId="1" fillId="5" borderId="0" applyAlignment="1" pivotButton="0" quotePrefix="0" xfId="2">
      <alignment horizontal="center" vertical="center"/>
    </xf>
    <xf numFmtId="4" fontId="0" fillId="5" borderId="0" applyAlignment="1" pivotButton="0" quotePrefix="0" xfId="0">
      <alignment horizontal="center" vertical="center"/>
    </xf>
    <xf numFmtId="10" fontId="0" fillId="0" borderId="5" applyAlignment="1" pivotButton="0" quotePrefix="0" xfId="2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10" fontId="1" fillId="6" borderId="0" applyAlignment="1" pivotButton="0" quotePrefix="0" xfId="2">
      <alignment horizontal="center" vertical="center"/>
    </xf>
    <xf numFmtId="4" fontId="0" fillId="6" borderId="0" applyAlignment="1" pivotButton="0" quotePrefix="0" xfId="0">
      <alignment horizontal="center" vertical="center"/>
    </xf>
    <xf numFmtId="0" fontId="0" fillId="0" borderId="0" applyAlignment="1" pivotButton="0" quotePrefix="0" xfId="2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/>
    </xf>
    <xf numFmtId="0" fontId="13" fillId="8" borderId="11" applyAlignment="1" pivotButton="0" quotePrefix="0" xfId="0">
      <alignment horizontal="center" vertical="center"/>
    </xf>
    <xf numFmtId="0" fontId="13" fillId="12" borderId="11" applyAlignment="1" pivotButton="0" quotePrefix="0" xfId="0">
      <alignment horizontal="center" vertical="center"/>
    </xf>
    <xf numFmtId="0" fontId="13" fillId="12" borderId="12" applyAlignment="1" pivotButton="0" quotePrefix="0" xfId="0">
      <alignment horizontal="center" vertical="center"/>
    </xf>
    <xf numFmtId="2" fontId="0" fillId="0" borderId="11" applyAlignment="1" pivotButton="0" quotePrefix="0" xfId="0">
      <alignment horizontal="center" vertical="center"/>
    </xf>
    <xf numFmtId="0" fontId="13" fillId="12" borderId="12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14" fontId="0" fillId="0" borderId="23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3" fontId="1" fillId="0" borderId="0" applyAlignment="1" pivotButton="0" quotePrefix="0" xfId="2">
      <alignment horizontal="center" vertical="center"/>
    </xf>
    <xf numFmtId="0" fontId="13" fillId="9" borderId="29" applyAlignment="1" pivotButton="0" quotePrefix="0" xfId="0">
      <alignment horizontal="center"/>
    </xf>
    <xf numFmtId="10" fontId="13" fillId="8" borderId="0" applyAlignment="1" pivotButton="0" quotePrefix="0" xfId="2">
      <alignment horizontal="center"/>
    </xf>
    <xf numFmtId="16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 wrapText="1"/>
    </xf>
    <xf numFmtId="10" fontId="0" fillId="0" borderId="15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center" vertical="center"/>
    </xf>
    <xf numFmtId="0" fontId="2" fillId="0" borderId="19" applyAlignment="1" pivotButton="0" quotePrefix="1" xfId="0">
      <alignment horizontal="center" vertical="center" wrapText="1"/>
    </xf>
    <xf numFmtId="16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16" fontId="0" fillId="13" borderId="0" applyAlignment="1" pivotButton="0" quotePrefix="0" xfId="0">
      <alignment horizontal="center" vertical="center"/>
    </xf>
    <xf numFmtId="1" fontId="0" fillId="1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16" fontId="9" fillId="6" borderId="0" applyAlignment="1" pivotButton="0" quotePrefix="0" xfId="0">
      <alignment horizontal="center" vertical="center"/>
    </xf>
    <xf numFmtId="1" fontId="9" fillId="6" borderId="0" applyAlignment="1" pivotButton="0" quotePrefix="0" xfId="0">
      <alignment horizontal="center" vertical="center"/>
    </xf>
    <xf numFmtId="14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 wrapText="1"/>
    </xf>
    <xf numFmtId="0" fontId="0" fillId="8" borderId="28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1" fillId="8" borderId="0" applyAlignment="1" pivotButton="0" quotePrefix="0" xfId="2">
      <alignment horizontal="center" vertical="center"/>
    </xf>
    <xf numFmtId="166" fontId="0" fillId="8" borderId="0" applyAlignment="1" pivotButton="0" quotePrefix="0" xfId="0">
      <alignment horizontal="center" vertical="center"/>
    </xf>
    <xf numFmtId="10" fontId="1" fillId="8" borderId="0" applyAlignment="1" pivotButton="0" quotePrefix="0" xfId="2">
      <alignment horizontal="center" vertical="center"/>
    </xf>
    <xf numFmtId="2" fontId="0" fillId="8" borderId="0" applyAlignment="1" pivotButton="0" quotePrefix="0" xfId="0">
      <alignment horizontal="center" vertical="center"/>
    </xf>
    <xf numFmtId="0" fontId="1" fillId="14" borderId="30" applyAlignment="1" pivotButton="0" quotePrefix="0" xfId="2">
      <alignment horizontal="center" vertical="center"/>
    </xf>
    <xf numFmtId="10" fontId="1" fillId="14" borderId="30" applyAlignment="1" pivotButton="0" quotePrefix="0" xfId="2">
      <alignment horizontal="center" vertical="center"/>
    </xf>
    <xf numFmtId="0" fontId="1" fillId="10" borderId="30" applyAlignment="1" pivotButton="0" quotePrefix="0" xfId="2">
      <alignment horizontal="center" vertical="center"/>
    </xf>
    <xf numFmtId="10" fontId="1" fillId="10" borderId="30" applyAlignment="1" pivotButton="0" quotePrefix="0" xfId="2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1" fontId="0" fillId="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1" fontId="1" fillId="15" borderId="0" applyAlignment="1" pivotButton="0" quotePrefix="0" xfId="0">
      <alignment horizontal="center" vertical="center"/>
    </xf>
    <xf numFmtId="1" fontId="0" fillId="15" borderId="0" applyAlignment="1" pivotButton="0" quotePrefix="0" xfId="0">
      <alignment horizontal="center" vertical="center"/>
    </xf>
    <xf numFmtId="16" fontId="0" fillId="15" borderId="0" applyAlignment="1" pivotButton="0" quotePrefix="0" xfId="0">
      <alignment horizontal="center" vertical="center"/>
    </xf>
    <xf numFmtId="16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14" fontId="0" fillId="5" borderId="0" applyAlignment="1" pivotButton="0" quotePrefix="0" xfId="0">
      <alignment horizontal="center" vertical="center"/>
    </xf>
    <xf numFmtId="0" fontId="0" fillId="5" borderId="28" applyAlignment="1" pivotButton="0" quotePrefix="0" xfId="0">
      <alignment horizontal="center" vertical="center"/>
    </xf>
    <xf numFmtId="0" fontId="1" fillId="5" borderId="0" applyAlignment="1" pivotButton="0" quotePrefix="0" xfId="2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10" borderId="18" applyAlignment="1" pivotButton="0" quotePrefix="0" xfId="0">
      <alignment horizontal="center" vertical="center"/>
    </xf>
    <xf numFmtId="0" fontId="0" fillId="14" borderId="18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10" fontId="1" fillId="0" borderId="0" applyAlignment="1" pivotButton="0" quotePrefix="0" xfId="2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4" fontId="0" fillId="2" borderId="20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3" fillId="12" borderId="15" applyAlignment="1" pivotButton="0" quotePrefix="0" xfId="0">
      <alignment horizontal="center" vertical="center"/>
    </xf>
    <xf numFmtId="0" fontId="13" fillId="12" borderId="25" applyAlignment="1" pivotButton="0" quotePrefix="0" xfId="0">
      <alignment horizontal="center" vertical="center"/>
    </xf>
    <xf numFmtId="0" fontId="13" fillId="12" borderId="26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3" fillId="12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0" fillId="0" borderId="13" applyAlignment="1" pivotButton="0" quotePrefix="0" xfId="1">
      <alignment horizontal="center" vertical="center" wrapText="1"/>
    </xf>
    <xf numFmtId="164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0" pivotButton="0" quotePrefix="0" xfId="0"/>
    <xf numFmtId="166" fontId="0" fillId="8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4" fontId="0" fillId="0" borderId="0" pivotButton="0" quotePrefix="0" xfId="0"/>
    <xf numFmtId="0" fontId="13" fillId="12" borderId="3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5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138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  <alignment horizontal="center" vertical="center"/>
    </dxf>
    <dxf>
      <border>
        <bottom style="thin">
          <color indexed="64"/>
        </bottom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/>
    </dxf>
    <dxf>
      <numFmt numFmtId="0" formatCode="General"/>
      <alignment horizontal="center" vertical="center"/>
    </dxf>
    <dxf>
      <numFmt numFmtId="0" formatCode="General"/>
      <alignment horizontal="center" vertical="bottom"/>
    </dxf>
    <dxf>
      <numFmt numFmtId="0" formatCode="General"/>
      <alignment horizontal="center" vertical="center"/>
    </dxf>
    <dxf>
      <numFmt numFmtId="4" formatCode="#,##0.00"/>
      <alignment horizontal="center" vertical="bottom"/>
    </dxf>
    <dxf>
      <numFmt numFmtId="4" formatCode="#,##0.00"/>
      <alignment horizontal="center" vertical="center"/>
    </dxf>
    <dxf>
      <alignment horizontal="center" vertical="bottom"/>
    </dxf>
    <dxf>
      <alignment horizontal="center" vertical="center"/>
    </dxf>
    <dxf>
      <numFmt numFmtId="0" formatCode="General"/>
      <alignment horizontal="center" vertical="bottom"/>
    </dxf>
    <dxf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numFmt numFmtId="0" formatCode="General"/>
      <alignment horizontal="center" vertical="bottom"/>
    </dxf>
    <dxf>
      <numFmt numFmtId="0" formatCode="General"/>
      <alignment horizontal="center" vertical="center"/>
    </dxf>
    <dxf>
      <alignment horizontal="center" vertical="bottom"/>
      <border outline="0">
        <left style="thin">
          <color theme="0"/>
        </left>
        <right/>
        <top/>
        <bottom/>
      </border>
    </dxf>
    <dxf>
      <alignment horizontal="center" vertical="center"/>
      <border outline="0">
        <left style="thin">
          <color theme="0"/>
        </left>
        <right/>
        <top/>
        <bottom/>
      </border>
    </dxf>
    <dxf>
      <numFmt numFmtId="0" formatCode="General"/>
      <alignment horizontal="center" vertical="bottom"/>
      <border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  <alignment horizontal="center" vertical="center"/>
      <border outline="0">
        <left/>
        <right style="thin">
          <color theme="0"/>
        </right>
      </border>
    </dxf>
    <dxf>
      <alignment horizontal="center" vertical="center" wrapText="1"/>
    </dxf>
    <dxf>
      <alignment horizontal="center" vertical="bottom"/>
    </dxf>
    <dxf>
      <numFmt numFmtId="19" formatCode="dd/mm/yyyy"/>
      <alignment horizontal="center"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/>
    </dxf>
    <dxf>
      <alignment horizontal="center" vertical="bottom"/>
    </dxf>
    <dxf>
      <numFmt numFmtId="1" formatCode="0"/>
      <alignment horizontal="center" vertical="center"/>
    </dxf>
    <dxf>
      <numFmt numFmtId="21" formatCode="dd/mmm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b val="1"/>
      </font>
      <alignment horizontal="center" vertical="center"/>
    </dxf>
    <dxf>
      <font>
        <b val="1"/>
      </font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strike val="0"/>
        <outline val="0"/>
        <shadow val="0"/>
        <color theme="0"/>
        <sz val="11"/>
        <vertAlign val="baseline"/>
      </font>
      <alignment horizontal="center" vertic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b val="1"/>
      </font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b val="1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strike val="0"/>
        <outline val="0"/>
        <shadow val="0"/>
        <color theme="0"/>
        <sz val="11"/>
        <vertAlign val="baseline"/>
      </font>
      <alignment horizontal="center" vertical="center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1"/>
        <sz val="14"/>
      </font>
      <border>
        <bottom style="thin">
          <color rgb="FFBFA12C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  <dxf>
      <font>
        <b val="1"/>
        <color theme="1"/>
        <sz val="20"/>
      </font>
      <border>
        <left/>
        <right/>
        <top/>
        <bottom style="thin">
          <color theme="1"/>
        </bottom>
        <vertical/>
        <horizontal/>
      </border>
    </dxf>
    <dxf>
      <font>
        <color theme="0"/>
      </font>
      <fill>
        <patternFill patternType="solid">
          <fgColor rgb="FFFFFFE1"/>
          <bgColor theme="0" tint="-0.0499893185216834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Estilo1" pivot="0" table="0" count="10">
      <tableStyleElement type="wholeTable" dxfId="137"/>
      <tableStyleElement type="headerRow" dxfId="136"/>
    </tableStyle>
    <tableStyle name="Estilo2" pivot="0" table="0" count="10">
      <tableStyleElement type="wholeTable" dxfId="135"/>
      <tableStyleElement type="headerRow" dxfId="13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Yuri Rangel</author>
  </authors>
  <commentList>
    <comment ref="F137" authorId="0" shapeId="0">
      <text>
        <t>Yuri Rangel:
CRÉDITO</t>
      </text>
    </comment>
    <comment ref="O143" authorId="0" shapeId="0">
      <text>
        <t>Yuri Rangel:
CONFERIDO NO DIA 13/02/26</t>
      </text>
    </comment>
    <comment ref="K144" authorId="0" shapeId="0">
      <text>
        <t>Yuri Rangel:
CONFERIDO NO DIA 13/02/26</t>
      </text>
    </comment>
    <comment ref="L149" authorId="0" shapeId="0">
      <text>
        <t>Yuri Rangel:
ENVIADO DA NESHER P/ LÍDER</t>
      </text>
    </comment>
    <comment ref="H213" authorId="0" shapeId="0">
      <text>
        <t>Yuri Rangel:
34 AO LADO DA TECMATIC</t>
      </text>
    </comment>
  </commentList>
</comments>
</file>

<file path=xl/comments/comment2.xml><?xml version="1.0" encoding="utf-8"?>
<comments xmlns="http://schemas.openxmlformats.org/spreadsheetml/2006/main">
  <authors>
    <author>Yuri Rangel</author>
  </authors>
  <commentList>
    <comment ref="I24" authorId="0" shapeId="0">
      <text>
        <t>Yuri Rangel:
32 PEÇAS DO PLANO DE CORTE DA PEÇA P/PORTA</t>
      </text>
    </comment>
    <comment ref="I25" authorId="0" shapeId="0">
      <text>
        <t>Yuri Rangel:
FRENTES DE GAVETA COM CANAL ERRADO</t>
      </text>
    </comment>
    <comment ref="O54" authorId="0" shapeId="0">
      <text>
        <t>Yuri Rangel:
CORTOU EM MESSIAS</t>
      </text>
    </comment>
    <comment ref="A55" authorId="0" shapeId="0">
      <text>
        <t>Yuri Rangel:
SOBRAS DAS 6 CHAPAS QUE CORTARAM A MAIS PARA NÃO VOLTAR PARA O ESTOQUE</t>
      </text>
    </comment>
    <comment ref="A64" authorId="0" shapeId="0">
      <text>
        <t>Yuri Rangel:
PORTAS DE VIDRO - RAINHA</t>
      </text>
    </comment>
    <comment ref="I69" authorId="0" shapeId="0">
      <text>
        <t>Yuri Rangel:
+600 DO N26032 RAINHA 1200</t>
      </text>
    </comment>
    <comment ref="I72" authorId="0" shapeId="0">
      <text>
        <t>Yuri Rangel: CONFERIR TAMANHO EMBAIXO DA LONA 148 PÇS.
RESTANTE OK</t>
      </text>
    </comment>
    <comment ref="I73" authorId="0" shapeId="0">
      <text>
        <t>Yuri Rangel:
LONA</t>
      </text>
    </comment>
    <comment ref="A81" authorId="0" shapeId="0">
      <text>
        <t>Yuri Rangel:
PORTAS DE VIDRO - RAINHA</t>
      </text>
    </comment>
  </commentList>
</comments>
</file>

<file path=xl/comments/comment3.xml><?xml version="1.0" encoding="utf-8"?>
<comments xmlns="http://schemas.openxmlformats.org/spreadsheetml/2006/main">
  <authors>
    <author>Yuri Rangel</author>
    <author>Estevao de Oliveira Silva</author>
  </authors>
  <commentList>
    <comment ref="L317" authorId="0" shapeId="0">
      <text>
        <t>Yuri Rangel:
APROVEITAMENDO DOS LOTES ANTERIORES</t>
      </text>
    </comment>
    <comment ref="F335" authorId="0" shapeId="0">
      <text>
        <t>Yuri Rangel:
4 CHAPAS A MAIS POR REPLANEJAMENTO DO TAMANHO DOS PRODUTOS (5 MM A MAIS) | REPLANEJAMENTO POR CONTA PRÓPRIA DA PRODUÇÃO</t>
      </text>
    </comment>
    <comment ref="F336" authorId="0" shapeId="0">
      <text>
        <t xml:space="preserve">Yuri Rangel:
ERA 454 CHAPAS, PORÉM NA FOLHA DE ADÃO FOI REGISTRADO APENAS 370 CHAPAS. AGUARDANDO A CONFIRMAÇÃO DO OPERADOR NO DIA 05/01/2026.
</t>
      </text>
    </comment>
    <comment ref="F338" authorId="0" shapeId="0">
      <text>
        <t xml:space="preserve">Yuri Rangel:
REPLANEJADO
</t>
      </text>
    </comment>
    <comment ref="F346" authorId="0" shapeId="0">
      <text>
        <t>Yuri Rangel:
154 PEÇAS DESCONTADAS</t>
      </text>
    </comment>
    <comment ref="B366" authorId="0" shapeId="0">
      <text>
        <t xml:space="preserve">Yuri Rangel:
APROVEITADO DE REFUGOS
</t>
      </text>
    </comment>
    <comment ref="B367" authorId="0" shapeId="0">
      <text>
        <t>Yuri Rangel:
AINDA NÃO FOI CORTADO
Atualização: 15/12/25</t>
      </text>
    </comment>
    <comment ref="B368" authorId="0" shapeId="0">
      <text>
        <t>Yuri Rangel:
AINDA NÃO FOI CORTADO
Atualização: 15/12/25</t>
      </text>
    </comment>
    <comment ref="F387" authorId="0" shapeId="0">
      <text>
        <t>Yuri Rangel:
ESTAVA 132, MAS O CORRETO É 66</t>
      </text>
    </comment>
    <comment ref="F388" authorId="0" shapeId="0">
      <text>
        <t>Yuri Rangel:
ESTAVA 22 CHAPAS, MAS O CORRETO É 12 CHAPAS.</t>
      </text>
    </comment>
    <comment ref="F391" authorId="0" shapeId="0">
      <text>
        <t>Yuri Rangel:
REPLANEJAMENTO POR CONTA DAS BANCADAS CORTADAS DA TECMATIC</t>
      </text>
    </comment>
    <comment ref="L391" authorId="0" shapeId="0">
      <text>
        <t>Yuri Rangel:
550 - 343x297 EM ESTOQUE
64 - 780X297 EM ESTOQUE</t>
      </text>
    </comment>
    <comment ref="F392" authorId="0" shapeId="0">
      <text>
        <t>Yuri Rangel:
ATUALIZAÇÃO DO PLANO MESTRE - V03 DESCEU</t>
      </text>
    </comment>
    <comment ref="F398" authorId="0" shapeId="0">
      <text>
        <t xml:space="preserve">Yuri Rangel:
Havia mais 42 peças sobrando </t>
      </text>
    </comment>
    <comment ref="L400" authorId="0" shapeId="0">
      <text>
        <t>Yuri Rangel:
RODAPÉ</t>
      </text>
    </comment>
    <comment ref="F401" authorId="0" shapeId="0">
      <text>
        <t>Yuri Rangel:
48 CHAPAS A MAIS ADICIONADAS NO DIA 28/01/26 - SOMENTE PARA PEÇA P-PORTA</t>
      </text>
    </comment>
    <comment ref="L401" authorId="0" shapeId="0">
      <text>
        <t>Yuri Rangel:
SOBRAS DE 70 E 90</t>
      </text>
    </comment>
    <comment ref="L404" authorId="0" shapeId="0">
      <text>
        <t>Yuri Rangel:
A ESTRUTURA CONSTA 7% DE PERDA, MAS NÃO É O CORRETO.</t>
      </text>
    </comment>
    <comment ref="F407" authorId="0" shapeId="0">
      <text>
        <t>Yuri Rangel:
-25 PARA LAT 670X500</t>
      </text>
    </comment>
    <comment ref="L407" authorId="0" shapeId="0">
      <text>
        <t>Yuri Rangel:
244 SOBRAS DE GAVETÃO
400 SOBRAS DE LAT 670X500</t>
      </text>
    </comment>
    <comment ref="B408" authorId="0" shapeId="0">
      <text>
        <t>Yuri Rangel:
PASSAR E-MAIL | 12 PEÇAS DE SOBRA ABATIDAS</t>
      </text>
    </comment>
    <comment ref="B409" authorId="0" shapeId="0">
      <text>
        <t>Yuri Rangel:
15 PEÇAS ABATIDAS, 14 SÃO CRÉDITO DE UM REFUGO DO TAMPO DE 160 TRANSFORMADO EM 120.</t>
      </text>
    </comment>
    <comment ref="F409" authorId="0" shapeId="0">
      <text>
        <t>Yuri Rangel:
6 CHAPAS A MAIS PARA NÃO PRECISAR VOLTAR PARA O ESTOQUE. 18 SOBRAS DE TAMPO 120 PARA P´RPXIMO LOTE.</t>
      </text>
    </comment>
    <comment ref="L410" authorId="0" shapeId="0">
      <text>
        <t>Yuri Rangel:
SOBRAS PARA N26015</t>
      </text>
    </comment>
    <comment ref="L411" authorId="0" shapeId="0">
      <text>
        <t>Yuri Rangel:
SOBRAS PARA PRÓXIMO ARM MULTIUSO</t>
      </text>
    </comment>
    <comment ref="L412" authorId="0" shapeId="0">
      <text>
        <t>Yuri Rangel:
SOBRAS PARA P´ROXIMO LOTE DE KIT + LATERAIS DE GAVETA</t>
      </text>
    </comment>
    <comment ref="L414" authorId="0" shapeId="0">
      <text>
        <t>Yuri Rangel:
SOBRAS PARA N26006</t>
      </text>
    </comment>
    <comment ref="B416" authorId="0" shapeId="0">
      <text>
        <t>Yuri Rangel:
12 PEÇAS ABATIDAS</t>
      </text>
    </comment>
    <comment ref="L416" authorId="0" shapeId="0">
      <text>
        <t>Yuri Rangel:
SOBRAS E ASSENTO PARA O RAINHA (PADRÃO)</t>
      </text>
    </comment>
    <comment ref="B417" authorId="0" shapeId="0">
      <text>
        <t>Yuri Rangel: 74 PÇS ABATIDAS</t>
      </text>
    </comment>
    <comment ref="F417" authorId="0" shapeId="0">
      <text>
        <t>Yuri Rangel:
ALTERAÇÃO DE 85 CHAPAS PARA 77 - APROVEITAMENTO DE 229 PEÇAS DE REFUGOS PARA O ASSENTO.</t>
      </text>
    </comment>
    <comment ref="L418" authorId="0" shapeId="0">
      <text>
        <t>Yuri Rangel:
SOBRAS PARA NESHER E PARA O ESTOQUE</t>
      </text>
    </comment>
    <comment ref="D419" authorId="0" shapeId="0">
      <text>
        <t>Yuri Rangel:
DAS 60 CHAPAS DE REPOSIÇÃO - 790X500 120pçs</t>
      </text>
    </comment>
    <comment ref="B420" authorId="0" shapeId="0">
      <text>
        <t>Yuri Rangel: 229 peças de Crédito</t>
      </text>
    </comment>
    <comment ref="B421" authorId="0" shapeId="0">
      <text>
        <t>5600 PÇS 475X139 (REFUGOS) USADAS EM 1860 ENCOSTOS.
R$850 economizados</t>
      </text>
    </comment>
    <comment ref="F422" authorId="0" shapeId="0">
      <text>
        <t xml:space="preserve">Yuri Rangel: 23 CHAPAS INCLUSAS QUE FALTOU DA PEÇA 780X500
</t>
      </text>
    </comment>
    <comment ref="L422" authorId="0" shapeId="0">
      <text>
        <t>Yuri Rangel:
APROVEITAMENTO DE GAVETINHA E GAVETÕES DO ESTOQUE</t>
      </text>
    </comment>
    <comment ref="B424" authorId="0" shapeId="0">
      <text>
        <t>Yuri Rangel:
SOMENTE PANELEIRO</t>
      </text>
    </comment>
    <comment ref="L424" authorId="0" shapeId="0">
      <text>
        <t>Yuri Rangel:
APROVEITAMENTO DE SOBRAS</t>
      </text>
    </comment>
    <comment ref="B425" authorId="0" shapeId="0">
      <text>
        <t>Yuri Rangel:
RESTANTE DOS LOTES</t>
      </text>
    </comment>
    <comment ref="L426" authorId="0" shapeId="0">
      <text>
        <t>Yuri Rangel:
SOBRAS DE GAVETÃO</t>
      </text>
    </comment>
    <comment ref="L427" authorId="0" shapeId="0">
      <text>
        <t>Yuri Rangel:
- SOBRAS DE GAVETÃO
- RÉGUA 705X70 DOS ARMARIOS, QUE COMPLETARIAM O PANELEIRO, PORÉM TIVEMOS QUE ADIANTAR AS BANCADAS E CORTAR 2 CHAPAS A MAIS, ASSIM SOBRANDO ESSAS PEÇAS DOS ARMARIOS.</t>
      </text>
    </comment>
    <comment ref="F428" authorId="0" shapeId="0">
      <text>
        <t>Yuri Rangel:
REPLAN DE BANCADAS</t>
      </text>
    </comment>
    <comment ref="L428" authorId="0" shapeId="0">
      <text>
        <t>Yuri Rangel:
1200 SOBRAS DE 302X85 E PERDA 5,18%</t>
      </text>
    </comment>
    <comment ref="L442" authorId="0" shapeId="0">
      <text>
        <t>Yuri Rangel:
SOBRAS PARA ESTOQUE</t>
      </text>
    </comment>
    <comment ref="L443" authorId="0" shapeId="0">
      <text>
        <t>Yuri Rangel:
SOBRAS 462X398 PARA KITS</t>
      </text>
    </comment>
    <comment ref="L444" authorId="0" shapeId="0">
      <text>
        <t>Yuri Rangel:
APROVEITAMENTO DE SOBRAS DO 002 E 001 | RECORTE DE PEÇAS DA LÍDER</t>
      </text>
    </comment>
    <comment ref="H445" authorId="0" shapeId="0">
      <text>
        <t>Yuri Rangel:
697x398</t>
      </text>
    </comment>
    <comment ref="L446" authorId="0" shapeId="0">
      <text>
        <t>Yuri Rangel:
PEÇAS PARA BALC 80 REAL PREMIUM | SOBRAS DE GAVETÃO E LATERAL 343X297 | RÉGUAS PARA LOFT</t>
      </text>
    </comment>
    <comment ref="L447" authorId="0" shapeId="0">
      <text>
        <t>Yuri Rangel:
APROVEITAMENTO</t>
      </text>
    </comment>
    <comment ref="L448" authorId="0" shapeId="0">
      <text>
        <t>Yuri Rangel:
PEÇAS CORTADAS NO PAN E BALC 1200 REALEZA PREMIUM</t>
      </text>
    </comment>
    <comment ref="L449" authorId="0" shapeId="0">
      <text>
        <t>Yuri Rangel:
150 EM ESTOQUE</t>
      </text>
    </comment>
    <comment ref="L454" authorId="0" shapeId="0">
      <text>
        <t>Yuri Rangel:
FOI UTILIZADO GAVETÕES DE SOBRA</t>
      </text>
    </comment>
    <comment ref="L455" authorId="0" shapeId="0">
      <text>
        <t>Yuri Rangel:
APROVEITAMENTO DE 40 PLACAS DE SOBRAS</t>
      </text>
    </comment>
    <comment ref="L456" authorId="0" shapeId="0">
      <text>
        <t>Yuri Rangel:
JUNTO AO N2601101</t>
      </text>
    </comment>
    <comment ref="L457" authorId="0" shapeId="0">
      <text>
        <t xml:space="preserve">Yuri Rangel:
SOBRAS PARA PRÓXIMO LOTE - N26008
</t>
      </text>
    </comment>
    <comment ref="L464" authorId="0" shapeId="0">
      <text>
        <t>Yuri Rangel:
SOBRAS DE GAVETÃO E GAVETINHA</t>
      </text>
    </comment>
    <comment ref="L466" authorId="0" shapeId="0">
      <text>
        <t>Yuri Rangel:
SOBRAS PARA REALEZA PREMIUM</t>
      </text>
    </comment>
    <comment ref="L467" authorId="0" shapeId="0">
      <text>
        <t>Yuri Rangel:
SOBRAS PARA ESTOQUE E LOTES FUTUROS</t>
      </text>
    </comment>
    <comment ref="L468" authorId="0" shapeId="0">
      <text>
        <t>Yuri Rangel: SOBRAS DO REALEZA PREMIUM</t>
      </text>
    </comment>
    <comment ref="F469" authorId="0" shapeId="0">
      <text>
        <t>Yuri Rangel:
25 CHAPAS FOI ADIANTADO PARA PEÇA P/PORTA - O RESTANTE FOI PARA O CAIXOTE</t>
      </text>
    </comment>
    <comment ref="L469" authorId="0" shapeId="0">
      <text>
        <t>Yuri Rangel:
ADIANTAMENTO DE LAT.GAV.MENOR PARA ESTOQUE</t>
      </text>
    </comment>
    <comment ref="L473" authorId="0" shapeId="0">
      <text>
        <t>Yuri Rangel:
 O LOTE FOI FEITO JUNTO AO N26014</t>
      </text>
    </comment>
    <comment ref="L474" authorId="0" shapeId="0">
      <text>
        <t>Yuri Rangel:
SOBRAS DE LAT DE GAVETA (MUITOS ARMARIOS QUE NÃO REPRESENTAM A PERDA ABAIXO DE 7%)</t>
      </text>
    </comment>
    <comment ref="B476" authorId="0" shapeId="0">
      <text>
        <t>Yuri Rangel:
SOBRA DOIS TAMPOS 160</t>
      </text>
    </comment>
    <comment ref="L476" authorId="0" shapeId="0">
      <text>
        <t>Yuri Rangel:
SOBRAS PARA REALEZA PREMIUM</t>
      </text>
    </comment>
    <comment ref="L477" authorId="0" shapeId="0">
      <text>
        <t>Yuri Rangel:
SOBRAS PARA O N26013</t>
      </text>
    </comment>
    <comment ref="L478" authorId="0" shapeId="0">
      <text>
        <t>Yuri Rangel:
SOBRAS DO N261001</t>
      </text>
    </comment>
    <comment ref="L479" authorId="0" shapeId="0">
      <text>
        <t>Yuri Rangel:
SOBRAS PARA LOTES FUTUROS, NESSE LOTE TINHA APENAS PEÇAS COM MEDIDAS DE 795 "BALCÃO"</t>
      </text>
    </comment>
    <comment ref="L480" authorId="0" shapeId="0">
      <text>
        <t xml:space="preserve">Yuri Rangel:
</t>
      </text>
    </comment>
    <comment ref="L481" authorId="0" shapeId="0">
      <text>
        <t>Yuri Rangel:
FUNDOS PARA N26005 BR E PARA ESTOQUE</t>
      </text>
    </comment>
    <comment ref="L482" authorId="0" shapeId="0">
      <text>
        <t>Yuri Rangel:
SOBRAS PARA ESTOQUE E PRÓXIMOS LOTES</t>
      </text>
    </comment>
    <comment ref="F483" authorId="0" shapeId="0">
      <text>
        <t>Yuri Rangel:
REPLANEJAMENTO DE 138 PARA 105, POIS AS PORTAS IRÃO SER CORTADAS NA LÍDER</t>
      </text>
    </comment>
    <comment ref="L483" authorId="0" shapeId="0">
      <text>
        <t>Yuri Rangel:
ARMARIOS, SOBRAS DE 70 E DE GAVETÃO.</t>
      </text>
    </comment>
    <comment ref="B484" authorId="0" shapeId="0">
      <text>
        <t>Yuri Rangel:
APENAS PEÇA/PORTA</t>
      </text>
    </comment>
    <comment ref="L485" authorId="0" shapeId="0">
      <text>
        <t>Yuri Rangel:
APROVEITAMENTO DE GAVETÃO</t>
      </text>
    </comment>
    <comment ref="L486" authorId="0" shapeId="0">
      <text>
        <t>Yuri Rangel:
APROVEITAMENTO DE FUNDO DE GAVETA</t>
      </text>
    </comment>
    <comment ref="L487" authorId="0" shapeId="0">
      <text>
        <t>Yuri Rangel:
SOBRAS PARA N2601605 E 09</t>
      </text>
    </comment>
    <comment ref="F494" authorId="0" shapeId="0">
      <text>
        <t>Yuri Rangel:
FOI REQUISITADA POR FALTA DE SOBRAS - VERIFICADO PELO M&amp;P</t>
      </text>
    </comment>
    <comment ref="B495" authorId="0" shapeId="0">
      <text>
        <t xml:space="preserve">Yuri Rangel:
APENAS PEÇA P/PORTA - FEITO NA LÍDER
</t>
      </text>
    </comment>
    <comment ref="L495" authorId="0" shapeId="0">
      <text>
        <t>Yuri Rangel:
SOBRAS DE GAVETÃO E AFASTADOR</t>
      </text>
    </comment>
    <comment ref="F496" authorId="0" shapeId="0">
      <text>
        <t>Yuri Rangel:
5 CHAPAS A MAIS POR FALTA DA SOBRA QUE SAIRIA DO LOTE DE VIDRO, QUE ESTAVA SEM PREVISÃO PARA CORTE</t>
      </text>
    </comment>
    <comment ref="L496" authorId="0" shapeId="0">
      <text>
        <t>Yuri Rangel:
APROVEITAMENTO DE LATERAIS DE GAVETA</t>
      </text>
    </comment>
    <comment ref="L497" authorId="0" shapeId="0">
      <text>
        <t>Yuri Rangel:
SOBRAS PRO LOFT E PRO PANELEIRO PRINCESA</t>
      </text>
    </comment>
    <comment ref="L498" authorId="0" shapeId="0">
      <text>
        <t>Yuri Rangel:
SOBRAS PARA PRÓXIMO LOTE</t>
      </text>
    </comment>
    <comment ref="L499" authorId="0" shapeId="0">
      <text>
        <t>Yuri Rangel:
SOBRAS PARA REAL PREMIUM</t>
      </text>
    </comment>
    <comment ref="B500" authorId="0" shapeId="0">
      <text>
        <t>Yuri Rangel:
ILHA 200</t>
      </text>
    </comment>
    <comment ref="L500" authorId="0" shapeId="0">
      <text>
        <t>LAT.GAV MENOR DE SOBRA</t>
      </text>
    </comment>
    <comment ref="B501" authorId="0" shapeId="0">
      <text>
        <t>Yuri Rangel:
ARMARIOS VIDRO</t>
      </text>
    </comment>
    <comment ref="L501" authorId="0" shapeId="0">
      <text>
        <t>Yuri Rangel:
SOBRAS PARA REALEZA PREMIUM</t>
      </text>
    </comment>
    <comment ref="B502" authorId="0" shapeId="0">
      <text>
        <t>Yuri Rangel:
ARMARIOS VIDRO</t>
      </text>
    </comment>
    <comment ref="L502" authorId="0" shapeId="0">
      <text>
        <t>Yuri Rangel:AS PEÇAS P/PORTA FORAM CORTADAS NA LÍDER</t>
      </text>
    </comment>
    <comment ref="F504" authorId="0" shapeId="0">
      <text>
        <t>Yuri Rangel:
276 chapas cortadas na Nesher</t>
      </text>
    </comment>
    <comment ref="F505" authorId="0" shapeId="0">
      <text>
        <t xml:space="preserve">Yuri Rangel:
600 chapas até o momento 11/02/26
</t>
      </text>
    </comment>
    <comment ref="L505" authorId="0" shapeId="0">
      <text>
        <t>Yuri Rangel:
SOBRAS PARA LOFT E REAL PREMIUM</t>
      </text>
    </comment>
    <comment ref="B506" authorId="0" shapeId="0">
      <text>
        <t>Yuri Rangel:
LOFT IMPER</t>
      </text>
    </comment>
    <comment ref="F506" authorId="0" shapeId="0">
      <text>
        <t xml:space="preserve">Yuri Rangel:
232 CHAPAS LIBERADAS ATÉ O MOMENTO 11/02/26
</t>
      </text>
    </comment>
    <comment ref="L506" authorId="0" shapeId="0">
      <text>
        <t xml:space="preserve">Yuri Rangel:
APROVIETAMENTO DE GAVETINHAS </t>
      </text>
    </comment>
    <comment ref="B507" authorId="0" shapeId="0">
      <text>
        <t>Yuri Rangel:
REGISTRO</t>
      </text>
    </comment>
    <comment ref="L507" authorId="0" shapeId="0">
      <text>
        <t>Yuri Rangel:
APROVEITAMENTO DE SOBRAS DOS LOTES ANTERIORES E DOS LOTES DA NESHER</t>
      </text>
    </comment>
    <comment ref="B508" authorId="0" shapeId="0">
      <text>
        <t>Yuri Rangel:
REGISTRO</t>
      </text>
    </comment>
    <comment ref="L508" authorId="0" shapeId="0">
      <text>
        <t>Yuri Rangel:
SOBRAS DO LOTE ANTERIOR</t>
      </text>
    </comment>
    <comment ref="B509" authorId="0" shapeId="0">
      <text>
        <t xml:space="preserve">Yuri Rangel:
REGISTRO
</t>
      </text>
    </comment>
    <comment ref="L509" authorId="0" shapeId="0">
      <text>
        <t>Yuri Rangel:
SOBRAS PARA OS LOTES: I26006-07-08</t>
      </text>
    </comment>
    <comment ref="B510" authorId="0" shapeId="0">
      <text>
        <t>Yuri Rangel:
REGISTRO</t>
      </text>
    </comment>
    <comment ref="L510" authorId="0" shapeId="0">
      <text>
        <t>Yuri Rangel:
SOBRAS PARA I26007 E PARA NESHER</t>
      </text>
    </comment>
    <comment ref="L511" authorId="0" shapeId="0">
      <text>
        <t>Yuri Rangel:
SOBRAS</t>
      </text>
    </comment>
    <comment ref="B512" authorId="0" shapeId="0">
      <text>
        <t>Yuri Rangel:
REGISTRO</t>
      </text>
    </comment>
    <comment ref="L512" authorId="0" shapeId="0">
      <text>
        <t>Yuri Rangel:
SOBRAS</t>
      </text>
    </comment>
    <comment ref="L514" authorId="0" shapeId="0">
      <text>
        <t xml:space="preserve">Yuri Rangel:
UTILIZAÇÃO DE 
SOBRAS </t>
      </text>
    </comment>
    <comment ref="B515" authorId="0" shapeId="0">
      <text>
        <t>Yuri Rangel:
LOFT</t>
      </text>
    </comment>
    <comment ref="L515" authorId="0" shapeId="0">
      <text>
        <t>Yuri Rangel:
SOBRAS DE ERRO DE PROCESSO E DO LOTE ANTERIOR</t>
      </text>
    </comment>
    <comment ref="L516" authorId="0" shapeId="0">
      <text>
        <t>Yuri Rangel:
APROVEITO DE SOBRAS</t>
      </text>
    </comment>
    <comment ref="F517" authorId="0" shapeId="0">
      <text>
        <t>Yuri Rangel:
+ 54 CHAPAS DAS LATERAIS QUE FALTOU NO PLANO</t>
      </text>
    </comment>
    <comment ref="L517" authorId="0" shapeId="0">
      <text>
        <t>Yuri Rangel: LOTE N2601801 CORTADO JUNTO</t>
      </text>
    </comment>
    <comment ref="B519" authorId="0" shapeId="0">
      <text>
        <t>Yuri Rangel:
APENAS PEÇA P/PORTA - LOTE N2601707 + N2601801</t>
      </text>
    </comment>
    <comment ref="G519" authorId="0" shapeId="0">
      <text>
        <t>Yuri Rangel:
NÃO INCLUIR NA MÉDIA GLOBAL, JÁ ESTÁ INCLUSO NO N2601702 AO N2601707</t>
      </text>
    </comment>
    <comment ref="F520" authorId="0" shapeId="0">
      <text>
        <t xml:space="preserve">Yuri Rangel:
na prodção foram 45 chapas a + requisitadas por erro processo. Diminuiu 23 chapas do prox pdc
</t>
      </text>
    </comment>
    <comment ref="L529" authorId="0" shapeId="0">
      <text>
        <t>Yuri Rangel:
PORTAS DE VIDRO CORTADAS NO N26017-AROVEITAMENTO DE MIOLOS DAS PORTAS DE VIDRO</t>
      </text>
    </comment>
    <comment ref="F538" authorId="0" shapeId="0">
      <text>
        <t>Yuri Rangel:
de 185 para 162, por conta de sobras do lote anterior (Lote que teve erro de processo)</t>
      </text>
    </comment>
    <comment ref="L538" authorId="0" shapeId="0">
      <text>
        <t>Yuri Rangel:
APROVEITAMENTO DE SOBRAS DO LOTE ANTERIOR</t>
      </text>
    </comment>
    <comment ref="L539" authorId="0" shapeId="0">
      <text>
        <t>Yuri Rangel:
QUANTIDADE EXATA</t>
      </text>
    </comment>
    <comment ref="I540" authorId="0" shapeId="0">
      <text>
        <t>Yuri Rangel:
NA ESTRUTURA É CHAPA 2750X2200</t>
      </text>
    </comment>
    <comment ref="J540" authorId="0" shapeId="0">
      <text>
        <t>Yuri Rangel:
NA ESTRUTURA É CHAPA 2750X2200</t>
      </text>
    </comment>
    <comment ref="K540" authorId="0" shapeId="0">
      <text>
        <t>Yuri Rangel:
NA ESTRUTURA É CHAPA 2750X2200</t>
      </text>
    </comment>
    <comment ref="L540" authorId="0" shapeId="0">
      <text>
        <t>Yuri Rangel:
NA ESTRUTURA É CHAPA 2750X2200</t>
      </text>
    </comment>
    <comment ref="B543" authorId="0" shapeId="0">
      <text>
        <t>Yuri Rangel:
CONDESSA ARM 2PT  1200, APENAS PORTA DE VIDRO.</t>
      </text>
    </comment>
    <comment ref="D544" authorId="0" shapeId="0">
      <text>
        <t>Yuri Rangel:
SOBROU 442 PEÇAS DE 600X165</t>
      </text>
    </comment>
    <comment ref="B552" authorId="0" shapeId="0">
      <text>
        <t xml:space="preserve">Yuri Rangel:
SOBRA 20 PEÇAS </t>
      </text>
    </comment>
    <comment ref="B553" authorId="0" shapeId="0">
      <text>
        <t xml:space="preserve">Yuri Rangel:
SOBRA 16 PÇS
</t>
      </text>
    </comment>
    <comment ref="B554" authorId="0" shapeId="0">
      <text>
        <t>Yuri Rangel:
SOBRAS 15</t>
      </text>
    </comment>
    <comment ref="F558" authorId="0" shapeId="0">
      <text>
        <t xml:space="preserve">Yuri Rangel:
REPLAN DE 1118 PARA 1112 - REPLAN NO MULTIUSO, ESTAVA COM 30 PEÇAS A MAIS
</t>
      </text>
    </comment>
    <comment ref="L560" authorId="0" shapeId="0">
      <text>
        <t xml:space="preserve">Yuri Rangel:
SOBRAS P.PROX LOTE
</t>
      </text>
    </comment>
    <comment ref="L561" authorId="0" shapeId="0">
      <text>
        <t>Yuri Rangel:
PEÇAS PARA N26022</t>
      </text>
    </comment>
    <comment ref="F564" authorId="0" shapeId="0">
      <text>
        <t>Yuri Rangel:
COM BALANCEAMENTO</t>
      </text>
    </comment>
    <comment ref="F574" authorId="0" shapeId="0">
      <text>
        <t>APENAS PORTA DE VIDRO - ARM RFL 120</t>
      </text>
    </comment>
    <comment ref="F575" authorId="0" shapeId="0">
      <text>
        <t>Yuri Rangel:
REQUISIÇÃO DE 7 CHAPAS, POR FALTA DE SOBRAS DE 70, ADIANTARAM PARA PRÓXIMOS LOTE</t>
      </text>
    </comment>
    <comment ref="L575" authorId="0" shapeId="0">
      <text>
        <t>Yuri Rangel:
APROVEITAMENTO DO CORTE REPETIDO - PEÇA 765X428</t>
      </text>
    </comment>
    <comment ref="L583" authorId="0" shapeId="0">
      <text>
        <t>Yuri Rangel:
APROVEITAMENTO DE SOBRAS</t>
      </text>
    </comment>
    <comment ref="B584" authorId="0" shapeId="0">
      <text>
        <t>Yuri Rangel:
APENAS PORTAS DE VIDRO</t>
      </text>
    </comment>
    <comment ref="F585" authorId="0" shapeId="0">
      <text>
        <t>Yuri Rangel:
A PEÇA 1077X297 ESTAVA COM 600, PORÉM SÃO 300 PÇS</t>
      </text>
    </comment>
    <comment ref="F593" authorId="0" shapeId="0">
      <text>
        <t>Yuri Rangel:
de 520 para 483</t>
      </text>
    </comment>
    <comment ref="F595" authorId="0" shapeId="0">
      <text>
        <t>Yuri Rangel:
Foi adicionado 4 chapas a mais por conta de um replanejamento das divisões de 500 de largura para 503.</t>
      </text>
    </comment>
    <comment ref="F597" authorId="0" shapeId="0">
      <text>
        <t>Yuri Rangel:
+160 POIS O V02 É UM LOTE DE 600 | HAVIA MANDADO APENAS PARA 300</t>
      </text>
    </comment>
    <comment ref="L597" authorId="0" shapeId="0">
      <text>
        <t>KIT NOBREZA V01 2401 FOI CORTADO NO LOTE 23</t>
      </text>
    </comment>
    <comment ref="L599" authorId="0" shapeId="0">
      <text>
        <t>Yuri Rangel:
KIT NOBREZA 2401 JUNTO AO 2303</t>
      </text>
    </comment>
    <comment ref="F600" authorId="0" shapeId="0">
      <text>
        <t xml:space="preserve">Yuri Rangel:
KIT NOBREZA 160
</t>
      </text>
    </comment>
    <comment ref="F601" authorId="0" shapeId="0">
      <text>
        <t>Yuri Rangel:
KIT NOBREZA 210 - LOTE DE 600</t>
      </text>
    </comment>
    <comment ref="F602" authorId="0" shapeId="0">
      <text>
        <t>Yuri Rangel:
207 SOBRAS NO ESTOQUE</t>
      </text>
    </comment>
    <comment ref="D611" authorId="0" shapeId="0">
      <text>
        <t>Yuri Rangel:
KIT REALEZA 1600 E 2200</t>
      </text>
    </comment>
    <comment ref="H612" authorId="0" shapeId="0">
      <text>
        <t>Yuri Rangel:
PEÇA 600X165</t>
      </text>
    </comment>
    <comment ref="F614" authorId="0" shapeId="0">
      <text>
        <t>Yuri Rangel:
N2602603 FEITO JUNTO</t>
      </text>
    </comment>
    <comment ref="F619" authorId="0" shapeId="0">
      <text>
        <t>Yuri Rangel:
100%DE SOBRAS</t>
      </text>
    </comment>
    <comment ref="F655" authorId="0" shapeId="0">
      <text>
        <t>Yuri Rangel:
REPLANEJADO PARA 257 POR FALTA DE SOBRAS DE GAVETÃO</t>
      </text>
    </comment>
    <comment ref="F656" authorId="0" shapeId="0">
      <text>
        <t>Yuri Rangel:
14 CHAPAS REMOVIDAS PARA APROVEITAMENTO DE SOBRAS DAS PT DE VIDRO</t>
      </text>
    </comment>
    <comment ref="F657" authorId="0" shapeId="0">
      <text>
        <t>Yuri Rangel:
5 CHAPAS REMOVIDAS PARA APROVEITAMENTO DE SOBRAS - 542X165</t>
      </text>
    </comment>
    <comment ref="F659" authorId="0" shapeId="0">
      <text>
        <t>Yuri Rangel:
O RESTANTE DAS PEÇAS FORAM FEITAS DE TIRAS POR FALTA DE CHAPAS</t>
      </text>
    </comment>
    <comment ref="F666" authorId="0" shapeId="0">
      <text>
        <t>Yuri Rangel:
30 CHAPAS CORTADAS NA NESHER - PORTA DE VIDRO</t>
      </text>
    </comment>
    <comment ref="B668" authorId="0" shapeId="0">
      <text>
        <t>Yuri Rangel:
KIT RODAPÉ FEITO 100% DE SOBRAS DE MIOLO DE PT</t>
      </text>
    </comment>
    <comment ref="B669" authorId="0" shapeId="0">
      <text>
        <t>Yuri Rangel:
APENAS PEÇA P/PORTA</t>
      </text>
    </comment>
    <comment ref="B670" authorId="0" shapeId="0">
      <text>
        <t>Yuri Rangel:
APENAS PEÇA P/ PT</t>
      </text>
    </comment>
    <comment ref="B671" authorId="0" shapeId="0">
      <text>
        <t>Yuri Rangel:
*FRENTE DE GAVETA VARIANDO FURAÇÃO, CONSUMO (24,2 M²)
*APROVEITAMENTO NO LOTE I2601703 (17,1288 M²)</t>
      </text>
    </comment>
    <comment ref="F672" authorId="0" shapeId="0">
      <text>
        <t>Yuri Rangel:
+15 chapas para peça 1170x500 que estava faltando no plano</t>
      </text>
    </comment>
    <comment ref="F682" authorId="0" shapeId="0">
      <text>
        <t>Yuri Rangel:
SOBRA NÃO DAVA O TAMANHO DA PORTA</t>
      </text>
    </comment>
    <comment ref="F687" authorId="0" shapeId="0">
      <text>
        <t xml:space="preserve">Yuri Rangel:
1 CHAPA REDUZIDA PARA APROVEITAMENTO DE SOBRAS </t>
      </text>
    </comment>
    <comment ref="F704" authorId="0" shapeId="0">
      <text>
        <t>Yuri Rangel:
APROVIETAMENTO DE 17 PEÇAS DOS LOTES ANTERIORES</t>
      </text>
    </comment>
    <comment ref="F716" authorId="0" shapeId="0">
      <text>
        <t>Yuri Rangel:
APROVEITAMENTO DE 20 PEÇAS DOS LOTES ANTERIORES</t>
      </text>
    </comment>
    <comment ref="F724" authorId="0" shapeId="0">
      <text>
        <t xml:space="preserve">Yuri Rangel:
APROVEITAMENTO DE SOBRAS DE REQUISIÇÕES | E -5 CHAPAS DA PÇ 715X92
</t>
      </text>
    </comment>
    <comment ref="B725" authorId="0" shapeId="0">
      <text>
        <t>Yuri Rangel:
PT DE VIDRO</t>
      </text>
    </comment>
    <comment ref="B726" authorId="0" shapeId="0">
      <text>
        <t>Yuri Rangel:
PT DE VIDRO</t>
      </text>
    </comment>
    <comment ref="F727" authorId="0" shapeId="0">
      <text>
        <t>Yuri Rangel:
APROVEITAMENTO DO PDC DE PEÇAS P/PORTA DE VIDRO - REDUÇÃO DE 3 CHAPAS</t>
      </text>
    </comment>
    <comment ref="B734" authorId="0" shapeId="0">
      <text>
        <t>Yuri Rangel:
CAIXOTE</t>
      </text>
    </comment>
    <comment ref="B740" authorId="0" shapeId="0">
      <text>
        <t xml:space="preserve">Yuri Rangel:
*CONSUMO DE 453,75 M² A MAIS (LAT DIR COM FURAÇÃO ERRADA).
*APROVEITAMENTO NO LOTE M26024.
</t>
      </text>
    </comment>
    <comment ref="B757" authorId="0" shapeId="0">
      <text>
        <t>Yuri Rangel:
APENAS O FUNDO 1195X272 (NÃO VEIO DA LÍDER) +200 FUNDOS SUMIU DO ESTOQUE</t>
      </text>
    </comment>
    <comment ref="F757" authorId="0" shapeId="0">
      <text>
        <t>FALTA DE SOBRAS</t>
      </text>
    </comment>
    <comment ref="F764" authorId="0" shapeId="0">
      <text>
        <t>Yuri Rangel:
REMOÇÃO DE 12 CHAPAS PARA ATENDER AO LOTE CORRETAMENTE</t>
      </text>
    </comment>
    <comment ref="B771" authorId="0" shapeId="0">
      <text>
        <t xml:space="preserve">Yuri Rangel:
No lote M26024 foi feito o aproveitamento de 600 laterais de 780x500.
Crédito: 234 M²
</t>
      </text>
    </comment>
    <comment ref="F771" authorId="0" shapeId="0">
      <text>
        <t>Yuri Rangel:
-50 CHAPAS POR CONTA DE 600 LATERAIS PARADAS NO ESTOQUE DA MULTILÍNEA</t>
      </text>
    </comment>
    <comment ref="F774" authorId="0" shapeId="0">
      <text>
        <t>Yuri Rangel:
PREVX REALIZADO: 5 CHAPAS A MAIS, POIS A LATERAL 780X500 É DO BALC 120 E NÃO DO BALC 80</t>
      </text>
    </comment>
    <comment ref="F779" authorId="0" shapeId="0">
      <text>
        <t>Yuri Rangel:
DE 287 PARA 279 POR APROVEITAMENTO DA PEÇA 783X428 QUE FOI USINADA ERRADA</t>
      </text>
    </comment>
    <comment ref="B780" authorId="0" shapeId="0">
      <text>
        <t>Yuri Rangel:
APENAS PT DE VIDRO</t>
      </text>
    </comment>
    <comment ref="B787" authorId="0" shapeId="0">
      <text>
        <t>Yuri Rangel:
APENAS BANCADA</t>
      </text>
    </comment>
    <comment ref="B790" authorId="0" shapeId="0">
      <text>
        <t xml:space="preserve">Yuri Rangel:
LOTE FEITO JUNTO AO 4301 </t>
      </text>
    </comment>
    <comment ref="B793" authorId="0" shapeId="0">
      <text>
        <t>Yuri Rangel:
APENAS BANCADAS</t>
      </text>
    </comment>
    <comment ref="F797" authorId="0" shapeId="0">
      <text>
        <t>Yuri Rangel:
16 CHAPAS A MAIS PARA PEÇA 795X398.</t>
      </text>
    </comment>
    <comment ref="B801" authorId="0" shapeId="0">
      <text>
        <t>Yuri Rangel:
190 PRATELEIRAS APROVEITADAS - PREXREAL - 8 CHAPAS A MENOS</t>
      </text>
    </comment>
    <comment ref="B805" authorId="0" shapeId="0">
      <text>
        <t>Yuri Rangel:
FEITO JUNTO AO 4701</t>
      </text>
    </comment>
    <comment ref="B806" authorId="0" shapeId="0">
      <text>
        <t>Yuri Rangel:
FEITO JUNTO AO 4701</t>
      </text>
    </comment>
    <comment ref="B811" authorId="0" shapeId="0">
      <text>
        <t>Yuri Rangel:
PT DE VIDRO</t>
      </text>
    </comment>
    <comment ref="B812" authorId="0" shapeId="0">
      <text>
        <t>Yuri Rangel:
PT DE VIDRO</t>
      </text>
    </comment>
    <comment ref="B813" authorId="0" shapeId="0">
      <text>
        <t>Yuri Rangel:
APENAS PRAT CHANFRADA</t>
      </text>
    </comment>
    <comment ref="B817" authorId="0" shapeId="0">
      <text>
        <t>Yuri Rangel:
ERRO NO PROCESSO DE USINAGEM ( PORTA COM CANAL ) LOTE I26017
CONSUMO A MAIS: 102,85. 
ENVIO PARA A NESHER: 70,51905 m², 300 portas 734x315 (CRÉDITO)
(OUTRA PARTE DO CRÉDITO SERÁ NO LOTE M26028)
CRÉDITO NO LOTE I26017: As frentes de gaveta de 549x156 do balcão imperatriz que estavam paradas do lote M2601906 vão ser aproveitadas no lote I2601703. 
Peça: 549x156x15
Quantidade aproveitada: 200
M²: 17,1288
Lote: I2601703
***TOTAL CRÉDITO I26017: 87,64785 M².***</t>
      </text>
    </comment>
    <comment ref="F817" authorId="0" shapeId="0">
      <text>
        <t>Yuri Rangel:
ALTERADO DIA 09/06</t>
      </text>
    </comment>
    <comment ref="B818" authorId="0" shapeId="0">
      <text>
        <t>Yuri Rangel:
ILHA 200 CANELADO</t>
      </text>
    </comment>
    <comment ref="B822" authorId="0" shapeId="0">
      <text>
        <t>Yuri Rangel:
RESTANTE DAS PEÇAS</t>
      </text>
    </comment>
    <comment ref="F826" authorId="0" shapeId="0">
      <text>
        <t>Yuri Rangel:
ADICIONADO LOTE DE 50</t>
      </text>
    </comment>
    <comment ref="F829" authorId="0" shapeId="0">
      <text>
        <t>Yuri Rangel:
+21 DO LOTE DE 50</t>
      </text>
    </comment>
    <comment ref="B831" authorId="0" shapeId="0">
      <text>
        <t>Yuri Rangel:
CAIXOTE</t>
      </text>
    </comment>
    <comment ref="B834" authorId="0" shapeId="0">
      <text>
        <t>Yuri Rangel:
RESTANTE DOS LOTES</t>
      </text>
    </comment>
    <comment ref="F837" authorId="0" shapeId="0">
      <text>
        <t>Yuri Rangel:
TINHA APENAS 26 EM ESTOQUE - ALTERAÇÃO DE 59 CHAPAS PARA 26.</t>
      </text>
    </comment>
    <comment ref="B840" authorId="0" shapeId="0">
      <text>
        <t>Yuri Rangel:
REC 2 PEÇAS (2200X450)</t>
      </text>
    </comment>
    <comment ref="B844" authorId="0" shapeId="0">
      <text>
        <t>Yuri Rangel:
CONSUMO A MAIS:
*ERRO DE CORTE ( MAQUINÁRIO ) LOTE I26017 - 82,005 M².
*FUNDOS COM MEDIDA VARIANDO NA EMBALAGEM LOTE I26017 - 35,145 M²
Total: 117,15 M².
CRÉDITO: LOTE I26018</t>
      </text>
    </comment>
    <comment ref="B845" authorId="0" shapeId="0">
      <text>
        <t>Yuri Rangel:
CAIXOTE</t>
      </text>
    </comment>
    <comment ref="B847" authorId="0" shapeId="0">
      <text>
        <t>Yuri Rangel:
Apenas porta de vidro</t>
      </text>
    </comment>
    <comment ref="B856" authorId="0" shapeId="0">
      <text>
        <t>Yuri Rangel:
APENAS PT VIDRO</t>
      </text>
    </comment>
    <comment ref="B857" authorId="0" shapeId="0">
      <text>
        <t>Yuri Rangel:
APENAS PT DE VIDRO</t>
      </text>
    </comment>
    <comment ref="B864" authorId="0" shapeId="0">
      <text>
        <t>Yuri Rangel:
ANTIGO N2605505 | N2605506 | N2605507</t>
      </text>
    </comment>
    <comment ref="B865" authorId="0" shapeId="0">
      <text>
        <t xml:space="preserve">Yuri Rangel:
CRÉDITO DO CONSUMO A MAIS NO LOTE I26017:
Foi aproveitado para as medidas de 695x330 220 fundos e 629x398 120 fundos para serem abatidos no lote I26018.
M² aproveitado:  80,49804 m².
Foi aproveitado para a medida de 629x398 135 fundos, para ser abatido no lote I26018.
M² aproveitado: 33,79617 m².
***CRÉDITO TOTAL: 114,29421 M²***
</t>
      </text>
    </comment>
    <comment ref="F866" authorId="0" shapeId="0">
      <text>
        <t>Yuri Rangel:
LOTE M2602805: "CRÉDITO" DO LOTE M26023
300 laterais de 780x500 = 117 m²
675 peças de 315x70 = 14,88375 m²
APROVEITADO NA MULTILINEA DO I26017: 
740X145 51 peças 5,4723 m²
740X70 51 peças 2,6418
526X263 68 peças 9,406984 m².
526X145 68 peças 5,18636
705X70 51 peças 2,51685
Totalizando: 25,22 m² que vão ser utilizados no lote M26028. 
TOTAL: 157,10375 M².</t>
      </text>
    </comment>
    <comment ref="B867" authorId="0" shapeId="0">
      <text>
        <t>Yuri Rangel:
CAIXOTE</t>
      </text>
    </comment>
    <comment ref="F884" authorId="0" shapeId="0">
      <text>
        <t>Yuri Rangel:
2 TAMPOS DO U260010</t>
      </text>
    </comment>
    <comment ref="B893" authorId="0" shapeId="0">
      <text>
        <t>Yuri Rangel:
APENAS BANCADA</t>
      </text>
    </comment>
    <comment ref="F894" authorId="0" shapeId="0">
      <text>
        <t>Yuri Rangel:
7 CHAPAS ADICIONADAS PARA PEÇA 1177X70</t>
      </text>
    </comment>
    <comment ref="F895" authorId="0" shapeId="0">
      <text>
        <t>Yuri Rangel:
+26 chapas, acabou gavetão do estoque</t>
      </text>
    </comment>
    <comment ref="B896" authorId="0" shapeId="0">
      <text>
        <t>Yuri Rangel:
APENAS PT DE VIDRO</t>
      </text>
    </comment>
    <comment ref="B897" authorId="0" shapeId="0">
      <text>
        <t>Yuri Rangel:
SOBRAS</t>
      </text>
    </comment>
    <comment ref="B899" authorId="0" shapeId="0">
      <text>
        <t>Yuri Rangel:
SOBRAS - 802X165</t>
      </text>
    </comment>
    <comment ref="B902" authorId="0" shapeId="0">
      <text>
        <t>Yuri Rangel:
CAIXOTE - Balcão ct Imper</t>
      </text>
    </comment>
    <comment ref="F902" authorId="0" shapeId="0">
      <text>
        <t>Yuri Rangel:
Redução de 6 chapas por conta de um erro de processo na porta de vidro. As portas de vidro foram recortadas para as portas do Balcão de Canto Imperatriz.</t>
      </text>
    </comment>
    <comment ref="B903" authorId="0" shapeId="0">
      <text>
        <t>Yuri Rangel:
MDF 18MM</t>
      </text>
    </comment>
    <comment ref="B905" authorId="0" shapeId="0">
      <text>
        <t xml:space="preserve">Yuri Rangel:
CRÉDITO DO M26023 - 
LOTE I2601901: 300 divisão inferior de 384x292 
**CRÉDITO: 33,6384 m²**
</t>
      </text>
    </comment>
    <comment ref="F908" authorId="0" shapeId="0">
      <text>
        <t>Yuri Rangel:
PREVXREAL: 205,05205 M² DE CRÉDITO DE FUNDOS QUE ESTAVAM PARADOS NA FÁBRICA.
MULTILÍNEA DEVE APRESENTAR NOTA DE DÉBITO.</t>
      </text>
    </comment>
    <comment ref="B916" authorId="0" shapeId="0">
      <text>
        <t>Yuri Rangel:
CAIXOTE</t>
      </text>
    </comment>
    <comment ref="B919" authorId="0" shapeId="0">
      <text>
        <t>Yuri Rangel:
FEITO JUNTO AO N2606001</t>
      </text>
    </comment>
    <comment ref="B920" authorId="0" shapeId="0">
      <text>
        <t>Yuri Rangel:
*PT DE VIDRO - LOTE N2605602 ADICIONADO AO PLANO.</t>
      </text>
    </comment>
    <comment ref="F930" authorId="0" shapeId="0">
      <text>
        <t>Yuri Rangel:
-9 CHAPAS PARA APROVEITAMENTO DE GAVETÕES NO ESTOQUE</t>
      </text>
    </comment>
    <comment ref="F952" authorId="0" shapeId="0">
      <text>
        <t>Yuri Rangel:
+1 chapa para enchimento.
OBS: o plano estava correto, porém cortaram o enchimento de sobra na chapa duratex e eles cortam o enchimento apenas de berneck.</t>
      </text>
    </comment>
    <comment ref="B955" authorId="0" shapeId="0">
      <text>
        <t>Yuri Rangel:
APENAS PT DE VIDRO</t>
      </text>
    </comment>
    <comment ref="B960" authorId="0" shapeId="0">
      <text>
        <t>Yuri Rangel:
CAIXOTE</t>
      </text>
    </comment>
    <comment ref="F960" authorId="0" shapeId="0">
      <text>
        <t>Yuri Rangel:
-25 CHAPAS - APROVEITAMENTO DE LATERAIS DO CRISTALEIRA QUE ESTAVAM NA FURADEIRA.
PREV X REAL</t>
      </text>
    </comment>
    <comment ref="B964" authorId="0" shapeId="0">
      <text>
        <t>Yuri Rangel:
*APENAS PT DE VIDRO</t>
      </text>
    </comment>
    <comment ref="F968" authorId="0" shapeId="0">
      <text>
        <t>Yuri Rangel:
SOBRAS</t>
      </text>
    </comment>
    <comment ref="F972" authorId="0" shapeId="0">
      <text>
        <t>Yuri Rangel:
FOI IDENTIFICADO ALGUMAS SOBRAS DA LÍDER, COM ISSO CONSEGUIMOS REDUZIR 16 CHAPAS</t>
      </text>
    </comment>
    <comment ref="B979" authorId="0" shapeId="0">
      <text>
        <t>Yuri Rangel:
*APENAS PT DE VIDRO</t>
      </text>
    </comment>
    <comment ref="B980" authorId="0" shapeId="0">
      <text>
        <t>Yuri Rangel:
*APENAS PT DE VIDRO</t>
      </text>
    </comment>
    <comment ref="F980" authorId="0" shapeId="0">
      <text>
        <t>Yuri Rangel:
6 CHAPAS A MAIS PARA COMPLETAR AS PORTAS QUE FALTOU, O ´DC CONSTAVA UM LOTE DE 300, PORÉM É DE 350.</t>
      </text>
    </comment>
    <comment ref="F982" authorId="0" shapeId="0">
      <text>
        <t>Yuri Rangel:
4 CHAPAS REDUZIDAS - SOBRAS NA ULIANA</t>
      </text>
    </comment>
    <comment ref="F983" authorId="0" shapeId="0">
      <text>
        <t>Yuri Rangel:
REDUÇÃO DE 19 CHAPAS - LAT DE GAV EM ESTOQUE</t>
      </text>
    </comment>
    <comment ref="F988" authorId="0" shapeId="0">
      <text>
        <t>Yuri Rangel:
+25 CHAPAS PARA BANCADA</t>
      </text>
    </comment>
    <comment ref="F992" authorId="0" shapeId="0">
      <text>
        <t>Yuri Rangel:
13 CHAPAS INSERIDAS PARA EMBALAGEM DO FUNDO 695X330 QUE NÃO FOI ENVIADO DA NESHER A TEMPO.</t>
      </text>
    </comment>
    <comment ref="B995" authorId="0" shapeId="0">
      <text>
        <t>Yuri Rangel:
*PT DE VIDRO</t>
      </text>
    </comment>
    <comment ref="F995" authorId="0" shapeId="0">
      <text>
        <t>Yuri Rangel:
5 CHAPAS A MENOS
80 PORTAS 798X397 (PREV REALIZADO).</t>
      </text>
    </comment>
    <comment ref="B996" authorId="0" shapeId="0">
      <text>
        <t>Yuri Rangel:
PT VIDRO</t>
      </text>
    </comment>
    <comment ref="F998" authorId="0" shapeId="0">
      <text>
        <t>Yuri Rangel:
56 CHAPAS ADICIONADAS PARA ABATER NO LOTE I2602402. 780X500</t>
      </text>
    </comment>
    <comment ref="B1005" authorId="0" shapeId="0">
      <text>
        <t>Yuri Rangel:
SOBRAS DO 7403</t>
      </text>
    </comment>
    <comment ref="B1007" authorId="0" shapeId="0">
      <text>
        <t xml:space="preserve">Yuri Rangel:
N7601 E N7801 </t>
      </text>
    </comment>
    <comment ref="F1007" authorId="0" shapeId="0">
      <text>
        <t>Yuri Rangel:
DE 37 PARA 24 CHAPAS - APROVEITAMENTO DE TIRAS DO KIT NOBREZA 160</t>
      </text>
    </comment>
    <comment ref="B1014" authorId="0" shapeId="0">
      <text>
        <t>Yuri Rangel:
SOBRAS DA MULTILÍNEA - 802X165</t>
      </text>
    </comment>
    <comment ref="B1016" authorId="0" shapeId="0">
      <text>
        <t>Yuri Rangel:
KIT NOBREZA 1600</t>
      </text>
    </comment>
    <comment ref="B1030" authorId="0" shapeId="0">
      <text>
        <t>Yuri Rangel:
FEITO JUNTO COM O I26024 NT</t>
      </text>
    </comment>
    <comment ref="B1039" authorId="0" shapeId="0">
      <text>
        <t>Yuri Rangel:
N2609201 MESCLADO</t>
      </text>
    </comment>
    <comment ref="B1040" authorId="0" shapeId="0">
      <text>
        <t>Yuri Rangel:
Mesclado com o N2608201</t>
      </text>
    </comment>
    <comment ref="B1046" authorId="0" shapeId="0">
      <text>
        <t>Yuri Rangel:
FEITO COM 8201</t>
      </text>
    </comment>
    <comment ref="B1051" authorId="0" shapeId="0">
      <text>
        <t>Yuri Rangel:
PT DE VIDRO</t>
      </text>
    </comment>
    <comment ref="B1062" authorId="0" shapeId="0">
      <text>
        <t>Yuri Rangel:
APENAS BANCADA</t>
      </text>
    </comment>
    <comment ref="B1063" authorId="0" shapeId="0">
      <text>
        <t>Yuri Rangel:
APENAS BANCADA</t>
      </text>
    </comment>
    <comment ref="B1064" authorId="0" shapeId="0">
      <text>
        <t>Yuri Rangel:
APENAS BANCADA</t>
      </text>
    </comment>
    <comment ref="B1065" authorId="0" shapeId="0">
      <text>
        <t>Yuri Rangel:
PT DE VIDRO</t>
      </text>
    </comment>
    <comment ref="B1079" authorId="0" shapeId="0">
      <text>
        <t>Yuri Rangel:
100% DE SOBRAS</t>
      </text>
    </comment>
    <comment ref="B1080" authorId="1" shapeId="0">
      <text>
        <t xml:space="preserve">Estevao de Oliveira Silva:
FOI RETIRADO 9 CHAPAS
</t>
      </text>
    </comment>
    <comment ref="B1082" authorId="0" shapeId="0">
      <text>
        <t>Yuri Rangel:
SOBRAS DA NESHER</t>
      </text>
    </comment>
    <comment ref="B1083" authorId="0" shapeId="0">
      <text>
        <t>Yuri Rangel:
APENAS 670X430</t>
      </text>
    </comment>
    <comment ref="B1084" authorId="0" shapeId="0">
      <text>
        <t>Yuri Rangel:
APENAS O FUNDO 695X509</t>
      </text>
    </comment>
    <comment ref="B1086" authorId="1" shapeId="0">
      <text>
        <t>Estevao de Oliveira Silva:                                            Foram reaproveitadas 350 peças 780x297, só que para esse lote foi utilizada 300 restando 50 em estoque.</t>
      </text>
    </comment>
    <comment ref="B1091" authorId="0" shapeId="0">
      <text>
        <t>Yuri Rangel:
O FUNDO GUZZOVEM FOI CORTADO JUNTO AO I26026</t>
      </text>
    </comment>
    <comment ref="B1095" authorId="0" shapeId="0">
      <text>
        <t>Yuri Rangel:
Encabeçamentos da Nesher</t>
      </text>
    </comment>
    <comment ref="B1109" authorId="1" shapeId="0">
      <text>
        <t>Estevao de Oliveira Silva:
PORTA DE VIDRO</t>
      </text>
    </comment>
    <comment ref="B1110" authorId="1" shapeId="0">
      <text>
        <t>Estevao de Oliveira Silva:
PORTA DE VIDRO</t>
      </text>
    </comment>
    <comment ref="B1111" authorId="1" shapeId="0">
      <text>
        <t>Estevao de Oliveira Silva:
LOTE+PULMAO - PT DE VIDRO</t>
      </text>
    </comment>
    <comment ref="B1112" authorId="1" shapeId="0">
      <text>
        <t>Estevao de Oliveira Silva:
SOFREU UMA ALTERAÇÃO POIS NÃO TINHA FUNDO DE GAVETA NO PLANO</t>
      </text>
    </comment>
    <comment ref="F1113" authorId="0" shapeId="0">
      <text>
        <t>Yuri Rangel:
9 CHAPAS REGISTRADAS POR ADIANTAMENTO DA LETERAL DO ARMARIO PRINCESA 2000</t>
      </text>
    </comment>
    <comment ref="B1116" authorId="1" shapeId="0">
      <text>
        <t xml:space="preserve">Estevao de Oliveira Silva:
O CAIXOTE
</t>
      </text>
    </comment>
    <comment ref="F1119" authorId="1" shapeId="0">
      <text>
        <t xml:space="preserve">Estevao de Oliveira Silva:
O LOTE SOFREU ALTERAÇÃO DEVIDO AO APROVEITAMENTO DE SOBRAS
</t>
      </text>
    </comment>
    <comment ref="F1126" authorId="1" shapeId="0">
      <text>
        <t xml:space="preserve">Estevao de Oliveira Silva:
Foi utilizado sobra, Por conta disso houve uma diminuição de 4 chapas
</t>
      </text>
    </comment>
    <comment ref="B1131" authorId="1" shapeId="0">
      <text>
        <t>Estevao de Oliveira Silva:
Utilizado de sobra do PDC</t>
      </text>
    </comment>
    <comment ref="B1144" authorId="0" shapeId="0">
      <text>
        <t>Yuri Rangel:
APENAS BANCADA DO LOFT</t>
      </text>
    </comment>
    <comment ref="B1166" authorId="0" shapeId="0">
      <text>
        <t>Yuri Rangel:
*PT DE VIDRO</t>
      </text>
    </comment>
    <comment ref="F1175" authorId="1" shapeId="0">
      <text>
        <t xml:space="preserve">Estevao de Oliveira Silva:
Houve uma alteração devido a falta de informação
</t>
      </text>
    </comment>
    <comment ref="F1180" authorId="1" shapeId="0">
      <text>
        <t>Estevao de Oliveira Silva:
Replanejamento por falta de sobras</t>
      </text>
    </comment>
  </commentList>
</comments>
</file>

<file path=xl/comments/comment4.xml><?xml version="1.0" encoding="utf-8"?>
<comments xmlns="http://schemas.openxmlformats.org/spreadsheetml/2006/main">
  <authors>
    <author>Yuri Rangel</author>
  </authors>
  <commentList>
    <comment ref="A4" authorId="0" shapeId="0">
      <text>
        <t>Yuri Rangel:
REPLANEJADO PARA 257 POR FALTA DE SOBRAS DE GAVETÃO</t>
      </text>
    </comment>
    <comment ref="A8" authorId="0" shapeId="0">
      <text>
        <t>Yuri Rangel:
REPLAN DE BANCADAS</t>
      </text>
    </comment>
    <comment ref="A9" authorId="0" shapeId="0">
      <text>
        <t>Yuri Rangel:
25 CHAPAS FOI ADIANTADO PARA PEÇA P/PORTA - O RESTANTE FOI PARA O CAIXOTE</t>
      </text>
    </comment>
    <comment ref="A10" authorId="0" shapeId="0">
      <text>
        <t>Yuri Rangel:
REPLANEJAMENTO DE 138 PARA 105, POIS AS PORTAS IRÃO SER CORTADAS NA LÍDER</t>
      </text>
    </comment>
    <comment ref="A12" authorId="0" shapeId="0">
      <text>
        <t>Yuri Rangel:
FOI REQUISITADA POR FALTA DE SOBRAS - VERIFICADO PELO M&amp;P</t>
      </text>
    </comment>
    <comment ref="A17" authorId="0" shapeId="0">
      <text>
        <t>Yuri Rangel:
25 CHAPAS FOI ADIANTADO PARA PEÇA P/PORTA - O RESTANTE FOI PARA O CAIXOTE</t>
      </text>
    </comment>
  </commentList>
</comments>
</file>

<file path=xl/tables/table1.xml><?xml version="1.0" encoding="utf-8"?>
<table xmlns="http://schemas.openxmlformats.org/spreadsheetml/2006/main" id="1" name="Tabela9" displayName="Tabela9" ref="A1:B5" headerRowCount="1" totalsRowShown="0" headerRowDxfId="133" headerRowBorderDxfId="132" tableBorderDxfId="131" totalsRowBorderDxfId="130">
  <autoFilter ref="A1:B5"/>
  <tableColumns count="2">
    <tableColumn id="1" name="Tipo de MDF" dataDxfId="129"/>
    <tableColumn id="2" name="Preço por m² (R$)" dataDxfId="128" dataCellStyle="Mo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Sobras8" displayName="TabelaSobras8" ref="A2:T241" headerRowCount="1" totalsRowShown="0" headerRowDxfId="121" dataDxfId="120" totalsRowDxfId="119">
  <autoFilter ref="A2:T241">
    <filterColumn colId="8" hiddenButton="0" showButton="1">
      <filters>
        <filter val="Disponível"/>
      </filters>
    </filterColumn>
    <filterColumn colId="11" hiddenButton="0" showButton="1">
      <filters>
        <filter val="Nesher"/>
      </filters>
    </filterColumn>
  </autoFilter>
  <sortState ref="A153:T207">
    <sortCondition ref="C2:C207"/>
  </sortState>
  <tableColumns count="20">
    <tableColumn id="2" name="Lote de Origem" dataDxfId="118" totalsRowDxfId="117"/>
    <tableColumn id="3" name="Fábrica" dataDxfId="116" totalsRowDxfId="115">
      <calculatedColumnFormula>VLOOKUP(LEFT(A3,1),Tabela5[],2,0)</calculatedColumnFormula>
    </tableColumn>
    <tableColumn id="4" name="Tipo de Chapa/COR" dataDxfId="114" totalsRowDxfId="113"/>
    <tableColumn id="10" name="Comprimento _x000a_Sobras (mm)" dataDxfId="112" totalsRowDxfId="111"/>
    <tableColumn id="16" name="Largura _x000a_Sobras (mm)" dataDxfId="110" totalsRowDxfId="109"/>
    <tableColumn id="15" name="Peça" dataDxfId="108" totalsRowDxfId="107">
      <calculatedColumnFormula>TEXT(TabelaSobras8[[#This Row],[Comprimento 
Sobras (mm)]],0) &amp; " X " &amp; TEXT(E3,0)</calculatedColumnFormula>
    </tableColumn>
    <tableColumn id="9" name="M²_x000a_Sobras" dataDxfId="106" totalsRowDxfId="105">
      <calculatedColumnFormula>(TabelaSobras8[[#This Row],[Comprimento 
Sobras (mm)]]*E3/1000000)</calculatedColumnFormula>
    </tableColumn>
    <tableColumn id="8" name="Quantidade de Sobra INICIAL" dataDxfId="104" totalsRowDxfId="103"/>
    <tableColumn id="12" name="Status _x000a_da Sobra" dataDxfId="102" totalsRowDxfId="101">
      <calculatedColumnFormula>IF(TabelaSobras8[[#This Row],[Estoque]]&lt;=$V$2,$U$4,$U$5)</calculatedColumnFormula>
    </tableColumn>
    <tableColumn id="7" name="Quantidade _x000a_Aproveitada" dataDxfId="100" totalsRowDxfId="99">
      <calculatedColumnFormula>TabelaSobras8[[#This Row],[Quantidade de Sobra INICIAL]]-K3</calculatedColumnFormula>
    </tableColumn>
    <tableColumn id="19" name="Estoque" dataDxfId="98" totalsRowDxfId="97">
      <calculatedColumnFormula>TabelaSobras8[[#This Row],[Quantidade de Sobra INICIAL]]-TabelaSobras8[[#This Row],[Saída]]-TabelaSobras8[[#This Row],[Saída 2]]-P3</calculatedColumnFormula>
    </tableColumn>
    <tableColumn id="11" name="Local de armazenagem" dataDxfId="96" totalsRowDxfId="95"/>
    <tableColumn id="1" name="M² Disponível" dataDxfId="94" totalsRowDxfId="93">
      <calculatedColumnFormula>TabelaSobras8[[#This Row],[Estoque]]*5.8575</calculatedColumnFormula>
    </tableColumn>
    <tableColumn id="13" name="Saída" dataDxfId="92" totalsRowDxfId="91"/>
    <tableColumn id="5" name="Saída 2" dataDxfId="90" totalsRowDxfId="89"/>
    <tableColumn id="6" name="Saída 3" dataDxfId="88" totalsRowDxfId="87"/>
    <tableColumn id="20" name="Reaproveitada _x000a_em OP" dataDxfId="86" totalsRowDxfId="85"/>
    <tableColumn id="14" name="Responsável _x000a_pelo Registro" dataDxfId="84" totalsRowDxfId="83"/>
    <tableColumn id="18" name="Data do_x000a_Registro inical" dataDxfId="82" totalsRowDxfId="81"/>
    <tableColumn id="17" name="Dias Parados" dataDxfId="80" totalsRowDxfId="79">
      <calculatedColumnFormula>INT(TODAY()-TabelaSobras8[[#This Row],[Data do
Registro inical]])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3" name="TabelaSobras" displayName="TabelaSobras" ref="A2:T125" headerRowCount="1" headerRowDxfId="72" dataDxfId="71" totalsRowDxfId="70">
  <autoFilter ref="A2:T125">
    <filterColumn colId="9" hiddenButton="0" showButton="1">
      <filters>
        <filter val="Disponível"/>
      </filters>
    </filterColumn>
  </autoFilter>
  <sortState ref="A35:T111">
    <sortCondition ref="J2:J111"/>
  </sortState>
  <tableColumns count="20">
    <tableColumn id="2" name="Lote de Origem" dataDxfId="69"/>
    <tableColumn id="3" name="Fábrica" dataDxfId="68">
      <calculatedColumnFormula>VLOOKUP(LEFT(A3,1),Tabela5[],2,0)</calculatedColumnFormula>
    </tableColumn>
    <tableColumn id="4" name="Tipo de Chapa/COR" dataDxfId="67"/>
    <tableColumn id="17" name="Valor por m²" dataDxfId="66">
      <calculatedColumnFormula>VLOOKUP(TabelaSobras[[#This Row],[Tipo de Chapa/COR]],'PREÇOS MDF'!$A$7:$B$10,2,0)</calculatedColumnFormula>
    </tableColumn>
    <tableColumn id="10" name="Comprimento _x000a_Sobras (mm)" dataDxfId="65"/>
    <tableColumn id="16" name="Largura _x000a_Sobras (mm)" dataDxfId="64"/>
    <tableColumn id="6" name="Peça" dataDxfId="63">
      <calculatedColumnFormula>TabelaSobras[[#This Row],[Comprimento 
Sobras (mm)]] &amp; " X " &amp; F3</calculatedColumnFormula>
    </tableColumn>
    <tableColumn id="9" name="M²_x000a_Sobras" dataDxfId="62">
      <calculatedColumnFormula>(TabelaSobras[[#This Row],[Comprimento 
Sobras (mm)]]*F3/1000000)</calculatedColumnFormula>
    </tableColumn>
    <tableColumn id="8" name="Quantidade de Sobra" dataDxfId="61"/>
    <tableColumn id="12" name="Status _x000a_da Sobra" dataDxfId="60">
      <calculatedColumnFormula>IF(TabelaSobras[[#This Row],[Estoque]]&lt;=$U$1,$V$1,$W$1)</calculatedColumnFormula>
    </tableColumn>
    <tableColumn id="15" name="Quantidade Aproveitada" dataDxfId="59">
      <calculatedColumnFormula>TabelaSobras[[#This Row],[Quantidade de Sobra]]-L3</calculatedColumnFormula>
    </tableColumn>
    <tableColumn id="19" name="Estoque" dataDxfId="58">
      <calculatedColumnFormula>TabelaSobras[[#This Row],[Quantidade de Sobra]]-TabelaSobras[[#This Row],[Saída]]-TabelaSobras[[#This Row],[Saída 2]]</calculatedColumnFormula>
    </tableColumn>
    <tableColumn id="7" name="Local de _x000a_Armazenamento" dataDxfId="57"/>
    <tableColumn id="1" name="M² Disponível" dataDxfId="56">
      <calculatedColumnFormula>TabelaSobras[[#This Row],[M²
Sobras]]*L3</calculatedColumnFormula>
    </tableColumn>
    <tableColumn id="13" name="Saída" dataDxfId="55"/>
    <tableColumn id="5" name="Saída 2" dataDxfId="54"/>
    <tableColumn id="20" name="Reaproveitada _x000a_em OP" dataDxfId="53"/>
    <tableColumn id="14" name="Responsável _x000a_pelo Registro" dataDxfId="52"/>
    <tableColumn id="11" name="Data do_x000a_Registro inicial" dataDxfId="51"/>
    <tableColumn id="18" name="Dias parados" dataDxfId="50">
      <calculatedColumnFormula>TODAY()-TabelaSobras[[#This Row],[Data do
Registro inicial]]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4" name="Tabela5" displayName="Tabela5" ref="A1:B9" headerRowCount="1" totalsRowShown="0">
  <autoFilter ref="A1:B9"/>
  <tableColumns count="2">
    <tableColumn id="1" name="Coluna1"/>
    <tableColumn id="2" name="Coluna2" dataDxfId="4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11" displayName="Tabela11" ref="A11:B25" headerRowCount="1" totalsRowShown="0">
  <autoFilter ref="A11:B25"/>
  <tableColumns count="2">
    <tableColumn id="1" name="material"/>
    <tableColumn id="2" name="m² da chapa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2" displayName="Tabela2" ref="A1:A8" headerRowCount="1" totalsRowShown="0">
  <autoFilter ref="A1:A8"/>
  <tableColumns count="1">
    <tableColumn id="1" name="TIPO DE CHAP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ela3" displayName="Tabela3" ref="B1:B5" headerRowCount="1" totalsRowShown="0">
  <autoFilter ref="B1:B5"/>
  <tableColumns count="1">
    <tableColumn id="1" name="Fábric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ela4" displayName="Tabela4" ref="D1:D3" headerRowCount="1" totalsRowShown="0">
  <autoFilter ref="D1:D3"/>
  <tableColumns count="1">
    <tableColumn id="1" name="Resposávei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ela8" displayName="Tabela8" ref="C1:C5" headerRowCount="1" totalsRowShown="0">
  <autoFilter ref="C1:C5"/>
  <tableColumns count="1">
    <tableColumn id="1" name="TIPO DE CHAPA FUN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ela6" displayName="Tabela6" ref="F2:F17" headerRowCount="1" totalsRowShown="0">
  <autoFilter ref="F2:F17"/>
  <tableColumns count="1">
    <tableColumn id="1" name="Coluna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ela10" displayName="Tabela10" ref="A2:L1200" headerRowCount="1" totalsRowShown="0" headerRowDxfId="35" dataDxfId="33" headerRowBorderDxfId="34">
  <autoFilter ref="A2:L1199">
    <filterColumn colId="2" hiddenButton="0" showButton="1">
      <filters>
        <filter val="Nesher"/>
      </filters>
    </filterColumn>
  </autoFilter>
  <tableColumns count="12">
    <tableColumn id="14" name="DATA" dataDxfId="32" totalsRowDxfId="31"/>
    <tableColumn id="1" name="OP" dataDxfId="30"/>
    <tableColumn id="2" name="Fábrica" dataDxfId="29" totalsRowDxfId="28">
      <calculatedColumnFormula>VLOOKUP(LEFT(B3,1),Tabela5[],2,0)</calculatedColumnFormula>
    </tableColumn>
    <tableColumn id="3" name="Tipo de Chapa" dataDxfId="27" totalsRowDxfId="26"/>
    <tableColumn id="9" name="M² Da chapa" dataDxfId="25" totalsRowDxfId="24">
      <calculatedColumnFormula>VLOOKUP(Tabela10[[#This Row],[Tipo de Chapa]],Tabela11[],2,FALSE)</calculatedColumnFormula>
    </tableColumn>
    <tableColumn id="4" name="Qtde Chapas_x000a_Liberadas" dataDxfId="23" totalsRowDxfId="22"/>
    <tableColumn id="10" name="Média Ponderada Perda (%)" dataDxfId="21" totalsRowDxfId="20" dataCellStyle="Porcentagem" totalsRowCellStyle="Porcentagem"/>
    <tableColumn id="5" name="M² CHAPAS" dataDxfId="19" totalsRowDxfId="18">
      <calculatedColumnFormula>Tabela10[[#This Row],[M² Da chapa]]*Tabela10[[#This Row],[Qtde Chapas
Liberadas]]</calculatedColumnFormula>
    </tableColumn>
    <tableColumn id="6" name="ERP" dataDxfId="17" totalsRowDxfId="16"/>
    <tableColumn id="11" name="CHAPAS ERP" dataDxfId="15" totalsRowDxfId="14">
      <calculatedColumnFormula>Tabela10[[#This Row],[ERP]]/Tabela10[[#This Row],[M² Da chapa]]</calculatedColumnFormula>
    </tableColumn>
    <tableColumn id="7" name="DIFERENÇA M²" dataDxfId="13" totalsRowDxfId="12">
      <calculatedColumnFormula>Tabela10[[#This Row],[M² CHAPAS]]-Tabela10[[#This Row],[ERP]]</calculatedColumnFormula>
    </tableColumn>
    <tableColumn id="8" name="DIFERENÇA EM CHAPAS" dataDxfId="11" totalsRowDxfId="10">
      <calculatedColumnFormula>Tabela10[[#This Row],[DIFERENÇA M²]]/Tabela10[[#This Row],[M² Da chapa]]</calculatedColumnFormula>
    </tableColumn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id="12" name="Tabela19" displayName="Tabela19" ref="A2:B26" headerRowCount="1" totalsRowShown="0" headerRowDxfId="6" dataDxfId="4" headerRowBorderDxfId="5" tableBorderDxfId="3" totalsRowBorderDxfId="2" dataCellStyle="Porcentagem">
  <autoFilter ref="A2:B26"/>
  <tableColumns count="2">
    <tableColumn id="1" name="QTD CHAPAS" dataDxfId="1" dataCellStyle="Porcentagem"/>
    <tableColumn id="2" name="PERDA" dataDxfId="0" dataCellStyle="Porcentagem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codeName="Planilha5">
    <outlinePr summaryBelow="1" summaryRight="1"/>
    <pageSetUpPr/>
  </sheetPr>
  <dimension ref="A1:B10"/>
  <sheetViews>
    <sheetView workbookViewId="0">
      <selection activeCell="K19" sqref="K19"/>
    </sheetView>
  </sheetViews>
  <sheetFormatPr baseColWidth="8" defaultColWidth="8.6640625" defaultRowHeight="14.4"/>
  <cols>
    <col width="14.6640625" customWidth="1" min="1" max="1"/>
    <col width="18.44140625" customWidth="1" style="1" min="2" max="2"/>
  </cols>
  <sheetData>
    <row r="1">
      <c r="A1" s="22" t="inlineStr">
        <is>
          <t>Tipo de MDF</t>
        </is>
      </c>
      <c r="B1" s="23" t="inlineStr">
        <is>
          <t>Preço por m² (R$)</t>
        </is>
      </c>
    </row>
    <row r="2">
      <c r="A2" s="20" t="inlineStr">
        <is>
          <t>MDF - 9MM</t>
        </is>
      </c>
      <c r="B2" s="172" t="n">
        <v>15.44</v>
      </c>
    </row>
    <row r="3">
      <c r="A3" s="170" t="inlineStr">
        <is>
          <t>MDF - 15MM</t>
        </is>
      </c>
      <c r="B3" s="172" t="n">
        <v>23.01</v>
      </c>
    </row>
    <row r="4">
      <c r="A4" s="20" t="inlineStr">
        <is>
          <t>MDF - 25MM</t>
        </is>
      </c>
      <c r="B4" s="172" t="n">
        <v>42.99</v>
      </c>
    </row>
    <row r="5">
      <c r="A5" s="24" t="inlineStr">
        <is>
          <t>MDP - 15MM</t>
        </is>
      </c>
      <c r="B5" s="173" t="n">
        <v>20.57</v>
      </c>
    </row>
    <row r="7">
      <c r="A7" t="inlineStr">
        <is>
          <t>MDF - 9MM</t>
        </is>
      </c>
      <c r="B7" s="174" t="n">
        <v>15.44</v>
      </c>
    </row>
    <row r="8">
      <c r="A8" t="inlineStr">
        <is>
          <t>MDF - 15MM</t>
        </is>
      </c>
      <c r="B8" s="174" t="n">
        <v>23.01</v>
      </c>
    </row>
    <row r="9">
      <c r="A9" t="inlineStr">
        <is>
          <t>MDF - 25MM</t>
        </is>
      </c>
      <c r="B9" s="174" t="n">
        <v>42.99</v>
      </c>
    </row>
    <row r="10">
      <c r="A10" t="inlineStr">
        <is>
          <t>MDP - 15MM</t>
        </is>
      </c>
      <c r="B10" s="174" t="n">
        <v>20.57</v>
      </c>
    </row>
  </sheetData>
  <dataValidations count="1">
    <dataValidation sqref="A2:A4" showDropDown="0" showInputMessage="1" showErrorMessage="1" allowBlank="1" type="list">
      <formula1>INDIRECT("Tabela2[TIPO DE CHAPA]")</formula1>
    </dataValidation>
  </dataValidation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Planilha4">
    <outlinePr summaryBelow="1" summaryRight="1"/>
    <pageSetUpPr/>
  </sheetPr>
  <dimension ref="A1:W241"/>
  <sheetViews>
    <sheetView zoomScale="110" zoomScaleNormal="110" zoomScaleSheetLayoutView="100" workbookViewId="0">
      <pane ySplit="2" topLeftCell="A3" activePane="bottomLeft" state="frozen"/>
      <selection pane="bottomLeft" activeCell="A1" sqref="A1:T1"/>
    </sheetView>
  </sheetViews>
  <sheetFormatPr baseColWidth="8" defaultColWidth="0" defaultRowHeight="15.6"/>
  <cols>
    <col width="16.109375" customWidth="1" style="8" min="1" max="1"/>
    <col width="11.88671875" bestFit="1" customWidth="1" style="170" min="2" max="2"/>
    <col width="22.109375" customWidth="1" min="3" max="3"/>
    <col width="15" customWidth="1" min="4" max="4"/>
    <col width="15.44140625" customWidth="1" min="5" max="5"/>
    <col width="13.109375" customWidth="1" min="6" max="6"/>
    <col hidden="1" width="12.44140625" customWidth="1" min="7" max="7"/>
    <col width="15.6640625" customWidth="1" min="8" max="8"/>
    <col width="19" customWidth="1" min="9" max="9"/>
    <col hidden="1" width="19" customWidth="1" min="10" max="10"/>
    <col width="10.33203125" customWidth="1" style="30" min="11" max="11"/>
    <col width="14.109375" customWidth="1" style="9" min="12" max="12"/>
    <col width="17.6640625" bestFit="1" customWidth="1" style="9" min="13" max="13"/>
    <col width="7.88671875" customWidth="1" min="14" max="14"/>
    <col hidden="1" min="15" max="16"/>
    <col width="19" customWidth="1" style="1" min="17" max="17"/>
    <col width="15.5546875" customWidth="1" min="18" max="18"/>
    <col width="13.6640625" customWidth="1" style="41" min="19" max="19"/>
    <col width="14.5546875" customWidth="1" style="38" min="20" max="20"/>
    <col hidden="1" width="19" customWidth="1" min="21" max="21"/>
    <col hidden="1" width="19" customWidth="1" style="1" min="22" max="22"/>
    <col hidden="1" width="19" customWidth="1" min="23" max="16384"/>
  </cols>
  <sheetData>
    <row r="1" ht="30.75" customHeight="1">
      <c r="A1" s="153" t="n"/>
      <c r="U1" s="12" t="n"/>
    </row>
    <row r="2" ht="30" customHeight="1">
      <c r="A2" s="112" t="inlineStr">
        <is>
          <t>Lote de Origem</t>
        </is>
      </c>
      <c r="B2" s="31" t="inlineStr">
        <is>
          <t>Fábrica</t>
        </is>
      </c>
      <c r="C2" s="32" t="inlineStr">
        <is>
          <t>Tipo de Chapa/COR</t>
        </is>
      </c>
      <c r="D2" s="32" t="inlineStr">
        <is>
          <t>Comprimento 
Sobras (mm)</t>
        </is>
      </c>
      <c r="E2" s="32" t="inlineStr">
        <is>
          <t>Largura 
Sobras (mm)</t>
        </is>
      </c>
      <c r="F2" s="33" t="inlineStr">
        <is>
          <t>Peça</t>
        </is>
      </c>
      <c r="G2" s="33" t="inlineStr">
        <is>
          <t>M²
Sobras</t>
        </is>
      </c>
      <c r="H2" s="34" t="inlineStr">
        <is>
          <t>Quantidade de Sobra INICIAL</t>
        </is>
      </c>
      <c r="I2" s="33" t="inlineStr">
        <is>
          <t>Status 
da Sobra</t>
        </is>
      </c>
      <c r="J2" s="4" t="inlineStr">
        <is>
          <t>Quantidade 
Aproveitada</t>
        </is>
      </c>
      <c r="K2" s="35" t="inlineStr">
        <is>
          <t>Estoque</t>
        </is>
      </c>
      <c r="L2" s="32" t="inlineStr">
        <is>
          <t>Local de armazenagem</t>
        </is>
      </c>
      <c r="M2" s="32" t="inlineStr">
        <is>
          <t>M² Disponível</t>
        </is>
      </c>
      <c r="N2" s="32" t="inlineStr">
        <is>
          <t>Saída</t>
        </is>
      </c>
      <c r="O2" s="33" t="inlineStr">
        <is>
          <t>Saída 2</t>
        </is>
      </c>
      <c r="P2" s="4" t="inlineStr">
        <is>
          <t>Saída 3</t>
        </is>
      </c>
      <c r="Q2" s="34" t="inlineStr">
        <is>
          <t>Reaproveitada 
em OP</t>
        </is>
      </c>
      <c r="R2" s="32" t="inlineStr">
        <is>
          <t>Responsável 
pelo Registro</t>
        </is>
      </c>
      <c r="S2" s="40" t="inlineStr">
        <is>
          <t>Data do
Registro inical</t>
        </is>
      </c>
      <c r="T2" s="37" t="inlineStr">
        <is>
          <t>Dias Parados</t>
        </is>
      </c>
      <c r="U2" s="14" t="inlineStr">
        <is>
          <t>média dias parados</t>
        </is>
      </c>
      <c r="V2" s="12" t="n"/>
    </row>
    <row r="3" hidden="1" ht="43.2" customHeight="1">
      <c r="A3" s="170" t="inlineStr">
        <is>
          <t>-</t>
        </is>
      </c>
      <c r="B3" s="170">
        <f>VLOOKUP(LEFT(A3,1),Tabela5[],2,0)</f>
        <v/>
      </c>
      <c r="C3" s="170" t="inlineStr">
        <is>
          <t>EUCADUR FRJ - 2,5MM</t>
        </is>
      </c>
      <c r="D3" s="169" t="n">
        <v>329</v>
      </c>
      <c r="E3" s="169" t="n">
        <v>398</v>
      </c>
      <c r="F3" s="169">
        <f>TEXT(TabelaSobras8[[#This Row],[Comprimento 
Sobras (mm)]],0) &amp; " X " &amp; TEXT(E3,0)</f>
        <v/>
      </c>
      <c r="G3" s="170">
        <f>(TabelaSobras8[[#This Row],[Comprimento 
Sobras (mm)]]*E3/1000000)</f>
        <v/>
      </c>
      <c r="H3" s="170" t="n">
        <v>2100</v>
      </c>
      <c r="I3" s="170">
        <f>IF(TabelaSobras8[[#This Row],[Estoque]]&lt;=$V$2,$U$4,$U$5)</f>
        <v/>
      </c>
      <c r="J3" s="170">
        <f>TabelaSobras8[[#This Row],[Quantidade de Sobra INICIAL]]-K3</f>
        <v/>
      </c>
      <c r="K3" s="169">
        <f>TabelaSobras8[[#This Row],[Quantidade de Sobra INICIAL]]-TabelaSobras8[[#This Row],[Saída]]-TabelaSobras8[[#This Row],[Saída 2]]-P3</f>
        <v/>
      </c>
      <c r="L3" s="170" t="inlineStr">
        <is>
          <t>Nesher</t>
        </is>
      </c>
      <c r="M3" s="169">
        <f>TabelaSobras8[[#This Row],[Estoque]]*5.8575</f>
        <v/>
      </c>
      <c r="N3" s="170" t="n">
        <v>700</v>
      </c>
      <c r="O3" s="170" t="n">
        <v>700</v>
      </c>
      <c r="P3" s="170" t="n">
        <v>700</v>
      </c>
      <c r="Q3" s="8" t="inlineStr">
        <is>
          <t>700 I25023
700 M25014
700 I25027</t>
        </is>
      </c>
      <c r="R3" s="170" t="inlineStr">
        <is>
          <t>Yuri</t>
        </is>
      </c>
      <c r="S3" s="6" t="n">
        <v>45804</v>
      </c>
      <c r="T3" s="12">
        <f>INT(TODAY()-TabelaSobras8[[#This Row],[Data do
Registro inical]])</f>
        <v/>
      </c>
      <c r="U3" s="12">
        <f>AVERAGEIF(TabelaSobras8[Status 
da Sobra],"Disponível",TabelaSobras8[Dias Parados])</f>
        <v/>
      </c>
      <c r="W3" s="170" t="n"/>
    </row>
    <row r="4" hidden="1" ht="14.4" customHeight="1">
      <c r="A4" s="170" t="inlineStr">
        <is>
          <t>-</t>
        </is>
      </c>
      <c r="B4" s="170">
        <f>VLOOKUP(LEFT(A4,1),Tabela5[],2,0)</f>
        <v/>
      </c>
      <c r="C4" s="170" t="inlineStr">
        <is>
          <t>EUCADUR FRJ - 2,5MM</t>
        </is>
      </c>
      <c r="D4" s="169" t="n">
        <v>695</v>
      </c>
      <c r="E4" s="169" t="n">
        <v>285</v>
      </c>
      <c r="F4" s="169">
        <f>TEXT(TabelaSobras8[[#This Row],[Comprimento 
Sobras (mm)]],0) &amp; " X " &amp; TEXT(E4,0)</f>
        <v/>
      </c>
      <c r="G4" s="170">
        <f>(TabelaSobras8[[#This Row],[Comprimento 
Sobras (mm)]]*E4/1000000)</f>
        <v/>
      </c>
      <c r="H4" s="170" t="n">
        <v>348</v>
      </c>
      <c r="I4" s="170">
        <f>IF(TabelaSobras8[[#This Row],[Estoque]]&lt;=$V$2,$U$4,$U$5)</f>
        <v/>
      </c>
      <c r="J4" s="170">
        <f>TabelaSobras8[[#This Row],[Quantidade de Sobra INICIAL]]-K4</f>
        <v/>
      </c>
      <c r="K4" s="169">
        <f>TabelaSobras8[[#This Row],[Quantidade de Sobra INICIAL]]-TabelaSobras8[[#This Row],[Saída]]-TabelaSobras8[[#This Row],[Saída 2]]-P4</f>
        <v/>
      </c>
      <c r="L4" s="170" t="inlineStr">
        <is>
          <t>Nesher</t>
        </is>
      </c>
      <c r="M4" s="169">
        <f>TabelaSobras8[[#This Row],[Estoque]]*5.8575</f>
        <v/>
      </c>
      <c r="N4" s="170" t="n">
        <v>348</v>
      </c>
      <c r="O4" s="170" t="n"/>
      <c r="P4" s="170" t="n"/>
      <c r="Q4" s="170" t="n"/>
      <c r="R4" s="170" t="inlineStr">
        <is>
          <t>Yuri</t>
        </is>
      </c>
      <c r="S4" s="6" t="n">
        <v>45804</v>
      </c>
      <c r="T4" s="12">
        <f>INT(TODAY()-TabelaSobras8[[#This Row],[Data do
Registro inical]])</f>
        <v/>
      </c>
      <c r="U4" s="1" t="inlineStr">
        <is>
          <t>Aproveitada</t>
        </is>
      </c>
      <c r="W4" s="170" t="n"/>
    </row>
    <row r="5" hidden="1" ht="14.4" customHeight="1">
      <c r="A5" s="170" t="inlineStr">
        <is>
          <t>-</t>
        </is>
      </c>
      <c r="B5" s="170">
        <f>VLOOKUP(LEFT(A5,1),Tabela5[],2,0)</f>
        <v/>
      </c>
      <c r="C5" s="170" t="inlineStr">
        <is>
          <t>EUCADUR FRJ - 2,5MM</t>
        </is>
      </c>
      <c r="D5" s="169" t="n">
        <v>514</v>
      </c>
      <c r="E5" s="169" t="n">
        <v>398</v>
      </c>
      <c r="F5" s="169">
        <f>TEXT(TabelaSobras8[[#This Row],[Comprimento 
Sobras (mm)]],0) &amp; " X " &amp; TEXT(E5,0)</f>
        <v/>
      </c>
      <c r="G5" s="170">
        <f>(TabelaSobras8[[#This Row],[Comprimento 
Sobras (mm)]]*E5/1000000)</f>
        <v/>
      </c>
      <c r="H5" s="170" t="n">
        <v>120</v>
      </c>
      <c r="I5" s="170">
        <f>IF(TabelaSobras8[[#This Row],[Estoque]]&lt;=$V$2,$U$4,$U$5)</f>
        <v/>
      </c>
      <c r="J5" s="170">
        <f>TabelaSobras8[[#This Row],[Quantidade de Sobra INICIAL]]-K5</f>
        <v/>
      </c>
      <c r="K5" s="169">
        <f>TabelaSobras8[[#This Row],[Quantidade de Sobra INICIAL]]-TabelaSobras8[[#This Row],[Saída]]-TabelaSobras8[[#This Row],[Saída 2]]-P5</f>
        <v/>
      </c>
      <c r="L5" s="170" t="inlineStr">
        <is>
          <t>Nesher</t>
        </is>
      </c>
      <c r="M5" s="169">
        <f>TabelaSobras8[[#This Row],[Estoque]]*5.8575</f>
        <v/>
      </c>
      <c r="N5" s="170" t="n">
        <v>120</v>
      </c>
      <c r="O5" s="170" t="n"/>
      <c r="P5" s="170" t="n"/>
      <c r="Q5" s="170" t="inlineStr">
        <is>
          <t>120 N25043</t>
        </is>
      </c>
      <c r="R5" s="170" t="inlineStr">
        <is>
          <t>Yuri</t>
        </is>
      </c>
      <c r="S5" s="6" t="n">
        <v>45813</v>
      </c>
      <c r="T5" s="12">
        <f>INT(TODAY()-TabelaSobras8[[#This Row],[Data do
Registro inical]])</f>
        <v/>
      </c>
      <c r="U5" s="1" t="inlineStr">
        <is>
          <t>Disponível</t>
        </is>
      </c>
      <c r="W5" s="170" t="n"/>
    </row>
    <row r="6" hidden="1" ht="14.4" customHeight="1">
      <c r="A6" s="170" t="inlineStr">
        <is>
          <t>-</t>
        </is>
      </c>
      <c r="B6" s="170">
        <f>VLOOKUP(LEFT(A6,1),Tabela5[],2,0)</f>
        <v/>
      </c>
      <c r="C6" s="170" t="inlineStr">
        <is>
          <t>EUCADUR FRJ - 2,5MM</t>
        </is>
      </c>
      <c r="D6" s="169" t="n">
        <v>629</v>
      </c>
      <c r="E6" s="169" t="n">
        <v>398</v>
      </c>
      <c r="F6" s="169">
        <f>TEXT(TabelaSobras8[[#This Row],[Comprimento 
Sobras (mm)]],0) &amp; " X " &amp; TEXT(E6,0)</f>
        <v/>
      </c>
      <c r="G6" s="170">
        <f>(TabelaSobras8[[#This Row],[Comprimento 
Sobras (mm)]]*E6/1000000)</f>
        <v/>
      </c>
      <c r="H6" s="170" t="n">
        <v>799</v>
      </c>
      <c r="I6" s="170">
        <f>IF(TabelaSobras8[[#This Row],[Estoque]]&lt;=$V$2,$U$4,$U$5)</f>
        <v/>
      </c>
      <c r="J6" s="170">
        <f>TabelaSobras8[[#This Row],[Quantidade de Sobra INICIAL]]-K6</f>
        <v/>
      </c>
      <c r="K6" s="169">
        <f>TabelaSobras8[[#This Row],[Quantidade de Sobra INICIAL]]-TabelaSobras8[[#This Row],[Saída]]-TabelaSobras8[[#This Row],[Saída 2]]-P6</f>
        <v/>
      </c>
      <c r="L6" s="170" t="inlineStr">
        <is>
          <t>Nesher</t>
        </is>
      </c>
      <c r="M6" s="169">
        <f>TabelaSobras8[[#This Row],[Estoque]]*5.8575</f>
        <v/>
      </c>
      <c r="N6" s="170" t="n">
        <v>799</v>
      </c>
      <c r="O6" s="170" t="n"/>
      <c r="P6" s="170" t="n"/>
      <c r="Q6" s="170" t="inlineStr">
        <is>
          <t>799 I25027</t>
        </is>
      </c>
      <c r="R6" s="170" t="inlineStr">
        <is>
          <t>Yuri</t>
        </is>
      </c>
      <c r="S6" s="6" t="n">
        <v>45804</v>
      </c>
      <c r="T6" s="12">
        <f>INT(TODAY()-TabelaSobras8[[#This Row],[Data do
Registro inical]])</f>
        <v/>
      </c>
      <c r="U6" s="170" t="n"/>
    </row>
    <row r="7" hidden="1" ht="14.4" customHeight="1">
      <c r="A7" s="170" t="inlineStr">
        <is>
          <t>N</t>
        </is>
      </c>
      <c r="B7" s="170">
        <f>VLOOKUP(LEFT(A7,1),Tabela5[],2,0)</f>
        <v/>
      </c>
      <c r="C7" s="170" t="inlineStr">
        <is>
          <t>EUCADUR FRJ - 2,5MM</t>
        </is>
      </c>
      <c r="D7" s="169" t="n">
        <v>655</v>
      </c>
      <c r="E7" s="169" t="n">
        <v>390</v>
      </c>
      <c r="F7" s="169">
        <f>TEXT(TabelaSobras8[[#This Row],[Comprimento 
Sobras (mm)]],0) &amp; " X " &amp; TEXT(E7,0)</f>
        <v/>
      </c>
      <c r="G7" s="170">
        <f>(TabelaSobras8[[#This Row],[Comprimento 
Sobras (mm)]]*E7/1000000)</f>
        <v/>
      </c>
      <c r="H7" s="170" t="n">
        <v>250</v>
      </c>
      <c r="I7" s="170">
        <f>IF(TabelaSobras8[[#This Row],[Estoque]]&lt;=$V$2,$U$4,$U$5)</f>
        <v/>
      </c>
      <c r="J7" s="170">
        <f>TabelaSobras8[[#This Row],[Quantidade de Sobra INICIAL]]-K7</f>
        <v/>
      </c>
      <c r="K7" s="169">
        <f>TabelaSobras8[[#This Row],[Quantidade de Sobra INICIAL]]-TabelaSobras8[[#This Row],[Saída]]-TabelaSobras8[[#This Row],[Saída 2]]-P7</f>
        <v/>
      </c>
      <c r="L7" s="170" t="inlineStr">
        <is>
          <t>Nesher</t>
        </is>
      </c>
      <c r="M7" s="169">
        <f>TabelaSobras8[[#This Row],[Estoque]]*5.8575</f>
        <v/>
      </c>
      <c r="N7" s="170" t="n">
        <v>250</v>
      </c>
      <c r="O7" s="170" t="n"/>
      <c r="P7" s="170" t="n"/>
      <c r="Q7" s="170" t="inlineStr">
        <is>
          <t>255 I25028</t>
        </is>
      </c>
      <c r="R7" s="170" t="inlineStr">
        <is>
          <t>Yuri</t>
        </is>
      </c>
      <c r="S7" s="6" t="n">
        <v>45804</v>
      </c>
      <c r="T7" s="12">
        <f>INT(TODAY()-TabelaSobras8[[#This Row],[Data do
Registro inical]])</f>
        <v/>
      </c>
      <c r="U7" s="170" t="n"/>
    </row>
    <row r="8" hidden="1" ht="43.2" customHeight="1">
      <c r="A8" s="170" t="inlineStr">
        <is>
          <t>N</t>
        </is>
      </c>
      <c r="B8" s="170">
        <f>VLOOKUP(LEFT(A8,1),Tabela5[],2,0)</f>
        <v/>
      </c>
      <c r="C8" s="170" t="inlineStr">
        <is>
          <t>EUCADUR FRJ - 2,5MM</t>
        </is>
      </c>
      <c r="D8" s="169" t="n">
        <v>1195</v>
      </c>
      <c r="E8" s="169" t="n">
        <v>170</v>
      </c>
      <c r="F8" s="169">
        <f>TEXT(TabelaSobras8[[#This Row],[Comprimento 
Sobras (mm)]],0) &amp; " X " &amp; TEXT(E8,0)</f>
        <v/>
      </c>
      <c r="G8" s="170">
        <f>(TabelaSobras8[[#This Row],[Comprimento 
Sobras (mm)]]*E8/1000000)</f>
        <v/>
      </c>
      <c r="H8" s="170">
        <f>478+70</f>
        <v/>
      </c>
      <c r="I8" s="170">
        <f>IF(TabelaSobras8[[#This Row],[Estoque]]&lt;=$V$2,$U$4,$U$5)</f>
        <v/>
      </c>
      <c r="J8" s="170">
        <f>TabelaSobras8[[#This Row],[Quantidade de Sobra INICIAL]]-K8</f>
        <v/>
      </c>
      <c r="K8" s="169">
        <f>TabelaSobras8[[#This Row],[Quantidade de Sobra INICIAL]]-TabelaSobras8[[#This Row],[Saída]]-TabelaSobras8[[#This Row],[Saída 2]]-P8</f>
        <v/>
      </c>
      <c r="L8" s="170" t="inlineStr">
        <is>
          <t>Nesher</t>
        </is>
      </c>
      <c r="M8" s="169">
        <f>TabelaSobras8[[#This Row],[Estoque]]*5.8575</f>
        <v/>
      </c>
      <c r="N8" s="170" t="n">
        <v>350</v>
      </c>
      <c r="O8" s="170" t="n">
        <v>128</v>
      </c>
      <c r="P8" s="170" t="n">
        <v>70</v>
      </c>
      <c r="Q8" s="8" t="inlineStr">
        <is>
          <t>350 N25041
128 N25044
70 M25032</t>
        </is>
      </c>
      <c r="R8" s="170" t="inlineStr">
        <is>
          <t>Yuri</t>
        </is>
      </c>
      <c r="S8" s="6" t="n">
        <v>45804</v>
      </c>
      <c r="T8" s="12">
        <f>INT(TODAY()-TabelaSobras8[[#This Row],[Data do
Registro inical]])</f>
        <v/>
      </c>
      <c r="U8" s="175" t="n"/>
    </row>
    <row r="9" hidden="1" ht="14.4" customHeight="1">
      <c r="A9" s="170" t="inlineStr">
        <is>
          <t>I25027</t>
        </is>
      </c>
      <c r="B9" s="170">
        <f>VLOOKUP(LEFT(A9,1),Tabela5[],2,0)</f>
        <v/>
      </c>
      <c r="C9" s="170" t="inlineStr">
        <is>
          <t>EUCADUR FRJ - 2,5MM</t>
        </is>
      </c>
      <c r="D9" s="169" t="n">
        <v>925</v>
      </c>
      <c r="E9" s="169" t="n">
        <v>375</v>
      </c>
      <c r="F9" s="169">
        <f>TEXT(TabelaSobras8[[#This Row],[Comprimento 
Sobras (mm)]],0) &amp; " X " &amp; TEXT(E9,0)</f>
        <v/>
      </c>
      <c r="G9" s="170">
        <f>(TabelaSobras8[[#This Row],[Comprimento 
Sobras (mm)]]*E9/1000000)</f>
        <v/>
      </c>
      <c r="H9" s="170" t="n">
        <v>550</v>
      </c>
      <c r="I9" s="170">
        <f>IF(TabelaSobras8[[#This Row],[Estoque]]&lt;=$V$2,$U$4,$U$5)</f>
        <v/>
      </c>
      <c r="J9" s="170">
        <f>TabelaSobras8[[#This Row],[Quantidade de Sobra INICIAL]]-K9</f>
        <v/>
      </c>
      <c r="K9" s="170">
        <f>TabelaSobras8[[#This Row],[Quantidade de Sobra INICIAL]]-TabelaSobras8[[#This Row],[Saída]]-TabelaSobras8[[#This Row],[Saída 2]]-P9</f>
        <v/>
      </c>
      <c r="L9" s="170" t="inlineStr">
        <is>
          <t>Nesher</t>
        </is>
      </c>
      <c r="M9" s="169">
        <f>TabelaSobras8[[#This Row],[Estoque]]*5.8575</f>
        <v/>
      </c>
      <c r="N9" s="170" t="n">
        <v>550</v>
      </c>
      <c r="O9" s="170" t="n"/>
      <c r="P9" s="170" t="n"/>
      <c r="Q9" s="170" t="inlineStr">
        <is>
          <t>550 N25041</t>
        </is>
      </c>
      <c r="R9" s="170" t="inlineStr">
        <is>
          <t>Yuri</t>
        </is>
      </c>
      <c r="S9" s="6" t="n">
        <v>45804</v>
      </c>
      <c r="T9" s="12">
        <f>INT(TODAY()-TabelaSobras8[[#This Row],[Data do
Registro inical]])</f>
        <v/>
      </c>
      <c r="U9" s="170" t="n"/>
    </row>
    <row r="10" hidden="1" ht="14.4" customHeight="1">
      <c r="A10" s="170" t="inlineStr">
        <is>
          <t>I25028</t>
        </is>
      </c>
      <c r="B10" s="170">
        <f>VLOOKUP(LEFT(A10,1),Tabela5[],2,0)</f>
        <v/>
      </c>
      <c r="C10" s="170" t="inlineStr">
        <is>
          <t>EUCADUR FRJ - 2,5MM</t>
        </is>
      </c>
      <c r="D10" s="169" t="n">
        <v>329</v>
      </c>
      <c r="E10" s="169" t="n">
        <v>398</v>
      </c>
      <c r="F10" s="169">
        <f>TEXT(TabelaSobras8[[#This Row],[Comprimento 
Sobras (mm)]],0) &amp; " X " &amp; TEXT(E10,0)</f>
        <v/>
      </c>
      <c r="G10" s="170">
        <f>(TabelaSobras8[[#This Row],[Comprimento 
Sobras (mm)]]*E10/1000000)</f>
        <v/>
      </c>
      <c r="H10" s="170" t="n">
        <v>65</v>
      </c>
      <c r="I10" s="170">
        <f>IF(TabelaSobras8[[#This Row],[Estoque]]&lt;=$V$2,$U$4,$U$5)</f>
        <v/>
      </c>
      <c r="J10" s="170">
        <f>TabelaSobras8[[#This Row],[Quantidade de Sobra INICIAL]]-K10</f>
        <v/>
      </c>
      <c r="K10" s="169">
        <f>TabelaSobras8[[#This Row],[Quantidade de Sobra INICIAL]]-TabelaSobras8[[#This Row],[Saída]]-TabelaSobras8[[#This Row],[Saída 2]]-P10</f>
        <v/>
      </c>
      <c r="L10" s="170" t="inlineStr">
        <is>
          <t>Nesher</t>
        </is>
      </c>
      <c r="M10" s="169">
        <f>TabelaSobras8[[#This Row],[Estoque]]*5.8575</f>
        <v/>
      </c>
      <c r="N10" s="170" t="n">
        <v>65</v>
      </c>
      <c r="O10" s="170" t="n"/>
      <c r="P10" s="170" t="n"/>
      <c r="Q10" s="170" t="n"/>
      <c r="R10" s="170" t="inlineStr">
        <is>
          <t>Yuri</t>
        </is>
      </c>
      <c r="S10" s="6" t="n">
        <v>45806</v>
      </c>
      <c r="T10" s="12">
        <f>INT(TODAY()-TabelaSobras8[[#This Row],[Data do
Registro inical]])</f>
        <v/>
      </c>
      <c r="U10" s="170" t="n"/>
    </row>
    <row r="11" hidden="1" ht="14.4" customHeight="1">
      <c r="A11" s="170" t="inlineStr">
        <is>
          <t>I25028</t>
        </is>
      </c>
      <c r="B11" s="170">
        <f>VLOOKUP(LEFT(A11,1),Tabela5[],2,0)</f>
        <v/>
      </c>
      <c r="C11" s="170" t="inlineStr">
        <is>
          <t>EUCADUR FRJ - 2,5MM</t>
        </is>
      </c>
      <c r="D11" s="169" t="n">
        <v>629</v>
      </c>
      <c r="E11" s="169" t="n">
        <v>398</v>
      </c>
      <c r="F11" s="169">
        <f>TEXT(TabelaSobras8[[#This Row],[Comprimento 
Sobras (mm)]],0) &amp; " X " &amp; TEXT(E11,0)</f>
        <v/>
      </c>
      <c r="G11" s="170">
        <f>(TabelaSobras8[[#This Row],[Comprimento 
Sobras (mm)]]*E11/1000000)</f>
        <v/>
      </c>
      <c r="H11" s="170" t="n">
        <v>105</v>
      </c>
      <c r="I11" s="170">
        <f>IF(TabelaSobras8[[#This Row],[Estoque]]&lt;=$V$2,$U$4,$U$5)</f>
        <v/>
      </c>
      <c r="J11" s="170">
        <f>TabelaSobras8[[#This Row],[Quantidade de Sobra INICIAL]]-K11</f>
        <v/>
      </c>
      <c r="K11" s="169">
        <f>TabelaSobras8[[#This Row],[Quantidade de Sobra INICIAL]]-TabelaSobras8[[#This Row],[Saída]]-TabelaSobras8[[#This Row],[Saída 2]]-P11</f>
        <v/>
      </c>
      <c r="L11" s="170" t="inlineStr">
        <is>
          <t>Nesher</t>
        </is>
      </c>
      <c r="M11" s="169">
        <f>TabelaSobras8[[#This Row],[Estoque]]*5.8575</f>
        <v/>
      </c>
      <c r="N11" s="170" t="n">
        <v>105</v>
      </c>
      <c r="O11" s="170" t="n"/>
      <c r="P11" s="170" t="n"/>
      <c r="Q11" s="170" t="inlineStr">
        <is>
          <t>N25056</t>
        </is>
      </c>
      <c r="R11" s="170" t="inlineStr">
        <is>
          <t>Yuri</t>
        </is>
      </c>
      <c r="S11" s="6" t="n">
        <v>45806</v>
      </c>
      <c r="T11" s="12">
        <f>INT(TODAY()-TabelaSobras8[[#This Row],[Data do
Registro inical]])</f>
        <v/>
      </c>
      <c r="U11" s="170" t="n"/>
    </row>
    <row r="12" hidden="1" ht="14.4" customHeight="1">
      <c r="A12" s="170" t="inlineStr">
        <is>
          <t>N25041</t>
        </is>
      </c>
      <c r="B12" s="170">
        <f>VLOOKUP(LEFT(A12,1),Tabela5[],2,0)</f>
        <v/>
      </c>
      <c r="C12" s="170" t="inlineStr">
        <is>
          <t>EUCADUR FRJ - 2,5MM</t>
        </is>
      </c>
      <c r="D12" s="169" t="n">
        <v>695</v>
      </c>
      <c r="E12" s="169" t="n">
        <v>330</v>
      </c>
      <c r="F12" s="169">
        <f>TEXT(TabelaSobras8[[#This Row],[Comprimento 
Sobras (mm)]],0) &amp; " X " &amp; TEXT(E12,0)</f>
        <v/>
      </c>
      <c r="G12" s="170">
        <f>(TabelaSobras8[[#This Row],[Comprimento 
Sobras (mm)]]*E12/1000000)</f>
        <v/>
      </c>
      <c r="H12" s="170" t="n">
        <v>516</v>
      </c>
      <c r="I12" s="170">
        <f>IF(TabelaSobras8[[#This Row],[Estoque]]&lt;=$V$2,$U$4,$U$5)</f>
        <v/>
      </c>
      <c r="J12" s="170">
        <f>TabelaSobras8[[#This Row],[Quantidade de Sobra INICIAL]]-K12</f>
        <v/>
      </c>
      <c r="K12" s="169">
        <f>TabelaSobras8[[#This Row],[Quantidade de Sobra INICIAL]]-TabelaSobras8[[#This Row],[Saída]]-TabelaSobras8[[#This Row],[Saída 2]]-P12</f>
        <v/>
      </c>
      <c r="L12" s="170" t="inlineStr">
        <is>
          <t>Nesher</t>
        </is>
      </c>
      <c r="M12" s="169">
        <f>TabelaSobras8[[#This Row],[Estoque]]*5.8575</f>
        <v/>
      </c>
      <c r="N12" s="170" t="n">
        <v>516</v>
      </c>
      <c r="O12" s="170" t="n"/>
      <c r="P12" s="170" t="n"/>
      <c r="Q12" s="170" t="inlineStr">
        <is>
          <t>516 N25042</t>
        </is>
      </c>
      <c r="R12" s="170" t="inlineStr">
        <is>
          <t>Yuri</t>
        </is>
      </c>
      <c r="S12" s="6" t="n">
        <v>45810</v>
      </c>
      <c r="T12" s="12">
        <f>INT(TODAY()-TabelaSobras8[[#This Row],[Data do
Registro inical]])</f>
        <v/>
      </c>
      <c r="U12" s="170" t="n"/>
    </row>
    <row r="13" hidden="1" ht="14.4" customHeight="1">
      <c r="A13" s="170" t="inlineStr">
        <is>
          <t>N25041</t>
        </is>
      </c>
      <c r="B13" s="170">
        <f>VLOOKUP(LEFT(A13,1),Tabela5[],2,0)</f>
        <v/>
      </c>
      <c r="C13" s="170" t="inlineStr">
        <is>
          <t>EUCADUR FRJ - 2,5MM</t>
        </is>
      </c>
      <c r="D13" s="169" t="n">
        <v>329</v>
      </c>
      <c r="E13" s="169" t="n">
        <v>398</v>
      </c>
      <c r="F13" s="169">
        <f>TEXT(TabelaSobras8[[#This Row],[Comprimento 
Sobras (mm)]],0) &amp; " X " &amp; TEXT(E13,0)</f>
        <v/>
      </c>
      <c r="G13" s="170">
        <f>(TabelaSobras8[[#This Row],[Comprimento 
Sobras (mm)]]*E13/1000000)</f>
        <v/>
      </c>
      <c r="H13" s="170" t="n">
        <v>280</v>
      </c>
      <c r="I13" s="170">
        <f>IF(TabelaSobras8[[#This Row],[Estoque]]&lt;=$V$2,$U$4,$U$5)</f>
        <v/>
      </c>
      <c r="J13" s="170">
        <f>TabelaSobras8[[#This Row],[Quantidade de Sobra INICIAL]]-K13</f>
        <v/>
      </c>
      <c r="K13" s="169">
        <f>TabelaSobras8[[#This Row],[Quantidade de Sobra INICIAL]]-TabelaSobras8[[#This Row],[Saída]]-TabelaSobras8[[#This Row],[Saída 2]]-P13</f>
        <v/>
      </c>
      <c r="L13" s="170" t="inlineStr">
        <is>
          <t>Nesher</t>
        </is>
      </c>
      <c r="M13" s="169">
        <f>TabelaSobras8[[#This Row],[Estoque]]*5.8575</f>
        <v/>
      </c>
      <c r="N13" s="170" t="n">
        <v>280</v>
      </c>
      <c r="O13" s="170" t="n"/>
      <c r="P13" s="170" t="n"/>
      <c r="Q13" s="170" t="inlineStr">
        <is>
          <t>280 N25042</t>
        </is>
      </c>
      <c r="R13" s="170" t="inlineStr">
        <is>
          <t>Yuri</t>
        </is>
      </c>
      <c r="S13" s="6" t="n">
        <v>45810</v>
      </c>
      <c r="T13" s="12">
        <f>INT(TODAY()-TabelaSobras8[[#This Row],[Data do
Registro inical]])</f>
        <v/>
      </c>
      <c r="U13" s="170" t="n"/>
    </row>
    <row r="14" hidden="1" ht="14.4" customHeight="1">
      <c r="A14" s="170" t="inlineStr">
        <is>
          <t>N25043</t>
        </is>
      </c>
      <c r="B14" s="170">
        <f>VLOOKUP(LEFT(A14,1),Tabela5[],2,0)</f>
        <v/>
      </c>
      <c r="C14" s="170" t="inlineStr">
        <is>
          <t>EUCADUR FRJ - 2,5MM</t>
        </is>
      </c>
      <c r="D14" s="169" t="n">
        <v>729</v>
      </c>
      <c r="E14" s="169" t="n">
        <v>398</v>
      </c>
      <c r="F14" s="169">
        <f>TEXT(TabelaSobras8[[#This Row],[Comprimento 
Sobras (mm)]],0) &amp; " X " &amp; TEXT(E14,0)</f>
        <v/>
      </c>
      <c r="G14" s="170">
        <f>(TabelaSobras8[[#This Row],[Comprimento 
Sobras (mm)]]*E14/1000000)</f>
        <v/>
      </c>
      <c r="H14" s="170" t="n">
        <v>145</v>
      </c>
      <c r="I14" s="170">
        <f>IF(TabelaSobras8[[#This Row],[Estoque]]&lt;=$V$2,$U$4,$U$5)</f>
        <v/>
      </c>
      <c r="J14" s="170">
        <f>TabelaSobras8[[#This Row],[Quantidade de Sobra INICIAL]]-K14</f>
        <v/>
      </c>
      <c r="K14" s="169">
        <f>TabelaSobras8[[#This Row],[Quantidade de Sobra INICIAL]]-TabelaSobras8[[#This Row],[Saída]]-TabelaSobras8[[#This Row],[Saída 2]]-P14</f>
        <v/>
      </c>
      <c r="L14" s="170" t="inlineStr">
        <is>
          <t>Nesher</t>
        </is>
      </c>
      <c r="M14" s="169">
        <f>TabelaSobras8[[#This Row],[Estoque]]*5.8575</f>
        <v/>
      </c>
      <c r="N14" s="170" t="n">
        <v>145</v>
      </c>
      <c r="O14" s="170" t="n"/>
      <c r="P14" s="170" t="n"/>
      <c r="Q14" s="170" t="inlineStr">
        <is>
          <t>N25044</t>
        </is>
      </c>
      <c r="R14" s="170" t="inlineStr">
        <is>
          <t>Yuri</t>
        </is>
      </c>
      <c r="S14" s="6" t="n">
        <v>45813</v>
      </c>
      <c r="T14" s="12">
        <f>INT(TODAY()-TabelaSobras8[[#This Row],[Data do
Registro inical]])</f>
        <v/>
      </c>
      <c r="U14" s="170" t="n"/>
    </row>
    <row r="15" hidden="1" ht="14.4" customHeight="1">
      <c r="A15" s="170" t="inlineStr">
        <is>
          <t>N</t>
        </is>
      </c>
      <c r="B15" s="170">
        <f>VLOOKUP(LEFT(A15,1),Tabela5[],2,0)</f>
        <v/>
      </c>
      <c r="C15" s="170" t="inlineStr">
        <is>
          <t>EUCADUR FRJ - 2,5MM</t>
        </is>
      </c>
      <c r="D15" s="169" t="n">
        <v>695</v>
      </c>
      <c r="E15" s="169" t="n">
        <v>190</v>
      </c>
      <c r="F15" s="169">
        <f>TEXT(TabelaSobras8[[#This Row],[Comprimento 
Sobras (mm)]],0) &amp; " X " &amp; TEXT(E15,0)</f>
        <v/>
      </c>
      <c r="G15" s="170">
        <f>(TabelaSobras8[[#This Row],[Comprimento 
Sobras (mm)]]*E15/1000000)</f>
        <v/>
      </c>
      <c r="H15" s="170" t="n">
        <v>50</v>
      </c>
      <c r="I15" s="170">
        <f>IF(TabelaSobras8[[#This Row],[Estoque]]&lt;=$V$2,$U$4,$U$5)</f>
        <v/>
      </c>
      <c r="J15" s="170">
        <f>TabelaSobras8[[#This Row],[Quantidade de Sobra INICIAL]]-K15</f>
        <v/>
      </c>
      <c r="K15" s="169">
        <f>TabelaSobras8[[#This Row],[Quantidade de Sobra INICIAL]]-TabelaSobras8[[#This Row],[Saída]]-TabelaSobras8[[#This Row],[Saída 2]]-P15</f>
        <v/>
      </c>
      <c r="L15" s="170" t="inlineStr">
        <is>
          <t>Nesher</t>
        </is>
      </c>
      <c r="M15" s="169">
        <f>TabelaSobras8[[#This Row],[Estoque]]*5.8575</f>
        <v/>
      </c>
      <c r="N15" s="170" t="n">
        <v>50</v>
      </c>
      <c r="O15" s="170" t="n"/>
      <c r="P15" s="170" t="n"/>
      <c r="Q15" s="170" t="inlineStr">
        <is>
          <t>N25059</t>
        </is>
      </c>
      <c r="R15" s="170" t="inlineStr">
        <is>
          <t>Yuri</t>
        </is>
      </c>
      <c r="S15" s="6" t="n">
        <v>45809</v>
      </c>
      <c r="T15" s="12">
        <f>INT(TODAY()-TabelaSobras8[[#This Row],[Data do
Registro inical]])</f>
        <v/>
      </c>
      <c r="U15" s="170" t="n"/>
    </row>
    <row r="16" hidden="1" ht="28.8" customHeight="1">
      <c r="A16" s="170" t="inlineStr">
        <is>
          <t>N</t>
        </is>
      </c>
      <c r="B16" s="170">
        <f>VLOOKUP(LEFT(A16,1),Tabela5[],2,0)</f>
        <v/>
      </c>
      <c r="C16" s="170" t="inlineStr">
        <is>
          <t>EUCADUR NT - 2,5MM</t>
        </is>
      </c>
      <c r="D16" s="169" t="n">
        <v>729</v>
      </c>
      <c r="E16" s="169" t="n">
        <v>398</v>
      </c>
      <c r="F16" s="169">
        <f>TEXT(TabelaSobras8[[#This Row],[Comprimento 
Sobras (mm)]],0) &amp; " X " &amp; TEXT(E16,0)</f>
        <v/>
      </c>
      <c r="G16" s="170">
        <f>(TabelaSobras8[[#This Row],[Comprimento 
Sobras (mm)]]*E16/1000000)</f>
        <v/>
      </c>
      <c r="H16" s="170" t="n">
        <v>1050</v>
      </c>
      <c r="I16" s="170">
        <f>IF(TabelaSobras8[[#This Row],[Estoque]]&lt;=$V$2,$U$4,$U$5)</f>
        <v/>
      </c>
      <c r="J16" s="170">
        <f>TabelaSobras8[[#This Row],[Quantidade de Sobra INICIAL]]-K16</f>
        <v/>
      </c>
      <c r="K16" s="169">
        <f>TabelaSobras8[[#This Row],[Quantidade de Sobra INICIAL]]-TabelaSobras8[[#This Row],[Saída]]-TabelaSobras8[[#This Row],[Saída 2]]-P16</f>
        <v/>
      </c>
      <c r="L16" s="170" t="inlineStr">
        <is>
          <t>Nesher</t>
        </is>
      </c>
      <c r="M16" s="169">
        <f>TabelaSobras8[[#This Row],[Estoque]]*5.8575</f>
        <v/>
      </c>
      <c r="N16" s="170" t="n">
        <v>700</v>
      </c>
      <c r="O16" s="170" t="n">
        <v>350</v>
      </c>
      <c r="P16" s="170" t="n"/>
      <c r="Q16" s="8" t="inlineStr">
        <is>
          <t>700 N2504704
350 M25023</t>
        </is>
      </c>
      <c r="R16" s="170" t="inlineStr">
        <is>
          <t>Yuri</t>
        </is>
      </c>
      <c r="S16" s="10" t="n">
        <v>45821</v>
      </c>
      <c r="T16" s="12">
        <f>INT(TODAY()-TabelaSobras8[[#This Row],[Data do
Registro inical]])</f>
        <v/>
      </c>
      <c r="U16" s="170" t="n"/>
      <c r="V16" s="36" t="n"/>
    </row>
    <row r="17" hidden="1">
      <c r="A17" s="170" t="inlineStr">
        <is>
          <t>N</t>
        </is>
      </c>
      <c r="B17" s="170">
        <f>VLOOKUP(LEFT(A17,1),Tabela5[],2,0)</f>
        <v/>
      </c>
      <c r="C17" s="170" t="inlineStr">
        <is>
          <t>EUCADUR NT - 2,5MM</t>
        </is>
      </c>
      <c r="D17" s="169" t="n">
        <v>695</v>
      </c>
      <c r="E17" s="169" t="n">
        <v>509</v>
      </c>
      <c r="F17" s="169">
        <f>TEXT(TabelaSobras8[[#This Row],[Comprimento 
Sobras (mm)]],0) &amp; " X " &amp; TEXT(E17,0)</f>
        <v/>
      </c>
      <c r="G17" s="170">
        <f>(TabelaSobras8[[#This Row],[Comprimento 
Sobras (mm)]]*E17/1000000)</f>
        <v/>
      </c>
      <c r="H17" s="170" t="n">
        <v>350</v>
      </c>
      <c r="I17" s="170">
        <f>IF(TabelaSobras8[[#This Row],[Estoque]]&lt;=$V$2,$U$4,$U$5)</f>
        <v/>
      </c>
      <c r="J17" s="170">
        <f>TabelaSobras8[[#This Row],[Quantidade de Sobra INICIAL]]-K17</f>
        <v/>
      </c>
      <c r="K17" s="169">
        <f>TabelaSobras8[[#This Row],[Quantidade de Sobra INICIAL]]-TabelaSobras8[[#This Row],[Saída]]-TabelaSobras8[[#This Row],[Saída 2]]-P17</f>
        <v/>
      </c>
      <c r="L17" s="170" t="inlineStr">
        <is>
          <t>Nesher</t>
        </is>
      </c>
      <c r="M17" s="169">
        <f>TabelaSobras8[[#This Row],[Estoque]]*5.8575</f>
        <v/>
      </c>
      <c r="N17" s="170" t="n">
        <v>350</v>
      </c>
      <c r="O17" s="170" t="n"/>
      <c r="P17" s="170" t="n"/>
      <c r="Q17" s="11" t="inlineStr">
        <is>
          <t>350 N2504802</t>
        </is>
      </c>
      <c r="R17" s="170" t="inlineStr">
        <is>
          <t>Yuri</t>
        </is>
      </c>
      <c r="S17" s="10" t="n">
        <v>45821</v>
      </c>
      <c r="T17" s="12">
        <f>INT(TODAY()-TabelaSobras8[[#This Row],[Data do
Registro inical]])</f>
        <v/>
      </c>
      <c r="U17" s="170" t="n"/>
    </row>
    <row r="18" hidden="1">
      <c r="A18" s="170" t="inlineStr">
        <is>
          <t>M25037</t>
        </is>
      </c>
      <c r="B18" s="170">
        <f>VLOOKUP(LEFT(A18,1),Tabela5[],2,0)</f>
        <v/>
      </c>
      <c r="C18" s="170" t="inlineStr">
        <is>
          <t>EUCADUR FRJ - 2,5MM</t>
        </is>
      </c>
      <c r="D18" s="169" t="n">
        <v>329</v>
      </c>
      <c r="E18" s="169" t="n">
        <v>398</v>
      </c>
      <c r="F18" s="169">
        <f>TEXT(TabelaSobras8[[#This Row],[Comprimento 
Sobras (mm)]],0) &amp; " X " &amp; TEXT(E18,0)</f>
        <v/>
      </c>
      <c r="G18" s="170">
        <f>(TabelaSobras8[[#This Row],[Comprimento 
Sobras (mm)]]*E18/1000000)</f>
        <v/>
      </c>
      <c r="H18" s="170" t="n">
        <v>350</v>
      </c>
      <c r="I18" s="170">
        <f>IF(TabelaSobras8[[#This Row],[Estoque]]&lt;=$V$2,$U$4,$U$5)</f>
        <v/>
      </c>
      <c r="J18" s="170">
        <f>TabelaSobras8[[#This Row],[Quantidade de Sobra INICIAL]]-K18</f>
        <v/>
      </c>
      <c r="K18" s="29">
        <f>TabelaSobras8[[#This Row],[Quantidade de Sobra INICIAL]]-TabelaSobras8[[#This Row],[Saída]]-TabelaSobras8[[#This Row],[Saída 2]]-P18</f>
        <v/>
      </c>
      <c r="L18" s="169" t="inlineStr">
        <is>
          <t>Multilínea</t>
        </is>
      </c>
      <c r="M18" s="169">
        <f>TabelaSobras8[[#This Row],[Estoque]]*5.8575</f>
        <v/>
      </c>
      <c r="N18" s="170" t="n">
        <v>350</v>
      </c>
      <c r="O18" s="170" t="n"/>
      <c r="P18" s="170" t="n"/>
      <c r="Q18" s="169" t="inlineStr">
        <is>
          <t>ENVIAR P/NESHER</t>
        </is>
      </c>
      <c r="R18" s="170" t="inlineStr">
        <is>
          <t>Yuri</t>
        </is>
      </c>
      <c r="S18" s="6" t="n">
        <v>45881</v>
      </c>
      <c r="T18" s="12">
        <f>INT(TODAY()-TabelaSobras8[[#This Row],[Data do
Registro inical]])</f>
        <v/>
      </c>
      <c r="U18" s="170" t="n"/>
    </row>
    <row r="19" hidden="1" ht="14.4" customHeight="1">
      <c r="A19" s="170" t="inlineStr">
        <is>
          <t>N</t>
        </is>
      </c>
      <c r="B19" s="170">
        <f>VLOOKUP(LEFT(A19,1),Tabela5[],2,0)</f>
        <v/>
      </c>
      <c r="C19" s="170" t="inlineStr">
        <is>
          <t>EUCADUR FRJ - 2,5MM</t>
        </is>
      </c>
      <c r="D19" s="169" t="n">
        <v>695</v>
      </c>
      <c r="E19" s="169" t="n">
        <v>312</v>
      </c>
      <c r="F19" s="169">
        <f>TEXT(TabelaSobras8[[#This Row],[Comprimento 
Sobras (mm)]],0) &amp; " X " &amp; TEXT(E19,0)</f>
        <v/>
      </c>
      <c r="G19" s="170">
        <f>(TabelaSobras8[[#This Row],[Comprimento 
Sobras (mm)]]*E19/1000000)</f>
        <v/>
      </c>
      <c r="H19" s="170" t="n">
        <v>225</v>
      </c>
      <c r="I19" s="170">
        <f>IF(TabelaSobras8[[#This Row],[Estoque]]&lt;=$V$2,$U$4,$U$5)</f>
        <v/>
      </c>
      <c r="J19" s="170">
        <f>TabelaSobras8[[#This Row],[Quantidade de Sobra INICIAL]]-K19</f>
        <v/>
      </c>
      <c r="K19" s="169">
        <f>TabelaSobras8[[#This Row],[Quantidade de Sobra INICIAL]]-TabelaSobras8[[#This Row],[Saída]]-TabelaSobras8[[#This Row],[Saída 2]]-P19</f>
        <v/>
      </c>
      <c r="L19" s="169" t="inlineStr">
        <is>
          <t>Nesher</t>
        </is>
      </c>
      <c r="M19" s="169">
        <f>TabelaSobras8[[#This Row],[Estoque]]*5.8575</f>
        <v/>
      </c>
      <c r="N19" s="170" t="n">
        <v>225</v>
      </c>
      <c r="O19" s="170" t="n"/>
      <c r="P19" s="170" t="n"/>
      <c r="Q19" s="170" t="inlineStr">
        <is>
          <t>N2506801</t>
        </is>
      </c>
      <c r="R19" s="170" t="inlineStr">
        <is>
          <t>Yuri</t>
        </is>
      </c>
      <c r="S19" s="6" t="n">
        <v>45837</v>
      </c>
      <c r="T19" s="12">
        <f>INT(TODAY()-TabelaSobras8[[#This Row],[Data do
Registro inical]])</f>
        <v/>
      </c>
      <c r="U19" s="170" t="n"/>
    </row>
    <row r="20" hidden="1" ht="14.4" customHeight="1">
      <c r="A20" s="170" t="inlineStr">
        <is>
          <t>N</t>
        </is>
      </c>
      <c r="B20" s="170">
        <f>VLOOKUP(LEFT(A20,1),Tabela5[],2,0)</f>
        <v/>
      </c>
      <c r="C20" s="170" t="inlineStr">
        <is>
          <t>EUCADUR NT - 2,5MM</t>
        </is>
      </c>
      <c r="D20" s="169" t="n">
        <v>795</v>
      </c>
      <c r="E20" s="169" t="n">
        <v>379</v>
      </c>
      <c r="F20" s="169">
        <f>TEXT(TabelaSobras8[[#This Row],[Comprimento 
Sobras (mm)]],0) &amp; " X " &amp; TEXT(E20,0)</f>
        <v/>
      </c>
      <c r="G20" s="170">
        <f>(TabelaSobras8[[#This Row],[Comprimento 
Sobras (mm)]]*E20/1000000)</f>
        <v/>
      </c>
      <c r="H20" s="170" t="n">
        <v>300</v>
      </c>
      <c r="I20" s="170">
        <f>IF(TabelaSobras8[[#This Row],[Estoque]]&lt;=$V$2,$U$4,$U$5)</f>
        <v/>
      </c>
      <c r="J20" s="170">
        <f>TabelaSobras8[[#This Row],[Quantidade de Sobra INICIAL]]-K20</f>
        <v/>
      </c>
      <c r="K20" s="169">
        <f>TabelaSobras8[[#This Row],[Quantidade de Sobra INICIAL]]-TabelaSobras8[[#This Row],[Saída]]-TabelaSobras8[[#This Row],[Saída 2]]-P20</f>
        <v/>
      </c>
      <c r="L20" s="169" t="inlineStr">
        <is>
          <t>Nesher</t>
        </is>
      </c>
      <c r="M20" s="169">
        <f>TabelaSobras8[[#This Row],[Estoque]]*5.8575</f>
        <v/>
      </c>
      <c r="N20" s="170" t="n">
        <v>300</v>
      </c>
      <c r="O20" s="170" t="n"/>
      <c r="P20" s="170" t="n"/>
      <c r="Q20" s="170" t="inlineStr">
        <is>
          <t>RECORTE N25050</t>
        </is>
      </c>
      <c r="R20" s="170" t="inlineStr">
        <is>
          <t>Yuri</t>
        </is>
      </c>
      <c r="S20" s="10" t="n">
        <v>45833</v>
      </c>
      <c r="T20" s="12">
        <f>INT(TODAY()-TabelaSobras8[[#This Row],[Data do
Registro inical]])</f>
        <v/>
      </c>
      <c r="U20" s="170" t="n"/>
    </row>
    <row r="21" hidden="1" ht="14.4" customHeight="1">
      <c r="A21" s="170" t="inlineStr">
        <is>
          <t>N</t>
        </is>
      </c>
      <c r="B21" s="170">
        <f>VLOOKUP(LEFT(A21,1),Tabela5[],2,0)</f>
        <v/>
      </c>
      <c r="C21" s="170" t="inlineStr">
        <is>
          <t>DURATREE -2,5MM</t>
        </is>
      </c>
      <c r="D21" s="169" t="n">
        <v>795</v>
      </c>
      <c r="E21" s="169" t="n">
        <v>404</v>
      </c>
      <c r="F21" s="169">
        <f>TEXT(TabelaSobras8[[#This Row],[Comprimento 
Sobras (mm)]],0) &amp; " X " &amp; TEXT(E21,0)</f>
        <v/>
      </c>
      <c r="G21" s="170">
        <f>(TabelaSobras8[[#This Row],[Comprimento 
Sobras (mm)]]*E21/1000000)</f>
        <v/>
      </c>
      <c r="H21" s="170" t="n">
        <v>152</v>
      </c>
      <c r="I21" s="170">
        <f>IF(TabelaSobras8[[#This Row],[Estoque]]&lt;=$V$2,$U$4,$U$5)</f>
        <v/>
      </c>
      <c r="J21" s="170">
        <f>TabelaSobras8[[#This Row],[Quantidade de Sobra INICIAL]]-K21</f>
        <v/>
      </c>
      <c r="K21" s="169">
        <f>TabelaSobras8[[#This Row],[Quantidade de Sobra INICIAL]]-TabelaSobras8[[#This Row],[Saída]]-TabelaSobras8[[#This Row],[Saída 2]]-P21</f>
        <v/>
      </c>
      <c r="L21" s="169" t="inlineStr">
        <is>
          <t>Nesher</t>
        </is>
      </c>
      <c r="M21" s="169">
        <f>TabelaSobras8[[#This Row],[Estoque]]*5.8575</f>
        <v/>
      </c>
      <c r="N21" s="170" t="n">
        <v>152</v>
      </c>
      <c r="O21" s="170" t="n"/>
      <c r="P21" s="170" t="n"/>
      <c r="Q21" s="170" t="inlineStr">
        <is>
          <t>RECORTE NO LOTE M25025</t>
        </is>
      </c>
      <c r="R21" s="170" t="inlineStr">
        <is>
          <t>Yuri</t>
        </is>
      </c>
      <c r="S21" s="10" t="n">
        <v>45833</v>
      </c>
      <c r="T21" s="12">
        <f>INT(TODAY()-TabelaSobras8[[#This Row],[Data do
Registro inical]])</f>
        <v/>
      </c>
      <c r="U21" s="170" t="n"/>
    </row>
    <row r="22" hidden="1" ht="28.8" customHeight="1">
      <c r="A22" s="170" t="inlineStr">
        <is>
          <t>N</t>
        </is>
      </c>
      <c r="B22" s="170">
        <f>VLOOKUP(LEFT(A22,1),Tabela5[],2,0)</f>
        <v/>
      </c>
      <c r="C22" s="170" t="inlineStr">
        <is>
          <t>EUCADUR NT - 2,5MM</t>
        </is>
      </c>
      <c r="D22" s="169" t="n">
        <v>540</v>
      </c>
      <c r="E22" s="169" t="n">
        <v>398</v>
      </c>
      <c r="F22" s="169">
        <f>TEXT(TabelaSobras8[[#This Row],[Comprimento 
Sobras (mm)]],0) &amp; " X " &amp; TEXT(E22,0)</f>
        <v/>
      </c>
      <c r="G22" s="170">
        <f>(TabelaSobras8[[#This Row],[Comprimento 
Sobras (mm)]]*E22/1000000)</f>
        <v/>
      </c>
      <c r="H22" s="170">
        <f>640+510</f>
        <v/>
      </c>
      <c r="I22" s="170">
        <f>IF(TabelaSobras8[[#This Row],[Estoque]]&lt;=$V$2,$U$4,$U$5)</f>
        <v/>
      </c>
      <c r="J22" s="170">
        <f>TabelaSobras8[[#This Row],[Quantidade de Sobra INICIAL]]-K22</f>
        <v/>
      </c>
      <c r="K22" s="169">
        <f>TabelaSobras8[[#This Row],[Quantidade de Sobra INICIAL]]-TabelaSobras8[[#This Row],[Saída]]-TabelaSobras8[[#This Row],[Saída 2]]-P22</f>
        <v/>
      </c>
      <c r="L22" s="169" t="inlineStr">
        <is>
          <t>Nesher</t>
        </is>
      </c>
      <c r="M22" s="169">
        <f>TabelaSobras8[[#This Row],[Estoque]]*5.8575</f>
        <v/>
      </c>
      <c r="N22" s="170" t="n">
        <v>700</v>
      </c>
      <c r="O22" s="170" t="n">
        <v>450</v>
      </c>
      <c r="P22" s="170" t="n"/>
      <c r="Q22" s="8" t="inlineStr">
        <is>
          <t>700 PARA N25054
450 PARA M25030</t>
        </is>
      </c>
      <c r="R22" s="170" t="inlineStr">
        <is>
          <t>Yuri</t>
        </is>
      </c>
      <c r="S22" s="10" t="n">
        <v>45833</v>
      </c>
      <c r="T22" s="12">
        <f>INT(TODAY()-TabelaSobras8[[#This Row],[Data do
Registro inical]])</f>
        <v/>
      </c>
      <c r="U22" s="170" t="n"/>
    </row>
    <row r="23" hidden="1" ht="43.2" customHeight="1">
      <c r="A23" s="170" t="inlineStr">
        <is>
          <t>N</t>
        </is>
      </c>
      <c r="B23" s="170">
        <f>VLOOKUP(LEFT(A23,1),Tabela5[],2,0)</f>
        <v/>
      </c>
      <c r="C23" s="170" t="inlineStr">
        <is>
          <t>EUCADUR NT - 2,5MM</t>
        </is>
      </c>
      <c r="D23" s="169" t="n">
        <v>795</v>
      </c>
      <c r="E23" s="169" t="n">
        <v>379</v>
      </c>
      <c r="F23" s="169">
        <f>TEXT(TabelaSobras8[[#This Row],[Comprimento 
Sobras (mm)]],0) &amp; " X " &amp; TEXT(E23,0)</f>
        <v/>
      </c>
      <c r="G23" s="170">
        <f>(TabelaSobras8[[#This Row],[Comprimento 
Sobras (mm)]]*E23/1000000)</f>
        <v/>
      </c>
      <c r="H23" s="170" t="n">
        <v>300</v>
      </c>
      <c r="I23" s="170">
        <f>IF(TabelaSobras8[[#This Row],[Estoque]]&lt;=$V$2,$U$4,$U$5)</f>
        <v/>
      </c>
      <c r="J23" s="170">
        <f>TabelaSobras8[[#This Row],[Quantidade de Sobra INICIAL]]-K23</f>
        <v/>
      </c>
      <c r="K23" s="169">
        <f>TabelaSobras8[[#This Row],[Quantidade de Sobra INICIAL]]-TabelaSobras8[[#This Row],[Saída]]-TabelaSobras8[[#This Row],[Saída 2]]-P23</f>
        <v/>
      </c>
      <c r="L23" s="169" t="inlineStr">
        <is>
          <t>Nesher</t>
        </is>
      </c>
      <c r="M23" s="169">
        <f>TabelaSobras8[[#This Row],[Estoque]]*5.8575</f>
        <v/>
      </c>
      <c r="N23" s="170" t="n">
        <v>78</v>
      </c>
      <c r="O23" s="170" t="n">
        <v>222</v>
      </c>
      <c r="P23" s="170" t="n"/>
      <c r="Q23" s="8" t="inlineStr">
        <is>
          <t>78 - RECORTE N25050
222- M25027</t>
        </is>
      </c>
      <c r="R23" s="170" t="inlineStr">
        <is>
          <t>Yuri</t>
        </is>
      </c>
      <c r="S23" s="10" t="n">
        <v>45833</v>
      </c>
      <c r="T23" s="12">
        <f>INT(TODAY()-TabelaSobras8[[#This Row],[Data do
Registro inical]])</f>
        <v/>
      </c>
      <c r="U23" s="170" t="n"/>
    </row>
    <row r="24" hidden="1" ht="14.4" customHeight="1">
      <c r="A24" s="170" t="inlineStr">
        <is>
          <t>N</t>
        </is>
      </c>
      <c r="B24" s="170">
        <f>VLOOKUP(LEFT(A24,1),Tabela5[],2,0)</f>
        <v/>
      </c>
      <c r="C24" s="170" t="inlineStr">
        <is>
          <t>EUCADUR FRJ - 2,5MM</t>
        </is>
      </c>
      <c r="D24" s="169" t="n">
        <v>695</v>
      </c>
      <c r="E24" s="169" t="n">
        <v>285</v>
      </c>
      <c r="F24" s="169">
        <f>TEXT(TabelaSobras8[[#This Row],[Comprimento 
Sobras (mm)]],0) &amp; " X " &amp; TEXT(E24,0)</f>
        <v/>
      </c>
      <c r="G24" s="170">
        <f>(TabelaSobras8[[#This Row],[Comprimento 
Sobras (mm)]]*E24/1000000)</f>
        <v/>
      </c>
      <c r="H24" s="170" t="n">
        <v>57</v>
      </c>
      <c r="I24" s="170">
        <f>IF(TabelaSobras8[[#This Row],[Estoque]]&lt;=$V$2,$U$4,$U$5)</f>
        <v/>
      </c>
      <c r="J24" s="170">
        <f>TabelaSobras8[[#This Row],[Quantidade de Sobra INICIAL]]-K24</f>
        <v/>
      </c>
      <c r="K24" s="169">
        <f>TabelaSobras8[[#This Row],[Quantidade de Sobra INICIAL]]-TabelaSobras8[[#This Row],[Saída]]-TabelaSobras8[[#This Row],[Saída 2]]-P24</f>
        <v/>
      </c>
      <c r="L24" s="169" t="inlineStr">
        <is>
          <t>Nesher</t>
        </is>
      </c>
      <c r="M24" s="169">
        <f>TabelaSobras8[[#This Row],[Estoque]]*5.8575</f>
        <v/>
      </c>
      <c r="N24" s="170" t="n">
        <v>57</v>
      </c>
      <c r="O24" s="170" t="n"/>
      <c r="P24" s="170" t="n"/>
      <c r="Q24" s="170" t="inlineStr">
        <is>
          <t>N25056</t>
        </is>
      </c>
      <c r="R24" s="170" t="inlineStr">
        <is>
          <t>Yuri</t>
        </is>
      </c>
      <c r="S24" s="6" t="n">
        <v>45778</v>
      </c>
      <c r="T24" s="12">
        <f>INT(TODAY()-TabelaSobras8[[#This Row],[Data do
Registro inical]])</f>
        <v/>
      </c>
      <c r="U24" s="170" t="n"/>
    </row>
    <row r="25" hidden="1" ht="28.8" customHeight="1">
      <c r="A25" s="8" t="inlineStr">
        <is>
          <t>M25026
M25028</t>
        </is>
      </c>
      <c r="B25" s="170">
        <f>VLOOKUP(LEFT(A25,1),Tabela5[],2,0)</f>
        <v/>
      </c>
      <c r="C25" s="170" t="inlineStr">
        <is>
          <t>EUCADUR NT - 2,5MM</t>
        </is>
      </c>
      <c r="D25" s="169" t="n">
        <v>695</v>
      </c>
      <c r="E25" s="169" t="n">
        <v>317</v>
      </c>
      <c r="F25" s="169">
        <f>TEXT(TabelaSobras8[[#This Row],[Comprimento 
Sobras (mm)]],0) &amp; " X " &amp; TEXT(E25,0)</f>
        <v/>
      </c>
      <c r="G25" s="170">
        <f>(TabelaSobras8[[#This Row],[Comprimento 
Sobras (mm)]]*E25/1000000)</f>
        <v/>
      </c>
      <c r="H25" s="170" t="n">
        <v>665</v>
      </c>
      <c r="I25" s="170">
        <f>IF(TabelaSobras8[[#This Row],[Estoque]]&lt;=$V$2,$U$4,$U$5)</f>
        <v/>
      </c>
      <c r="J25" s="170">
        <f>TabelaSobras8[[#This Row],[Quantidade de Sobra INICIAL]]-K25</f>
        <v/>
      </c>
      <c r="K25" s="169">
        <f>TabelaSobras8[[#This Row],[Quantidade de Sobra INICIAL]]-TabelaSobras8[[#This Row],[Saída]]-TabelaSobras8[[#This Row],[Saída 2]]-P25</f>
        <v/>
      </c>
      <c r="L25" s="169" t="inlineStr">
        <is>
          <t>Nesher</t>
        </is>
      </c>
      <c r="M25" s="169">
        <f>TabelaSobras8[[#This Row],[Estoque]]*5.8575</f>
        <v/>
      </c>
      <c r="N25" s="170" t="n">
        <v>665</v>
      </c>
      <c r="O25" s="170" t="n"/>
      <c r="P25" s="170" t="n"/>
      <c r="Q25" s="170" t="inlineStr">
        <is>
          <t>N25052</t>
        </is>
      </c>
      <c r="R25" s="170" t="inlineStr">
        <is>
          <t>Yuri</t>
        </is>
      </c>
      <c r="S25" s="10" t="n">
        <v>45840</v>
      </c>
      <c r="T25" s="12">
        <f>INT(TODAY()-TabelaSobras8[[#This Row],[Data do
Registro inical]])</f>
        <v/>
      </c>
      <c r="U25" s="170" t="n"/>
    </row>
    <row r="26" hidden="1" ht="14.4" customHeight="1">
      <c r="A26" s="170" t="inlineStr">
        <is>
          <t>M25026</t>
        </is>
      </c>
      <c r="B26" s="170">
        <f>VLOOKUP(LEFT(A26,1),Tabela5[],2,0)</f>
        <v/>
      </c>
      <c r="C26" s="170" t="inlineStr">
        <is>
          <t>EUCADUR NT - 2,5MM</t>
        </is>
      </c>
      <c r="D26" s="169" t="n">
        <v>597</v>
      </c>
      <c r="E26" s="169" t="n">
        <v>398</v>
      </c>
      <c r="F26" s="169">
        <f>TEXT(TabelaSobras8[[#This Row],[Comprimento 
Sobras (mm)]],0) &amp; " X " &amp; TEXT(E26,0)</f>
        <v/>
      </c>
      <c r="G26" s="170">
        <f>(TabelaSobras8[[#This Row],[Comprimento 
Sobras (mm)]]*E26/1000000)</f>
        <v/>
      </c>
      <c r="H26" s="170" t="n">
        <v>135</v>
      </c>
      <c r="I26" s="170">
        <f>IF(TabelaSobras8[[#This Row],[Estoque]]&lt;=$V$2,$U$4,$U$5)</f>
        <v/>
      </c>
      <c r="J26" s="170">
        <f>TabelaSobras8[[#This Row],[Quantidade de Sobra INICIAL]]-K26</f>
        <v/>
      </c>
      <c r="K26" s="169">
        <f>TabelaSobras8[[#This Row],[Quantidade de Sobra INICIAL]]-TabelaSobras8[[#This Row],[Saída]]-TabelaSobras8[[#This Row],[Saída 2]]-P26</f>
        <v/>
      </c>
      <c r="L26" s="169" t="inlineStr">
        <is>
          <t>Nesher</t>
        </is>
      </c>
      <c r="M26" s="169">
        <f>TabelaSobras8[[#This Row],[Estoque]]*5.8575</f>
        <v/>
      </c>
      <c r="N26" s="170" t="n">
        <v>135</v>
      </c>
      <c r="O26" s="170" t="n"/>
      <c r="P26" s="170" t="n"/>
      <c r="Q26" s="170" t="inlineStr">
        <is>
          <t>N2505203,N2505303</t>
        </is>
      </c>
      <c r="R26" s="170" t="inlineStr">
        <is>
          <t>Yuri</t>
        </is>
      </c>
      <c r="S26" s="10" t="n">
        <v>45845</v>
      </c>
      <c r="T26" s="12">
        <f>INT(TODAY()-TabelaSobras8[[#This Row],[Data do
Registro inical]])</f>
        <v/>
      </c>
      <c r="U26" s="170" t="n"/>
    </row>
    <row r="27" hidden="1" ht="14.4" customHeight="1">
      <c r="A27" s="170" t="inlineStr">
        <is>
          <t>M25028</t>
        </is>
      </c>
      <c r="B27" s="170">
        <f>VLOOKUP(LEFT(A27,1),Tabela5[],2,0)</f>
        <v/>
      </c>
      <c r="C27" s="170" t="inlineStr">
        <is>
          <t>EUCADUR NT - 2,5MM</t>
        </is>
      </c>
      <c r="D27" s="169" t="n">
        <v>695</v>
      </c>
      <c r="E27" s="169" t="n">
        <v>195</v>
      </c>
      <c r="F27" s="169">
        <f>TEXT(TabelaSobras8[[#This Row],[Comprimento 
Sobras (mm)]],0) &amp; " X " &amp; TEXT(E27,0)</f>
        <v/>
      </c>
      <c r="G27" s="170">
        <f>(TabelaSobras8[[#This Row],[Comprimento 
Sobras (mm)]]*E27/1000000)</f>
        <v/>
      </c>
      <c r="H27" s="170" t="n">
        <v>408</v>
      </c>
      <c r="I27" s="170">
        <f>IF(TabelaSobras8[[#This Row],[Estoque]]&lt;=$V$2,$U$4,$U$5)</f>
        <v/>
      </c>
      <c r="J27" s="170">
        <f>TabelaSobras8[[#This Row],[Quantidade de Sobra INICIAL]]-K27</f>
        <v/>
      </c>
      <c r="K27" s="169">
        <f>TabelaSobras8[[#This Row],[Quantidade de Sobra INICIAL]]-TabelaSobras8[[#This Row],[Saída]]-TabelaSobras8[[#This Row],[Saída 2]]-P27</f>
        <v/>
      </c>
      <c r="L27" s="169" t="inlineStr">
        <is>
          <t>Nesher</t>
        </is>
      </c>
      <c r="M27" s="169">
        <f>TabelaSobras8[[#This Row],[Estoque]]*5.8575</f>
        <v/>
      </c>
      <c r="N27" s="170" t="n">
        <v>408</v>
      </c>
      <c r="O27" s="170" t="n"/>
      <c r="P27" s="170" t="n"/>
      <c r="Q27" s="170" t="inlineStr">
        <is>
          <t>N2505203,N2505303</t>
        </is>
      </c>
      <c r="R27" s="170" t="inlineStr">
        <is>
          <t>Yuri</t>
        </is>
      </c>
      <c r="S27" s="10" t="n">
        <v>45845</v>
      </c>
      <c r="T27" s="12">
        <f>INT(TODAY()-TabelaSobras8[[#This Row],[Data do
Registro inical]])</f>
        <v/>
      </c>
      <c r="U27" s="170" t="n"/>
    </row>
    <row r="28" hidden="1">
      <c r="A28" s="170" t="inlineStr">
        <is>
          <t>N25053</t>
        </is>
      </c>
      <c r="B28" s="170">
        <f>VLOOKUP(LEFT(A28,1),Tabela5[],2,0)</f>
        <v/>
      </c>
      <c r="C28" s="170" t="inlineStr">
        <is>
          <t>EUCADUR NT - 2,5MM</t>
        </is>
      </c>
      <c r="D28" s="169" t="n">
        <v>695</v>
      </c>
      <c r="E28" s="169" t="n">
        <v>317</v>
      </c>
      <c r="F28" s="169">
        <f>TEXT(TabelaSobras8[[#This Row],[Comprimento 
Sobras (mm)]],0) &amp; " X " &amp; TEXT(E28,0)</f>
        <v/>
      </c>
      <c r="G28" s="170">
        <f>(TabelaSobras8[[#This Row],[Comprimento 
Sobras (mm)]]*E28/1000000)</f>
        <v/>
      </c>
      <c r="H28" s="170" t="n">
        <v>72</v>
      </c>
      <c r="I28" s="170">
        <f>IF(TabelaSobras8[[#This Row],[Estoque]]&lt;=$V$2,$U$4,$U$5)</f>
        <v/>
      </c>
      <c r="J28" s="170">
        <f>TabelaSobras8[[#This Row],[Quantidade de Sobra INICIAL]]-K28</f>
        <v/>
      </c>
      <c r="K28" s="29">
        <f>TabelaSobras8[[#This Row],[Quantidade de Sobra INICIAL]]-TabelaSobras8[[#This Row],[Saída]]-TabelaSobras8[[#This Row],[Saída 2]]-P28</f>
        <v/>
      </c>
      <c r="L28" s="169" t="inlineStr">
        <is>
          <t>Nesher</t>
        </is>
      </c>
      <c r="M28" s="169">
        <f>TabelaSobras8[[#This Row],[Estoque]]*5.8575</f>
        <v/>
      </c>
      <c r="N28" s="170" t="n">
        <v>72</v>
      </c>
      <c r="O28" s="170" t="n"/>
      <c r="P28" s="170" t="n"/>
      <c r="Q28" s="170" t="inlineStr">
        <is>
          <t>N25060</t>
        </is>
      </c>
      <c r="R28" s="170" t="inlineStr">
        <is>
          <t>Yuri</t>
        </is>
      </c>
      <c r="S28" s="6" t="n">
        <v>45852</v>
      </c>
      <c r="T28" s="12">
        <f>INT(TODAY()-TabelaSobras8[[#This Row],[Data do
Registro inical]])</f>
        <v/>
      </c>
    </row>
    <row r="29" hidden="1">
      <c r="A29" s="170" t="inlineStr">
        <is>
          <t>M25031</t>
        </is>
      </c>
      <c r="B29" s="170">
        <f>VLOOKUP(LEFT(A29,1),Tabela5[],2,0)</f>
        <v/>
      </c>
      <c r="C29" s="170" t="inlineStr">
        <is>
          <t>EUCADUR NT - 2,5MM</t>
        </is>
      </c>
      <c r="D29" s="169" t="n">
        <v>695</v>
      </c>
      <c r="E29" s="169" t="n">
        <v>317</v>
      </c>
      <c r="F29" s="169">
        <f>TEXT(TabelaSobras8[[#This Row],[Comprimento 
Sobras (mm)]],0) &amp; " X " &amp; TEXT(E29,0)</f>
        <v/>
      </c>
      <c r="G29" s="170">
        <f>(TabelaSobras8[[#This Row],[Comprimento 
Sobras (mm)]]*E29/1000000)</f>
        <v/>
      </c>
      <c r="H29" s="170" t="n">
        <v>222</v>
      </c>
      <c r="I29" s="170">
        <f>IF(TabelaSobras8[[#This Row],[Estoque]]&lt;=$V$2,$U$4,$U$5)</f>
        <v/>
      </c>
      <c r="J29" s="170">
        <f>TabelaSobras8[[#This Row],[Quantidade de Sobra INICIAL]]-K29</f>
        <v/>
      </c>
      <c r="K29" s="29">
        <f>TabelaSobras8[[#This Row],[Quantidade de Sobra INICIAL]]-TabelaSobras8[[#This Row],[Saída]]-TabelaSobras8[[#This Row],[Saída 2]]-P29</f>
        <v/>
      </c>
      <c r="L29" s="169" t="inlineStr">
        <is>
          <t>Nesher</t>
        </is>
      </c>
      <c r="M29" s="169">
        <f>TabelaSobras8[[#This Row],[Estoque]]*5.8575</f>
        <v/>
      </c>
      <c r="N29" s="170" t="n">
        <v>222</v>
      </c>
      <c r="O29" s="170" t="n"/>
      <c r="P29" s="170" t="n"/>
      <c r="Q29" s="170" t="inlineStr">
        <is>
          <t>N25060</t>
        </is>
      </c>
      <c r="R29" s="170" t="inlineStr">
        <is>
          <t>Yuri</t>
        </is>
      </c>
      <c r="S29" s="6" t="n">
        <v>45852</v>
      </c>
      <c r="T29" s="12">
        <f>INT(TODAY()-TabelaSobras8[[#This Row],[Data do
Registro inical]])</f>
        <v/>
      </c>
    </row>
    <row r="30" hidden="1">
      <c r="A30" s="170" t="inlineStr">
        <is>
          <t>M25037</t>
        </is>
      </c>
      <c r="B30" s="170">
        <f>VLOOKUP(LEFT(A30,1),Tabela5[],2,0)</f>
        <v/>
      </c>
      <c r="C30" s="170" t="inlineStr">
        <is>
          <t>EUCADUR FRJ - 2,5MM</t>
        </is>
      </c>
      <c r="D30" s="169" t="n">
        <v>1190</v>
      </c>
      <c r="E30" s="169" t="n">
        <v>312</v>
      </c>
      <c r="F30" s="169">
        <f>TEXT(TabelaSobras8[[#This Row],[Comprimento 
Sobras (mm)]],0) &amp; " X " &amp; TEXT(E30,0)</f>
        <v/>
      </c>
      <c r="G30" s="170">
        <f>(TabelaSobras8[[#This Row],[Comprimento 
Sobras (mm)]]*E30/1000000)</f>
        <v/>
      </c>
      <c r="H30" s="170" t="n">
        <v>70</v>
      </c>
      <c r="I30" s="170">
        <f>IF(TabelaSobras8[[#This Row],[Estoque]]&lt;=$V$2,$U$4,$U$5)</f>
        <v/>
      </c>
      <c r="J30" s="170">
        <f>TabelaSobras8[[#This Row],[Quantidade de Sobra INICIAL]]-K30</f>
        <v/>
      </c>
      <c r="K30" s="29">
        <f>TabelaSobras8[[#This Row],[Quantidade de Sobra INICIAL]]-TabelaSobras8[[#This Row],[Saída]]-TabelaSobras8[[#This Row],[Saída 2]]-P30</f>
        <v/>
      </c>
      <c r="L30" s="169" t="inlineStr">
        <is>
          <t>Multilínea</t>
        </is>
      </c>
      <c r="M30" s="169">
        <f>TabelaSobras8[[#This Row],[Estoque]]*5.8575</f>
        <v/>
      </c>
      <c r="N30" s="170" t="n">
        <v>70</v>
      </c>
      <c r="O30" s="170" t="n"/>
      <c r="P30" s="170" t="n"/>
      <c r="Q30" s="169" t="inlineStr">
        <is>
          <t>ENVIAR P/NESHER</t>
        </is>
      </c>
      <c r="R30" s="170" t="inlineStr">
        <is>
          <t>Yuri</t>
        </is>
      </c>
      <c r="S30" s="6" t="n">
        <v>45881</v>
      </c>
      <c r="T30" s="12">
        <f>INT(TODAY()-TabelaSobras8[[#This Row],[Data do
Registro inical]])</f>
        <v/>
      </c>
    </row>
    <row r="31" hidden="1" ht="14.4" customHeight="1">
      <c r="A31" s="170" t="inlineStr">
        <is>
          <t>N</t>
        </is>
      </c>
      <c r="B31" s="170">
        <f>VLOOKUP(LEFT(A31,1),Tabela5[],2,0)</f>
        <v/>
      </c>
      <c r="C31" s="170" t="inlineStr">
        <is>
          <t>DURATREE -2,5MM</t>
        </is>
      </c>
      <c r="D31" s="169" t="n">
        <v>695</v>
      </c>
      <c r="E31" s="169" t="n">
        <v>285</v>
      </c>
      <c r="F31" s="169">
        <f>TEXT(TabelaSobras8[[#This Row],[Comprimento 
Sobras (mm)]],0) &amp; " X " &amp; TEXT(E31,0)</f>
        <v/>
      </c>
      <c r="G31" s="170">
        <f>(TabelaSobras8[[#This Row],[Comprimento 
Sobras (mm)]]*E31/1000000)</f>
        <v/>
      </c>
      <c r="H31" s="170" t="n">
        <v>360</v>
      </c>
      <c r="I31" s="170">
        <f>IF(TabelaSobras8[[#This Row],[Estoque]]&lt;=$V$2,$U$4,$U$5)</f>
        <v/>
      </c>
      <c r="J31" s="170">
        <f>TabelaSobras8[[#This Row],[Quantidade de Sobra INICIAL]]-K31</f>
        <v/>
      </c>
      <c r="K31" s="169">
        <f>TabelaSobras8[[#This Row],[Quantidade de Sobra INICIAL]]-TabelaSobras8[[#This Row],[Saída]]-TabelaSobras8[[#This Row],[Saída 2]]-P31</f>
        <v/>
      </c>
      <c r="L31" s="169" t="inlineStr">
        <is>
          <t>Nesher</t>
        </is>
      </c>
      <c r="M31" s="169">
        <f>TabelaSobras8[[#This Row],[Estoque]]*5.8575</f>
        <v/>
      </c>
      <c r="N31" s="170" t="n">
        <v>360</v>
      </c>
      <c r="O31" s="170" t="n"/>
      <c r="P31" s="170" t="n"/>
      <c r="Q31" s="48" t="inlineStr">
        <is>
          <t>VENDIDO</t>
        </is>
      </c>
      <c r="R31" s="170" t="inlineStr">
        <is>
          <t>Yuri</t>
        </is>
      </c>
      <c r="S31" s="10" t="n">
        <v>45833</v>
      </c>
      <c r="T31" s="12">
        <f>INT(TODAY()-TabelaSobras8[[#This Row],[Data do
Registro inical]])</f>
        <v/>
      </c>
    </row>
    <row r="32" hidden="1" ht="14.4" customHeight="1">
      <c r="A32" s="170" t="inlineStr">
        <is>
          <t>N25051</t>
        </is>
      </c>
      <c r="B32" s="170">
        <f>VLOOKUP(LEFT(A32,1),Tabela5[],2,0)</f>
        <v/>
      </c>
      <c r="C32" s="170" t="inlineStr">
        <is>
          <t>EUCADUR FRJ - 2,5MM</t>
        </is>
      </c>
      <c r="D32" s="169" t="n">
        <v>540</v>
      </c>
      <c r="E32" s="169" t="n">
        <v>398</v>
      </c>
      <c r="F32" s="169">
        <f>TEXT(TabelaSobras8[[#This Row],[Comprimento 
Sobras (mm)]],0) &amp; " X " &amp; TEXT(E32,0)</f>
        <v/>
      </c>
      <c r="G32" s="170">
        <f>(TabelaSobras8[[#This Row],[Comprimento 
Sobras (mm)]]*E32/1000000)</f>
        <v/>
      </c>
      <c r="H32" s="170" t="n">
        <v>300</v>
      </c>
      <c r="I32" s="170">
        <f>IF(TabelaSobras8[[#This Row],[Estoque]]&lt;=$V$2,$U$4,$U$5)</f>
        <v/>
      </c>
      <c r="J32" s="170">
        <f>TabelaSobras8[[#This Row],[Quantidade de Sobra INICIAL]]-K32</f>
        <v/>
      </c>
      <c r="K32" s="169">
        <f>TabelaSobras8[[#This Row],[Quantidade de Sobra INICIAL]]-TabelaSobras8[[#This Row],[Saída]]-TabelaSobras8[[#This Row],[Saída 2]]-P32</f>
        <v/>
      </c>
      <c r="L32" s="169" t="inlineStr">
        <is>
          <t>Nesher</t>
        </is>
      </c>
      <c r="M32" s="169">
        <f>TabelaSobras8[[#This Row],[Estoque]]*5.8575</f>
        <v/>
      </c>
      <c r="N32" s="170" t="n">
        <v>300</v>
      </c>
      <c r="O32" s="170" t="n"/>
      <c r="P32" s="170" t="n"/>
      <c r="Q32" s="170" t="inlineStr">
        <is>
          <t>N2505201,N2505202</t>
        </is>
      </c>
      <c r="R32" s="170" t="inlineStr">
        <is>
          <t>Yuri</t>
        </is>
      </c>
      <c r="S32" s="6" t="n">
        <v>45849</v>
      </c>
      <c r="T32" s="12">
        <f>INT(TODAY()-TabelaSobras8[[#This Row],[Data do
Registro inical]])</f>
        <v/>
      </c>
    </row>
    <row r="33" hidden="1" ht="28.8" customHeight="1">
      <c r="A33" s="170" t="inlineStr">
        <is>
          <t>N25054</t>
        </is>
      </c>
      <c r="B33" s="170">
        <f>VLOOKUP(LEFT(A33,1),Tabela5[],2,0)</f>
        <v/>
      </c>
      <c r="C33" s="170" t="inlineStr">
        <is>
          <t>EUCADUR FRJ - 2,5MM</t>
        </is>
      </c>
      <c r="D33" s="169" t="n">
        <v>329</v>
      </c>
      <c r="E33" s="169" t="n">
        <v>398</v>
      </c>
      <c r="F33" s="169">
        <f>TEXT(TabelaSobras8[[#This Row],[Comprimento 
Sobras (mm)]],0) &amp; " X " &amp; TEXT(E33,0)</f>
        <v/>
      </c>
      <c r="G33" s="170">
        <f>(TabelaSobras8[[#This Row],[Comprimento 
Sobras (mm)]]*E33/1000000)</f>
        <v/>
      </c>
      <c r="H33" s="170" t="n">
        <v>448</v>
      </c>
      <c r="I33" s="170">
        <f>IF(TabelaSobras8[[#This Row],[Estoque]]&lt;=$V$2,$U$4,$U$5)</f>
        <v/>
      </c>
      <c r="J33" s="170">
        <f>TabelaSobras8[[#This Row],[Quantidade de Sobra INICIAL]]-K33</f>
        <v/>
      </c>
      <c r="K33" s="169">
        <f>TabelaSobras8[[#This Row],[Quantidade de Sobra INICIAL]]-TabelaSobras8[[#This Row],[Saída]]-TabelaSobras8[[#This Row],[Saída 2]]-P33</f>
        <v/>
      </c>
      <c r="L33" s="169" t="inlineStr">
        <is>
          <t>Nesher</t>
        </is>
      </c>
      <c r="M33" s="169">
        <f>TabelaSobras8[[#This Row],[Estoque]]*5.8575</f>
        <v/>
      </c>
      <c r="N33" s="170" t="n">
        <v>400</v>
      </c>
      <c r="O33" s="170" t="n">
        <v>48</v>
      </c>
      <c r="P33" s="170" t="n"/>
      <c r="Q33" s="8" t="inlineStr">
        <is>
          <t>I2503102,I2503104
M25032</t>
        </is>
      </c>
      <c r="R33" s="170" t="inlineStr">
        <is>
          <t>Yuri</t>
        </is>
      </c>
      <c r="S33" s="6" t="n">
        <v>45848</v>
      </c>
      <c r="T33" s="12">
        <f>INT(TODAY()-TabelaSobras8[[#This Row],[Data do
Registro inical]])</f>
        <v/>
      </c>
    </row>
    <row r="34" hidden="1" ht="14.4" customHeight="1">
      <c r="A34" s="170" t="inlineStr">
        <is>
          <t>I25031</t>
        </is>
      </c>
      <c r="B34" s="170">
        <f>VLOOKUP(LEFT(A34,1),Tabela5[],2,0)</f>
        <v/>
      </c>
      <c r="C34" s="170" t="inlineStr">
        <is>
          <t>EUCADUR FRJ - 2,5MM</t>
        </is>
      </c>
      <c r="D34" s="169" t="n">
        <v>695</v>
      </c>
      <c r="E34" s="169" t="n">
        <v>375</v>
      </c>
      <c r="F34" s="169">
        <f>TEXT(TabelaSobras8[[#This Row],[Comprimento 
Sobras (mm)]],0) &amp; " X " &amp; TEXT(E34,0)</f>
        <v/>
      </c>
      <c r="G34" s="170">
        <f>(TabelaSobras8[[#This Row],[Comprimento 
Sobras (mm)]]*E34/1000000)</f>
        <v/>
      </c>
      <c r="H34" s="170" t="n">
        <v>85</v>
      </c>
      <c r="I34" s="170">
        <f>IF(TabelaSobras8[[#This Row],[Estoque]]&lt;=$V$2,$U$4,$U$5)</f>
        <v/>
      </c>
      <c r="J34" s="170">
        <f>TabelaSobras8[[#This Row],[Quantidade de Sobra INICIAL]]-K34</f>
        <v/>
      </c>
      <c r="K34" s="169">
        <f>TabelaSobras8[[#This Row],[Quantidade de Sobra INICIAL]]-TabelaSobras8[[#This Row],[Saída]]-TabelaSobras8[[#This Row],[Saída 2]]-P34</f>
        <v/>
      </c>
      <c r="L34" s="169" t="inlineStr">
        <is>
          <t>Nesher</t>
        </is>
      </c>
      <c r="M34" s="169">
        <f>TabelaSobras8[[#This Row],[Estoque]]*5.8575</f>
        <v/>
      </c>
      <c r="N34" s="170" t="n">
        <v>85</v>
      </c>
      <c r="O34" s="170" t="n"/>
      <c r="P34" s="170" t="n"/>
      <c r="Q34" s="170" t="inlineStr">
        <is>
          <t>N25056</t>
        </is>
      </c>
      <c r="R34" s="170" t="inlineStr">
        <is>
          <t>Yuri</t>
        </is>
      </c>
      <c r="S34" s="6" t="n">
        <v>45849</v>
      </c>
      <c r="T34" s="12">
        <f>INT(TODAY()-TabelaSobras8[[#This Row],[Data do
Registro inical]])</f>
        <v/>
      </c>
    </row>
    <row r="35" hidden="1" ht="14.4" customHeight="1">
      <c r="A35" s="170" t="inlineStr">
        <is>
          <t>N25054</t>
        </is>
      </c>
      <c r="B35" s="170">
        <f>VLOOKUP(LEFT(A35,1),Tabela5[],2,0)</f>
        <v/>
      </c>
      <c r="C35" s="170" t="inlineStr">
        <is>
          <t>EUCADUR FRJ - 2,5MM</t>
        </is>
      </c>
      <c r="D35" s="169" t="n">
        <v>795</v>
      </c>
      <c r="E35" s="169" t="n">
        <v>387</v>
      </c>
      <c r="F35" s="169">
        <f>TEXT(TabelaSobras8[[#This Row],[Comprimento 
Sobras (mm)]],0) &amp; " X " &amp; TEXT(E35,0)</f>
        <v/>
      </c>
      <c r="G35" s="170">
        <f>(TabelaSobras8[[#This Row],[Comprimento 
Sobras (mm)]]*E35/1000000)</f>
        <v/>
      </c>
      <c r="H35" s="170" t="n">
        <v>700</v>
      </c>
      <c r="I35" s="170">
        <f>IF(TabelaSobras8[[#This Row],[Estoque]]&lt;=$V$2,$U$4,$U$5)</f>
        <v/>
      </c>
      <c r="J35" s="170">
        <f>TabelaSobras8[[#This Row],[Quantidade de Sobra INICIAL]]-K35</f>
        <v/>
      </c>
      <c r="K35" s="169">
        <f>TabelaSobras8[[#This Row],[Quantidade de Sobra INICIAL]]-TabelaSobras8[[#This Row],[Saída]]-TabelaSobras8[[#This Row],[Saída 2]]-P35</f>
        <v/>
      </c>
      <c r="L35" s="169" t="inlineStr">
        <is>
          <t>Nesher</t>
        </is>
      </c>
      <c r="M35" s="169">
        <f>TabelaSobras8[[#This Row],[Estoque]]*5.8575</f>
        <v/>
      </c>
      <c r="N35" s="170" t="n">
        <v>700</v>
      </c>
      <c r="O35" s="170" t="n"/>
      <c r="P35" s="170" t="n"/>
      <c r="Q35" s="26" t="inlineStr">
        <is>
          <t>RECORTE NO N25056</t>
        </is>
      </c>
      <c r="R35" s="170" t="inlineStr">
        <is>
          <t>Yuri</t>
        </is>
      </c>
      <c r="S35" s="6" t="n">
        <v>45853</v>
      </c>
      <c r="T35" s="12">
        <f>INT(TODAY()-TabelaSobras8[[#This Row],[Data do
Registro inical]])</f>
        <v/>
      </c>
    </row>
    <row r="36" hidden="1" ht="14.4" customHeight="1">
      <c r="A36" s="170" t="inlineStr">
        <is>
          <t>N25054</t>
        </is>
      </c>
      <c r="B36" s="170">
        <f>VLOOKUP(LEFT(A36,1),Tabela5[],2,0)</f>
        <v/>
      </c>
      <c r="C36" s="170" t="inlineStr">
        <is>
          <t>EUCADUR FRJ - 2,5MM</t>
        </is>
      </c>
      <c r="D36" s="169" t="n">
        <v>729</v>
      </c>
      <c r="E36" s="169" t="n">
        <v>398</v>
      </c>
      <c r="F36" s="169">
        <f>TEXT(TabelaSobras8[[#This Row],[Comprimento 
Sobras (mm)]],0) &amp; " X " &amp; TEXT(E36,0)</f>
        <v/>
      </c>
      <c r="G36" s="170">
        <f>(TabelaSobras8[[#This Row],[Comprimento 
Sobras (mm)]]*E36/1000000)</f>
        <v/>
      </c>
      <c r="H36" s="170" t="n">
        <v>350</v>
      </c>
      <c r="I36" s="170">
        <f>IF(TabelaSobras8[[#This Row],[Estoque]]&lt;=$V$2,$U$4,$U$5)</f>
        <v/>
      </c>
      <c r="J36" s="170">
        <f>TabelaSobras8[[#This Row],[Quantidade de Sobra INICIAL]]-K36</f>
        <v/>
      </c>
      <c r="K36" s="169">
        <f>TabelaSobras8[[#This Row],[Quantidade de Sobra INICIAL]]-TabelaSobras8[[#This Row],[Saída]]-TabelaSobras8[[#This Row],[Saída 2]]-P36</f>
        <v/>
      </c>
      <c r="L36" s="169" t="inlineStr">
        <is>
          <t>Nesher</t>
        </is>
      </c>
      <c r="M36" s="169">
        <f>TabelaSobras8[[#This Row],[Estoque]]*5.8575</f>
        <v/>
      </c>
      <c r="N36" s="170" t="n">
        <v>350</v>
      </c>
      <c r="O36" s="170" t="n"/>
      <c r="P36" s="170" t="n"/>
      <c r="Q36" s="26" t="inlineStr">
        <is>
          <t>recorte N25056</t>
        </is>
      </c>
      <c r="R36" s="170" t="inlineStr">
        <is>
          <t>Yuri</t>
        </is>
      </c>
      <c r="S36" s="6" t="n">
        <v>45853</v>
      </c>
      <c r="T36" s="12">
        <f>INT(TODAY()-TabelaSobras8[[#This Row],[Data do
Registro inical]])</f>
        <v/>
      </c>
    </row>
    <row r="37" hidden="1">
      <c r="A37" s="170" t="inlineStr">
        <is>
          <t>M25033</t>
        </is>
      </c>
      <c r="B37" s="170">
        <f>VLOOKUP(LEFT(A37,1),Tabela5[],2,0)</f>
        <v/>
      </c>
      <c r="C37" s="170" t="inlineStr">
        <is>
          <t>EUCADUR NT - 2,5MM</t>
        </is>
      </c>
      <c r="D37" s="169" t="n">
        <v>695</v>
      </c>
      <c r="E37" s="169" t="n">
        <v>317</v>
      </c>
      <c r="F37" s="169">
        <f>TEXT(TabelaSobras8[[#This Row],[Comprimento 
Sobras (mm)]],0) &amp; " X " &amp; TEXT(E37,0)</f>
        <v/>
      </c>
      <c r="G37" s="170">
        <f>(TabelaSobras8[[#This Row],[Comprimento 
Sobras (mm)]]*E37/1000000)</f>
        <v/>
      </c>
      <c r="H37" s="170" t="n">
        <v>57</v>
      </c>
      <c r="I37" s="170">
        <f>IF(TabelaSobras8[[#This Row],[Estoque]]&lt;=$V$2,$U$4,$U$5)</f>
        <v/>
      </c>
      <c r="J37" s="170">
        <f>TabelaSobras8[[#This Row],[Quantidade de Sobra INICIAL]]-K37</f>
        <v/>
      </c>
      <c r="K37" s="29">
        <f>TabelaSobras8[[#This Row],[Quantidade de Sobra INICIAL]]-TabelaSobras8[[#This Row],[Saída]]-TabelaSobras8[[#This Row],[Saída 2]]-P37</f>
        <v/>
      </c>
      <c r="L37" s="169" t="inlineStr">
        <is>
          <t>Nesher</t>
        </is>
      </c>
      <c r="M37" s="169">
        <f>TabelaSobras8[[#This Row],[Estoque]]*5.8575</f>
        <v/>
      </c>
      <c r="N37" s="170" t="n">
        <v>57</v>
      </c>
      <c r="O37" s="170" t="n"/>
      <c r="P37" s="170" t="n"/>
      <c r="Q37" s="170" t="inlineStr">
        <is>
          <t>N25060</t>
        </is>
      </c>
      <c r="R37" s="170" t="inlineStr">
        <is>
          <t>Yuri</t>
        </is>
      </c>
      <c r="S37" s="10" t="n">
        <v>45861</v>
      </c>
      <c r="T37" s="12">
        <f>INT(TODAY()-TabelaSobras8[[#This Row],[Data do
Registro inical]])</f>
        <v/>
      </c>
    </row>
    <row r="38" hidden="1">
      <c r="A38" s="170" t="inlineStr">
        <is>
          <t>M25033</t>
        </is>
      </c>
      <c r="B38" s="170">
        <f>VLOOKUP(LEFT(A38,1),Tabela5[],2,0)</f>
        <v/>
      </c>
      <c r="C38" s="170" t="inlineStr">
        <is>
          <t>EUCADUR NT - 2,5MM</t>
        </is>
      </c>
      <c r="D38" s="169" t="n">
        <v>695</v>
      </c>
      <c r="E38" s="169" t="n">
        <v>465</v>
      </c>
      <c r="F38" s="169">
        <f>TEXT(TabelaSobras8[[#This Row],[Comprimento 
Sobras (mm)]],0) &amp; " X " &amp; TEXT(E38,0)</f>
        <v/>
      </c>
      <c r="G38" s="170">
        <f>(TabelaSobras8[[#This Row],[Comprimento 
Sobras (mm)]]*E38/1000000)</f>
        <v/>
      </c>
      <c r="H38" s="170" t="n">
        <v>236</v>
      </c>
      <c r="I38" s="170">
        <f>IF(TabelaSobras8[[#This Row],[Estoque]]&lt;=$V$2,$U$4,$U$5)</f>
        <v/>
      </c>
      <c r="J38" s="170">
        <f>TabelaSobras8[[#This Row],[Quantidade de Sobra INICIAL]]-K38</f>
        <v/>
      </c>
      <c r="K38" s="29">
        <f>TabelaSobras8[[#This Row],[Quantidade de Sobra INICIAL]]-TabelaSobras8[[#This Row],[Saída]]-TabelaSobras8[[#This Row],[Saída 2]]-P38</f>
        <v/>
      </c>
      <c r="L38" s="169" t="inlineStr">
        <is>
          <t>Nesher</t>
        </is>
      </c>
      <c r="M38" s="169">
        <f>TabelaSobras8[[#This Row],[Estoque]]*5.8575</f>
        <v/>
      </c>
      <c r="N38" s="170" t="n">
        <v>236</v>
      </c>
      <c r="O38" s="170" t="n"/>
      <c r="P38" s="170" t="n"/>
      <c r="Q38" s="170" t="inlineStr">
        <is>
          <t>N25060</t>
        </is>
      </c>
      <c r="R38" s="170" t="inlineStr">
        <is>
          <t>Yuri</t>
        </is>
      </c>
      <c r="S38" s="10" t="n">
        <v>45861</v>
      </c>
      <c r="T38" s="12">
        <f>INT(TODAY()-TabelaSobras8[[#This Row],[Data do
Registro inical]])</f>
        <v/>
      </c>
    </row>
    <row r="39" hidden="1">
      <c r="A39" s="170" t="inlineStr">
        <is>
          <t>M25031</t>
        </is>
      </c>
      <c r="B39" s="170">
        <f>VLOOKUP(LEFT(A39,1),Tabela5[],2,0)</f>
        <v/>
      </c>
      <c r="C39" s="170" t="inlineStr">
        <is>
          <t>EUCADUR NT - 2,5MM</t>
        </is>
      </c>
      <c r="D39" s="169" t="n">
        <v>527</v>
      </c>
      <c r="E39" s="169" t="n">
        <v>418</v>
      </c>
      <c r="F39" s="169">
        <f>TEXT(TabelaSobras8[[#This Row],[Comprimento 
Sobras (mm)]],0) &amp; " X " &amp; TEXT(E39,0)</f>
        <v/>
      </c>
      <c r="G39" s="170">
        <f>(TabelaSobras8[[#This Row],[Comprimento 
Sobras (mm)]]*E39/1000000)</f>
        <v/>
      </c>
      <c r="H39" s="170" t="n">
        <v>20</v>
      </c>
      <c r="I39" s="170">
        <f>IF(TabelaSobras8[[#This Row],[Estoque]]&lt;=$V$2,$U$4,$U$5)</f>
        <v/>
      </c>
      <c r="J39" s="170">
        <f>TabelaSobras8[[#This Row],[Quantidade de Sobra INICIAL]]-K39</f>
        <v/>
      </c>
      <c r="K39" s="29">
        <f>TabelaSobras8[[#This Row],[Quantidade de Sobra INICIAL]]-TabelaSobras8[[#This Row],[Saída]]-TabelaSobras8[[#This Row],[Saída 2]]-P39</f>
        <v/>
      </c>
      <c r="L39" s="169" t="inlineStr">
        <is>
          <t>Nesher</t>
        </is>
      </c>
      <c r="M39" s="169">
        <f>TabelaSobras8[[#This Row],[Estoque]]*5.8575</f>
        <v/>
      </c>
      <c r="N39" s="170" t="n">
        <v>20</v>
      </c>
      <c r="O39" s="170" t="n"/>
      <c r="P39" s="170" t="n"/>
      <c r="Q39" s="170" t="n"/>
      <c r="R39" s="170" t="inlineStr">
        <is>
          <t>Yuri</t>
        </is>
      </c>
      <c r="S39" s="6" t="n">
        <v>45852</v>
      </c>
      <c r="T39" s="12">
        <f>INT(TODAY()-TabelaSobras8[[#This Row],[Data do
Registro inical]])</f>
        <v/>
      </c>
    </row>
    <row r="40" hidden="1">
      <c r="A40" s="170" t="inlineStr">
        <is>
          <t>M25031</t>
        </is>
      </c>
      <c r="B40" s="170">
        <f>VLOOKUP(LEFT(A40,1),Tabela5[],2,0)</f>
        <v/>
      </c>
      <c r="C40" s="170" t="inlineStr">
        <is>
          <t>EUCADUR NT - 2,5MM</t>
        </is>
      </c>
      <c r="D40" s="169" t="n">
        <v>695</v>
      </c>
      <c r="E40" s="169" t="n">
        <v>337</v>
      </c>
      <c r="F40" s="169">
        <f>TEXT(TabelaSobras8[[#This Row],[Comprimento 
Sobras (mm)]],0) &amp; " X " &amp; TEXT(E40,0)</f>
        <v/>
      </c>
      <c r="G40" s="170">
        <f>(TabelaSobras8[[#This Row],[Comprimento 
Sobras (mm)]]*E40/1000000)</f>
        <v/>
      </c>
      <c r="H40" s="170" t="n">
        <v>21</v>
      </c>
      <c r="I40" s="170">
        <f>IF(TabelaSobras8[[#This Row],[Estoque]]&lt;=$V$2,$U$4,$U$5)</f>
        <v/>
      </c>
      <c r="J40" s="170">
        <f>TabelaSobras8[[#This Row],[Quantidade de Sobra INICIAL]]-K40</f>
        <v/>
      </c>
      <c r="K40" s="29">
        <f>TabelaSobras8[[#This Row],[Quantidade de Sobra INICIAL]]-TabelaSobras8[[#This Row],[Saída]]-TabelaSobras8[[#This Row],[Saída 2]]-P40</f>
        <v/>
      </c>
      <c r="L40" s="169" t="inlineStr">
        <is>
          <t>Nesher</t>
        </is>
      </c>
      <c r="M40" s="169">
        <f>TabelaSobras8[[#This Row],[Estoque]]*5.8575</f>
        <v/>
      </c>
      <c r="N40" s="170" t="n">
        <v>21</v>
      </c>
      <c r="O40" s="170" t="n"/>
      <c r="P40" s="170" t="n"/>
      <c r="Q40" s="170" t="n"/>
      <c r="R40" s="170" t="inlineStr">
        <is>
          <t>Yuri</t>
        </is>
      </c>
      <c r="S40" s="6" t="n">
        <v>45852</v>
      </c>
      <c r="T40" s="12">
        <f>INT(TODAY()-TabelaSobras8[[#This Row],[Data do
Registro inical]])</f>
        <v/>
      </c>
    </row>
    <row r="41" hidden="1">
      <c r="A41" s="170" t="inlineStr">
        <is>
          <t>N</t>
        </is>
      </c>
      <c r="B41" s="170">
        <f>VLOOKUP(LEFT(A41,1),Tabela5[],2,0)</f>
        <v/>
      </c>
      <c r="C41" s="170" t="inlineStr">
        <is>
          <t>EUCADUR NT - 2,5MM</t>
        </is>
      </c>
      <c r="D41" s="169" t="n">
        <v>540</v>
      </c>
      <c r="E41" s="169" t="n">
        <v>398</v>
      </c>
      <c r="F41" s="169">
        <f>TEXT(TabelaSobras8[[#This Row],[Comprimento 
Sobras (mm)]],0) &amp; " X " &amp; TEXT(E41,0)</f>
        <v/>
      </c>
      <c r="G41" s="170">
        <f>(TabelaSobras8[[#This Row],[Comprimento 
Sobras (mm)]]*E41/1000000)</f>
        <v/>
      </c>
      <c r="H41" s="170" t="n">
        <v>600</v>
      </c>
      <c r="I41" s="170">
        <f>IF(TabelaSobras8[[#This Row],[Estoque]]&lt;=$V$2,$U$4,$U$5)</f>
        <v/>
      </c>
      <c r="J41" s="170">
        <f>TabelaSobras8[[#This Row],[Quantidade de Sobra INICIAL]]-K41</f>
        <v/>
      </c>
      <c r="K41" s="29">
        <f>TabelaSobras8[[#This Row],[Quantidade de Sobra INICIAL]]-TabelaSobras8[[#This Row],[Saída]]-TabelaSobras8[[#This Row],[Saída 2]]-P41</f>
        <v/>
      </c>
      <c r="L41" s="169" t="inlineStr">
        <is>
          <t>Nesher</t>
        </is>
      </c>
      <c r="M41" s="169">
        <f>TabelaSobras8[[#This Row],[Estoque]]*5.8575</f>
        <v/>
      </c>
      <c r="N41" s="170" t="n">
        <v>600</v>
      </c>
      <c r="O41" s="170" t="n"/>
      <c r="P41" s="170" t="n"/>
      <c r="Q41" s="170" t="inlineStr">
        <is>
          <t>N25062</t>
        </is>
      </c>
      <c r="R41" s="170" t="inlineStr">
        <is>
          <t>Yuri</t>
        </is>
      </c>
      <c r="S41" s="10" t="n">
        <v>45863</v>
      </c>
      <c r="T41" s="12">
        <f>INT(TODAY()-TabelaSobras8[[#This Row],[Data do
Registro inical]])</f>
        <v/>
      </c>
    </row>
    <row r="42" hidden="1">
      <c r="A42" s="170" t="inlineStr">
        <is>
          <t>M25033</t>
        </is>
      </c>
      <c r="B42" s="170">
        <f>VLOOKUP(LEFT(A42,1),Tabela5[],2,0)</f>
        <v/>
      </c>
      <c r="C42" s="170" t="inlineStr">
        <is>
          <t>EUCADUR NT - 2,5MM</t>
        </is>
      </c>
      <c r="D42" s="169" t="n">
        <v>695</v>
      </c>
      <c r="E42" s="169" t="n">
        <v>190</v>
      </c>
      <c r="F42" s="169">
        <f>TEXT(TabelaSobras8[[#This Row],[Comprimento 
Sobras (mm)]],0) &amp; " X " &amp; TEXT(E42,0)</f>
        <v/>
      </c>
      <c r="G42" s="170">
        <f>(TabelaSobras8[[#This Row],[Comprimento 
Sobras (mm)]]*E42/1000000)</f>
        <v/>
      </c>
      <c r="H42" s="170" t="n">
        <v>59</v>
      </c>
      <c r="I42" s="170">
        <f>IF(TabelaSobras8[[#This Row],[Estoque]]&lt;=$V$2,$U$4,$U$5)</f>
        <v/>
      </c>
      <c r="J42" s="170">
        <f>TabelaSobras8[[#This Row],[Quantidade de Sobra INICIAL]]-K42</f>
        <v/>
      </c>
      <c r="K42" s="29">
        <f>TabelaSobras8[[#This Row],[Quantidade de Sobra INICIAL]]-TabelaSobras8[[#This Row],[Saída]]-TabelaSobras8[[#This Row],[Saída 2]]-P42</f>
        <v/>
      </c>
      <c r="L42" s="169" t="inlineStr">
        <is>
          <t>Nesher</t>
        </is>
      </c>
      <c r="M42" s="169">
        <f>TabelaSobras8[[#This Row],[Estoque]]*5.8575</f>
        <v/>
      </c>
      <c r="N42" s="170" t="n">
        <v>59</v>
      </c>
      <c r="O42" s="170" t="n"/>
      <c r="P42" s="170" t="n"/>
      <c r="Q42" s="170" t="n"/>
      <c r="R42" s="170" t="inlineStr">
        <is>
          <t>Yuri</t>
        </is>
      </c>
      <c r="S42" s="10" t="n">
        <v>45861</v>
      </c>
      <c r="T42" s="12">
        <f>INT(TODAY()-TabelaSobras8[[#This Row],[Data do
Registro inical]])</f>
        <v/>
      </c>
    </row>
    <row r="43" hidden="1" ht="14.4" customHeight="1">
      <c r="A43" s="170" t="inlineStr">
        <is>
          <t>N</t>
        </is>
      </c>
      <c r="B43" s="170">
        <f>VLOOKUP(LEFT(A43,1),Tabela5[],2,0)</f>
        <v/>
      </c>
      <c r="C43" s="170" t="inlineStr">
        <is>
          <t>EUCADUR FRJ - 2,5MM</t>
        </is>
      </c>
      <c r="D43" s="169" t="n">
        <v>629</v>
      </c>
      <c r="E43" s="169" t="n">
        <v>398</v>
      </c>
      <c r="F43" s="169">
        <f>TEXT(TabelaSobras8[[#This Row],[Comprimento 
Sobras (mm)]],0) &amp; " X " &amp; TEXT(E43,0)</f>
        <v/>
      </c>
      <c r="G43" s="170">
        <f>(TabelaSobras8[[#This Row],[Comprimento 
Sobras (mm)]]*E43/1000000)</f>
        <v/>
      </c>
      <c r="H43" s="170" t="n">
        <v>290</v>
      </c>
      <c r="I43" s="170">
        <f>IF(TabelaSobras8[[#This Row],[Estoque]]&lt;=$V$2,$U$4,$U$5)</f>
        <v/>
      </c>
      <c r="J43" s="170">
        <f>TabelaSobras8[[#This Row],[Quantidade de Sobra INICIAL]]-K43</f>
        <v/>
      </c>
      <c r="K43" s="169">
        <f>TabelaSobras8[[#This Row],[Quantidade de Sobra INICIAL]]-TabelaSobras8[[#This Row],[Saída]]-TabelaSobras8[[#This Row],[Saída 2]]-P43</f>
        <v/>
      </c>
      <c r="L43" s="169" t="inlineStr">
        <is>
          <t>Nesher</t>
        </is>
      </c>
      <c r="M43" s="169">
        <f>TabelaSobras8[[#This Row],[Estoque]]*5.8575</f>
        <v/>
      </c>
      <c r="N43" s="170" t="n">
        <v>290</v>
      </c>
      <c r="O43" s="170" t="n"/>
      <c r="P43" s="170" t="n"/>
      <c r="Q43" s="170" t="inlineStr">
        <is>
          <t>N2507205</t>
        </is>
      </c>
      <c r="R43" s="170" t="inlineStr">
        <is>
          <t>Yuri</t>
        </is>
      </c>
      <c r="S43" s="6" t="n">
        <v>45878</v>
      </c>
      <c r="T43" s="12">
        <f>INT(TODAY()-TabelaSobras8[[#This Row],[Data do
Registro inical]])</f>
        <v/>
      </c>
    </row>
    <row r="44" hidden="1" ht="14.4" customHeight="1">
      <c r="A44" s="170" t="inlineStr">
        <is>
          <t>N</t>
        </is>
      </c>
      <c r="B44" s="170">
        <f>VLOOKUP(LEFT(A44,1),Tabela5[],2,0)</f>
        <v/>
      </c>
      <c r="C44" s="170" t="inlineStr">
        <is>
          <t>EUCADUR FRJ - 2,5MM</t>
        </is>
      </c>
      <c r="D44" s="169" t="n">
        <v>695</v>
      </c>
      <c r="E44" s="169" t="n">
        <v>285</v>
      </c>
      <c r="F44" s="169">
        <f>TEXT(TabelaSobras8[[#This Row],[Comprimento 
Sobras (mm)]],0) &amp; " X " &amp; TEXT(E44,0)</f>
        <v/>
      </c>
      <c r="G44" s="170">
        <f>(TabelaSobras8[[#This Row],[Comprimento 
Sobras (mm)]]*E44/1000000)</f>
        <v/>
      </c>
      <c r="H44" s="170" t="n">
        <v>200</v>
      </c>
      <c r="I44" s="170">
        <f>IF(TabelaSobras8[[#This Row],[Estoque]]&lt;=$V$2,$U$4,$U$5)</f>
        <v/>
      </c>
      <c r="J44" s="170">
        <f>TabelaSobras8[[#This Row],[Quantidade de Sobra INICIAL]]-K44</f>
        <v/>
      </c>
      <c r="K44" s="169">
        <f>TabelaSobras8[[#This Row],[Quantidade de Sobra INICIAL]]-TabelaSobras8[[#This Row],[Saída]]-TabelaSobras8[[#This Row],[Saída 2]]-P44</f>
        <v/>
      </c>
      <c r="L44" s="169" t="inlineStr">
        <is>
          <t>Nesher</t>
        </is>
      </c>
      <c r="M44" s="169">
        <f>TabelaSobras8[[#This Row],[Estoque]]*5.8575</f>
        <v/>
      </c>
      <c r="N44" s="170" t="n">
        <v>200</v>
      </c>
      <c r="O44" s="170" t="n"/>
      <c r="P44" s="170" t="n"/>
      <c r="Q44" s="170" t="n"/>
      <c r="R44" s="170" t="inlineStr">
        <is>
          <t>Yuri</t>
        </is>
      </c>
      <c r="S44" s="6" t="n">
        <v>45878</v>
      </c>
      <c r="T44" s="12">
        <f>INT(TODAY()-TabelaSobras8[[#This Row],[Data do
Registro inical]])</f>
        <v/>
      </c>
    </row>
    <row r="45" hidden="1" ht="14.4" customHeight="1">
      <c r="A45" s="170" t="inlineStr">
        <is>
          <t>N</t>
        </is>
      </c>
      <c r="B45" s="170">
        <f>VLOOKUP(LEFT(A45,1),Tabela5[],2,0)</f>
        <v/>
      </c>
      <c r="C45" s="170" t="inlineStr">
        <is>
          <t>EUCADUR FRJ - 2,5MM</t>
        </is>
      </c>
      <c r="D45" s="169" t="n">
        <v>655</v>
      </c>
      <c r="E45" s="169" t="n">
        <v>390</v>
      </c>
      <c r="F45" s="169">
        <f>TEXT(TabelaSobras8[[#This Row],[Comprimento 
Sobras (mm)]],0) &amp; " X " &amp; TEXT(E45,0)</f>
        <v/>
      </c>
      <c r="G45" s="170">
        <f>(TabelaSobras8[[#This Row],[Comprimento 
Sobras (mm)]]*E45/1000000)</f>
        <v/>
      </c>
      <c r="H45" s="170" t="n">
        <v>200</v>
      </c>
      <c r="I45" s="170">
        <f>IF(TabelaSobras8[[#This Row],[Estoque]]&lt;=$V$2,$U$4,$U$5)</f>
        <v/>
      </c>
      <c r="J45" s="170">
        <f>TabelaSobras8[[#This Row],[Quantidade de Sobra INICIAL]]-K45</f>
        <v/>
      </c>
      <c r="K45" s="169">
        <f>TabelaSobras8[[#This Row],[Quantidade de Sobra INICIAL]]-TabelaSobras8[[#This Row],[Saída]]-TabelaSobras8[[#This Row],[Saída 2]]-P45</f>
        <v/>
      </c>
      <c r="L45" s="169" t="inlineStr">
        <is>
          <t>Nesher</t>
        </is>
      </c>
      <c r="M45" s="169">
        <f>TabelaSobras8[[#This Row],[Estoque]]*5.8575</f>
        <v/>
      </c>
      <c r="N45" s="170" t="n">
        <v>200</v>
      </c>
      <c r="O45" s="170" t="n"/>
      <c r="P45" s="170" t="n"/>
      <c r="Q45" s="27" t="inlineStr">
        <is>
          <t>RECORTAR</t>
        </is>
      </c>
      <c r="R45" s="170" t="inlineStr">
        <is>
          <t>Yuri</t>
        </is>
      </c>
      <c r="S45" s="6" t="n">
        <v>45878</v>
      </c>
      <c r="T45" s="12">
        <f>INT(TODAY()-TabelaSobras8[[#This Row],[Data do
Registro inical]])</f>
        <v/>
      </c>
    </row>
    <row r="46" hidden="1">
      <c r="A46" s="170" t="inlineStr">
        <is>
          <t>I25033</t>
        </is>
      </c>
      <c r="B46" s="170">
        <f>VLOOKUP(LEFT(A46,1),Tabela5[],2,0)</f>
        <v/>
      </c>
      <c r="C46" s="170" t="inlineStr">
        <is>
          <t>EUCADUR NT - 2,5MM</t>
        </is>
      </c>
      <c r="D46" s="169" t="n">
        <v>695</v>
      </c>
      <c r="E46" s="169" t="n">
        <v>379</v>
      </c>
      <c r="F46" s="169">
        <f>TEXT(TabelaSobras8[[#This Row],[Comprimento 
Sobras (mm)]],0) &amp; " X " &amp; TEXT(E46,0)</f>
        <v/>
      </c>
      <c r="G46" s="170">
        <f>(TabelaSobras8[[#This Row],[Comprimento 
Sobras (mm)]]*E46/1000000)</f>
        <v/>
      </c>
      <c r="H46" s="170">
        <f>123-29</f>
        <v/>
      </c>
      <c r="I46" s="170">
        <f>IF(TabelaSobras8[[#This Row],[Estoque]]&lt;=$V$2,$U$4,$U$5)</f>
        <v/>
      </c>
      <c r="J46" s="170">
        <f>TabelaSobras8[[#This Row],[Quantidade de Sobra INICIAL]]-K46</f>
        <v/>
      </c>
      <c r="K46" s="29">
        <f>TabelaSobras8[[#This Row],[Quantidade de Sobra INICIAL]]-TabelaSobras8[[#This Row],[Saída]]-TabelaSobras8[[#This Row],[Saída 2]]-P46</f>
        <v/>
      </c>
      <c r="L46" s="169" t="inlineStr">
        <is>
          <t>Multilínea</t>
        </is>
      </c>
      <c r="M46" s="169">
        <f>TabelaSobras8[[#This Row],[Estoque]]*5.8575</f>
        <v/>
      </c>
      <c r="N46" s="170" t="n">
        <v>94</v>
      </c>
      <c r="O46" s="170" t="n"/>
      <c r="P46" s="170" t="n"/>
      <c r="Q46" s="27" t="inlineStr">
        <is>
          <t>M25037</t>
        </is>
      </c>
      <c r="R46" s="170" t="inlineStr">
        <is>
          <t>Yuri</t>
        </is>
      </c>
      <c r="S46" s="10" t="n">
        <v>45878</v>
      </c>
      <c r="T46" s="12">
        <f>INT(TODAY()-TabelaSobras8[[#This Row],[Data do
Registro inical]])</f>
        <v/>
      </c>
    </row>
    <row r="47" hidden="1">
      <c r="A47" s="170" t="inlineStr">
        <is>
          <t>N</t>
        </is>
      </c>
      <c r="B47" s="170">
        <f>VLOOKUP(LEFT(A47,1),Tabela5[],2,0)</f>
        <v/>
      </c>
      <c r="C47" s="170" t="inlineStr">
        <is>
          <t>EUCADUR NT - 2,5MM</t>
        </is>
      </c>
      <c r="D47" s="169" t="n">
        <v>987</v>
      </c>
      <c r="E47" s="169" t="n">
        <v>268</v>
      </c>
      <c r="F47" s="169">
        <f>TEXT(TabelaSobras8[[#This Row],[Comprimento 
Sobras (mm)]],0) &amp; " X " &amp; TEXT(E47,0)</f>
        <v/>
      </c>
      <c r="G47" s="170">
        <f>(TabelaSobras8[[#This Row],[Comprimento 
Sobras (mm)]]*E47/1000000)</f>
        <v/>
      </c>
      <c r="H47" s="170" t="n">
        <v>727</v>
      </c>
      <c r="I47" s="170">
        <f>IF(TabelaSobras8[[#This Row],[Estoque]]&lt;=$V$2,$U$4,$U$5)</f>
        <v/>
      </c>
      <c r="J47" s="170">
        <f>TabelaSobras8[[#This Row],[Quantidade de Sobra INICIAL]]-K47</f>
        <v/>
      </c>
      <c r="K47" s="29">
        <f>TabelaSobras8[[#This Row],[Quantidade de Sobra INICIAL]]-TabelaSobras8[[#This Row],[Saída]]-TabelaSobras8[[#This Row],[Saída 2]]-P47</f>
        <v/>
      </c>
      <c r="L47" s="169" t="inlineStr">
        <is>
          <t>Nesher</t>
        </is>
      </c>
      <c r="M47" s="169">
        <f>TabelaSobras8[[#This Row],[Estoque]]*5.8575</f>
        <v/>
      </c>
      <c r="N47" s="170" t="n">
        <v>374</v>
      </c>
      <c r="O47" s="170" t="n">
        <v>353</v>
      </c>
      <c r="P47" s="170" t="n"/>
      <c r="Q47" s="169" t="inlineStr">
        <is>
          <t>N25064-N25065-N2506701</t>
        </is>
      </c>
      <c r="R47" s="170" t="inlineStr">
        <is>
          <t>Yuri</t>
        </is>
      </c>
      <c r="S47" s="10" t="n">
        <v>45839</v>
      </c>
      <c r="T47" s="12">
        <f>INT(TODAY()-TabelaSobras8[[#This Row],[Data do
Registro inical]])</f>
        <v/>
      </c>
    </row>
    <row r="48" hidden="1" ht="28.8" customHeight="1">
      <c r="A48" s="170" t="inlineStr">
        <is>
          <t>N25060</t>
        </is>
      </c>
      <c r="B48" s="170">
        <f>VLOOKUP(LEFT(A48,1),Tabela5[],2,0)</f>
        <v/>
      </c>
      <c r="C48" s="170" t="inlineStr">
        <is>
          <t>EUCADUR NT - 2,5MM</t>
        </is>
      </c>
      <c r="D48" s="169" t="n">
        <v>695</v>
      </c>
      <c r="E48" s="169" t="n">
        <v>317</v>
      </c>
      <c r="F48" s="169">
        <f>TEXT(TabelaSobras8[[#This Row],[Comprimento 
Sobras (mm)]],0) &amp; " X " &amp; TEXT(E48,0)</f>
        <v/>
      </c>
      <c r="G48" s="170">
        <f>(TabelaSobras8[[#This Row],[Comprimento 
Sobras (mm)]]*E48/1000000)</f>
        <v/>
      </c>
      <c r="H48" s="170" t="n">
        <v>123</v>
      </c>
      <c r="I48" s="170">
        <f>IF(TabelaSobras8[[#This Row],[Estoque]]&lt;=$V$2,$U$4,$U$5)</f>
        <v/>
      </c>
      <c r="J48" s="170">
        <f>TabelaSobras8[[#This Row],[Quantidade de Sobra INICIAL]]-K48</f>
        <v/>
      </c>
      <c r="K48" s="29">
        <f>TabelaSobras8[[#This Row],[Quantidade de Sobra INICIAL]]-TabelaSobras8[[#This Row],[Saída]]-TabelaSobras8[[#This Row],[Saída 2]]-P48</f>
        <v/>
      </c>
      <c r="L48" s="169" t="inlineStr">
        <is>
          <t>Nesher</t>
        </is>
      </c>
      <c r="M48" s="169">
        <f>TabelaSobras8[[#This Row],[Estoque]]*5.8575</f>
        <v/>
      </c>
      <c r="N48" s="170" t="n">
        <v>27</v>
      </c>
      <c r="O48" s="170" t="n">
        <v>96</v>
      </c>
      <c r="P48" s="170" t="n"/>
      <c r="Q48" s="8" t="inlineStr">
        <is>
          <t>N25068
N25074</t>
        </is>
      </c>
      <c r="R48" s="170" t="inlineStr">
        <is>
          <t>Yuri</t>
        </is>
      </c>
      <c r="S48" s="10" t="n">
        <v>45867</v>
      </c>
      <c r="T48" s="12">
        <f>INT(TODAY()-TabelaSobras8[[#This Row],[Data do
Registro inical]])</f>
        <v/>
      </c>
    </row>
    <row r="49" hidden="1">
      <c r="A49" s="170" t="inlineStr">
        <is>
          <t>N25063</t>
        </is>
      </c>
      <c r="B49" s="170">
        <f>VLOOKUP(LEFT(A49,1),Tabela5[],2,0)</f>
        <v/>
      </c>
      <c r="C49" s="170" t="inlineStr">
        <is>
          <t>EUCADUR FRJ - 2,5MM</t>
        </is>
      </c>
      <c r="D49" s="169" t="n">
        <v>329</v>
      </c>
      <c r="E49" s="169" t="n">
        <v>398</v>
      </c>
      <c r="F49" s="169">
        <f>TEXT(TabelaSobras8[[#This Row],[Comprimento 
Sobras (mm)]],0) &amp; " X " &amp; TEXT(E49,0)</f>
        <v/>
      </c>
      <c r="G49" s="170">
        <f>(TabelaSobras8[[#This Row],[Comprimento 
Sobras (mm)]]*E49/1000000)</f>
        <v/>
      </c>
      <c r="H49" s="170" t="n">
        <v>350</v>
      </c>
      <c r="I49" s="170">
        <f>IF(TabelaSobras8[[#This Row],[Estoque]]&lt;=$V$2,$U$4,$U$5)</f>
        <v/>
      </c>
      <c r="J49" s="170">
        <f>TabelaSobras8[[#This Row],[Quantidade de Sobra INICIAL]]-K49</f>
        <v/>
      </c>
      <c r="K49" s="29">
        <f>TabelaSobras8[[#This Row],[Quantidade de Sobra INICIAL]]-TabelaSobras8[[#This Row],[Saída]]-TabelaSobras8[[#This Row],[Saída 2]]-P49</f>
        <v/>
      </c>
      <c r="L49" s="169" t="inlineStr">
        <is>
          <t>Nesher</t>
        </is>
      </c>
      <c r="M49" s="169">
        <f>TabelaSobras8[[#This Row],[Estoque]]*5.8575</f>
        <v/>
      </c>
      <c r="N49" s="170" t="n">
        <v>350</v>
      </c>
      <c r="O49" s="170" t="n"/>
      <c r="P49" s="170" t="n"/>
      <c r="Q49" s="170" t="inlineStr">
        <is>
          <t>N2507204</t>
        </is>
      </c>
      <c r="R49" s="170" t="inlineStr">
        <is>
          <t>Yuri</t>
        </is>
      </c>
      <c r="S49" s="6" t="n">
        <v>45878</v>
      </c>
      <c r="T49" s="12">
        <f>INT(TODAY()-TabelaSobras8[[#This Row],[Data do
Registro inical]])</f>
        <v/>
      </c>
    </row>
    <row r="50" hidden="1">
      <c r="A50" s="170" t="inlineStr">
        <is>
          <t>N25064</t>
        </is>
      </c>
      <c r="B50" s="170">
        <f>VLOOKUP(LEFT(A50,1),Tabela5[],2,0)</f>
        <v/>
      </c>
      <c r="C50" s="170" t="inlineStr">
        <is>
          <t>EUCADUR NT - 2,5MM</t>
        </is>
      </c>
      <c r="D50" s="169" t="n">
        <v>695</v>
      </c>
      <c r="E50" s="169" t="n">
        <v>465</v>
      </c>
      <c r="F50" s="169">
        <f>TEXT(TabelaSobras8[[#This Row],[Comprimento 
Sobras (mm)]],0) &amp; " X " &amp; TEXT(E50,0)</f>
        <v/>
      </c>
      <c r="G50" s="170">
        <f>(TabelaSobras8[[#This Row],[Comprimento 
Sobras (mm)]]*E50/1000000)</f>
        <v/>
      </c>
      <c r="H50" s="170" t="n">
        <v>350</v>
      </c>
      <c r="I50" s="170">
        <f>IF(TabelaSobras8[[#This Row],[Estoque]]&lt;=$V$2,$U$4,$U$5)</f>
        <v/>
      </c>
      <c r="J50" s="170">
        <f>TabelaSobras8[[#This Row],[Quantidade de Sobra INICIAL]]-K50</f>
        <v/>
      </c>
      <c r="K50" s="29">
        <f>TabelaSobras8[[#This Row],[Quantidade de Sobra INICIAL]]-TabelaSobras8[[#This Row],[Saída]]-TabelaSobras8[[#This Row],[Saída 2]]-P50</f>
        <v/>
      </c>
      <c r="L50" s="169" t="inlineStr">
        <is>
          <t>Nesher</t>
        </is>
      </c>
      <c r="M50" s="169">
        <f>TabelaSobras8[[#This Row],[Estoque]]*5.8575</f>
        <v/>
      </c>
      <c r="N50" s="170" t="n">
        <v>350</v>
      </c>
      <c r="O50" s="170" t="n"/>
      <c r="P50" s="170" t="n"/>
      <c r="Q50" s="170" t="inlineStr">
        <is>
          <t>N25068</t>
        </is>
      </c>
      <c r="R50" s="170" t="inlineStr">
        <is>
          <t>Yuri</t>
        </is>
      </c>
      <c r="S50" s="10" t="n">
        <v>45877</v>
      </c>
      <c r="T50" s="12">
        <f>INT(TODAY()-TabelaSobras8[[#This Row],[Data do
Registro inical]])</f>
        <v/>
      </c>
    </row>
    <row r="51" hidden="1">
      <c r="A51" s="170" t="inlineStr">
        <is>
          <t>N25064</t>
        </is>
      </c>
      <c r="B51" s="170">
        <f>VLOOKUP(LEFT(A51,1),Tabela5[],2,0)</f>
        <v/>
      </c>
      <c r="C51" s="170" t="inlineStr">
        <is>
          <t>EUCADUR NT - 2,5MM</t>
        </is>
      </c>
      <c r="D51" s="169" t="n">
        <v>695</v>
      </c>
      <c r="E51" s="169" t="n">
        <v>440</v>
      </c>
      <c r="F51" s="169">
        <f>TEXT(TabelaSobras8[[#This Row],[Comprimento 
Sobras (mm)]],0) &amp; " X " &amp; TEXT(E51,0)</f>
        <v/>
      </c>
      <c r="G51" s="170">
        <f>(TabelaSobras8[[#This Row],[Comprimento 
Sobras (mm)]]*E51/1000000)</f>
        <v/>
      </c>
      <c r="H51" s="170" t="n">
        <v>350</v>
      </c>
      <c r="I51" s="170">
        <f>IF(TabelaSobras8[[#This Row],[Estoque]]&lt;=$V$2,$U$4,$U$5)</f>
        <v/>
      </c>
      <c r="J51" s="170">
        <f>TabelaSobras8[[#This Row],[Quantidade de Sobra INICIAL]]-K51</f>
        <v/>
      </c>
      <c r="K51" s="29">
        <f>TabelaSobras8[[#This Row],[Quantidade de Sobra INICIAL]]-TabelaSobras8[[#This Row],[Saída]]-TabelaSobras8[[#This Row],[Saída 2]]-P51</f>
        <v/>
      </c>
      <c r="L51" s="169" t="inlineStr">
        <is>
          <t>Nesher</t>
        </is>
      </c>
      <c r="M51" s="169">
        <f>TabelaSobras8[[#This Row],[Estoque]]*5.8575</f>
        <v/>
      </c>
      <c r="N51" s="170" t="n">
        <v>350</v>
      </c>
      <c r="O51" s="170" t="n"/>
      <c r="P51" s="170" t="n"/>
      <c r="Q51" s="170" t="inlineStr">
        <is>
          <t>N25068</t>
        </is>
      </c>
      <c r="R51" s="170" t="inlineStr">
        <is>
          <t>Yuri</t>
        </is>
      </c>
      <c r="S51" s="10" t="n">
        <v>45877</v>
      </c>
      <c r="T51" s="12">
        <f>INT(TODAY()-TabelaSobras8[[#This Row],[Data do
Registro inical]])</f>
        <v/>
      </c>
    </row>
    <row r="52" hidden="1">
      <c r="A52" s="170" t="inlineStr">
        <is>
          <t>N25064</t>
        </is>
      </c>
      <c r="B52" s="170">
        <f>VLOOKUP(LEFT(A52,1),Tabela5[],2,0)</f>
        <v/>
      </c>
      <c r="C52" s="170" t="inlineStr">
        <is>
          <t>EUCADUR NT - 2,5MM</t>
        </is>
      </c>
      <c r="D52" s="169" t="n">
        <v>540</v>
      </c>
      <c r="E52" s="169" t="n">
        <v>398</v>
      </c>
      <c r="F52" s="169">
        <f>TEXT(TabelaSobras8[[#This Row],[Comprimento 
Sobras (mm)]],0) &amp; " X " &amp; TEXT(E52,0)</f>
        <v/>
      </c>
      <c r="G52" s="170">
        <f>(TabelaSobras8[[#This Row],[Comprimento 
Sobras (mm)]]*E52/1000000)</f>
        <v/>
      </c>
      <c r="H52" s="170" t="n">
        <v>74</v>
      </c>
      <c r="I52" s="170">
        <f>IF(TabelaSobras8[[#This Row],[Estoque]]&lt;=$V$2,$U$4,$U$5)</f>
        <v/>
      </c>
      <c r="J52" s="170">
        <f>TabelaSobras8[[#This Row],[Quantidade de Sobra INICIAL]]-K52</f>
        <v/>
      </c>
      <c r="K52" s="29">
        <f>TabelaSobras8[[#This Row],[Quantidade de Sobra INICIAL]]-TabelaSobras8[[#This Row],[Saída]]-TabelaSobras8[[#This Row],[Saída 2]]-P52</f>
        <v/>
      </c>
      <c r="L52" s="169" t="inlineStr">
        <is>
          <t>Nesher</t>
        </is>
      </c>
      <c r="M52" s="169">
        <f>TabelaSobras8[[#This Row],[Estoque]]*5.8575</f>
        <v/>
      </c>
      <c r="N52" s="170" t="n">
        <v>74</v>
      </c>
      <c r="O52" s="170" t="n"/>
      <c r="P52" s="170" t="n"/>
      <c r="Q52" s="169" t="inlineStr">
        <is>
          <t>N2506601</t>
        </is>
      </c>
      <c r="R52" s="170" t="inlineStr">
        <is>
          <t>Yuri</t>
        </is>
      </c>
      <c r="S52" s="10" t="n">
        <v>45877</v>
      </c>
      <c r="T52" s="12">
        <f>INT(TODAY()-TabelaSobras8[[#This Row],[Data do
Registro inical]])</f>
        <v/>
      </c>
    </row>
    <row r="53" hidden="1">
      <c r="A53" s="170" t="inlineStr">
        <is>
          <t>N25064</t>
        </is>
      </c>
      <c r="B53" s="170">
        <f>VLOOKUP(LEFT(A53,1),Tabela5[],2,0)</f>
        <v/>
      </c>
      <c r="C53" s="170" t="inlineStr">
        <is>
          <t>EUCADUR NT - 2,5MM</t>
        </is>
      </c>
      <c r="D53" s="169" t="n">
        <v>695</v>
      </c>
      <c r="E53" s="169" t="n">
        <v>195</v>
      </c>
      <c r="F53" s="169">
        <f>TEXT(TabelaSobras8[[#This Row],[Comprimento 
Sobras (mm)]],0) &amp; " X " &amp; TEXT(E53,0)</f>
        <v/>
      </c>
      <c r="G53" s="170">
        <f>(TabelaSobras8[[#This Row],[Comprimento 
Sobras (mm)]]*E53/1000000)</f>
        <v/>
      </c>
      <c r="H53" s="170">
        <f>175+150</f>
        <v/>
      </c>
      <c r="I53" s="170">
        <f>IF(TabelaSobras8[[#This Row],[Estoque]]&lt;=$V$2,$U$4,$U$5)</f>
        <v/>
      </c>
      <c r="J53" s="170">
        <f>TabelaSobras8[[#This Row],[Quantidade de Sobra INICIAL]]-K53</f>
        <v/>
      </c>
      <c r="K53" s="29">
        <f>TabelaSobras8[[#This Row],[Quantidade de Sobra INICIAL]]-TabelaSobras8[[#This Row],[Saída]]-TabelaSobras8[[#This Row],[Saída 2]]-P53</f>
        <v/>
      </c>
      <c r="L53" s="169" t="inlineStr">
        <is>
          <t>Nesher</t>
        </is>
      </c>
      <c r="M53" s="169">
        <f>TabelaSobras8[[#This Row],[Estoque]]*5.8575</f>
        <v/>
      </c>
      <c r="N53" s="170" t="n">
        <v>325</v>
      </c>
      <c r="O53" s="170" t="n"/>
      <c r="P53" s="170" t="n"/>
      <c r="Q53" s="170" t="inlineStr">
        <is>
          <t>N25068</t>
        </is>
      </c>
      <c r="R53" s="170" t="inlineStr">
        <is>
          <t>Yuri</t>
        </is>
      </c>
      <c r="S53" s="10" t="n">
        <v>45877</v>
      </c>
      <c r="T53" s="12">
        <f>INT(TODAY()-TabelaSobras8[[#This Row],[Data do
Registro inical]])</f>
        <v/>
      </c>
    </row>
    <row r="54" hidden="1">
      <c r="A54" s="170" t="inlineStr">
        <is>
          <t>M25034</t>
        </is>
      </c>
      <c r="B54" s="170">
        <f>VLOOKUP(LEFT(A54,1),Tabela5[],2,0)</f>
        <v/>
      </c>
      <c r="C54" s="170" t="inlineStr">
        <is>
          <t>EUCADUR NT - 2,5MM</t>
        </is>
      </c>
      <c r="D54" s="169" t="n">
        <v>729</v>
      </c>
      <c r="E54" s="169" t="n">
        <v>398</v>
      </c>
      <c r="F54" s="169">
        <f>TEXT(TabelaSobras8[[#This Row],[Comprimento 
Sobras (mm)]],0) &amp; " X " &amp; TEXT(E54,0)</f>
        <v/>
      </c>
      <c r="G54" s="170">
        <f>(TabelaSobras8[[#This Row],[Comprimento 
Sobras (mm)]]*E54/1000000)</f>
        <v/>
      </c>
      <c r="H54" s="170" t="n">
        <v>350</v>
      </c>
      <c r="I54" s="170">
        <f>IF(TabelaSobras8[[#This Row],[Estoque]]&lt;=$V$2,$U$4,$U$5)</f>
        <v/>
      </c>
      <c r="J54" s="170">
        <f>TabelaSobras8[[#This Row],[Quantidade de Sobra INICIAL]]-K54</f>
        <v/>
      </c>
      <c r="K54" s="29">
        <f>TabelaSobras8[[#This Row],[Quantidade de Sobra INICIAL]]-TabelaSobras8[[#This Row],[Saída]]-TabelaSobras8[[#This Row],[Saída 2]]-P54</f>
        <v/>
      </c>
      <c r="L54" s="169" t="inlineStr">
        <is>
          <t>Multilínea</t>
        </is>
      </c>
      <c r="M54" s="169">
        <f>TabelaSobras8[[#This Row],[Estoque]]*5.8575</f>
        <v/>
      </c>
      <c r="N54" s="170" t="n">
        <v>350</v>
      </c>
      <c r="O54" s="170" t="n"/>
      <c r="P54" s="170" t="n"/>
      <c r="Q54" s="27" t="inlineStr">
        <is>
          <t>I25034</t>
        </is>
      </c>
      <c r="R54" s="170" t="n"/>
      <c r="S54" s="10" t="n">
        <v>45878</v>
      </c>
      <c r="T54" s="12">
        <f>INT(TODAY()-TabelaSobras8[[#This Row],[Data do
Registro inical]])</f>
        <v/>
      </c>
    </row>
    <row r="55" hidden="1">
      <c r="A55" s="170" t="inlineStr">
        <is>
          <t>M25034</t>
        </is>
      </c>
      <c r="B55" s="170">
        <f>VLOOKUP(LEFT(A55,1),Tabela5[],2,0)</f>
        <v/>
      </c>
      <c r="C55" s="170" t="inlineStr">
        <is>
          <t>EUCADUR NT - 2,5MM</t>
        </is>
      </c>
      <c r="D55" s="169" t="n">
        <v>396</v>
      </c>
      <c r="E55" s="169" t="n">
        <v>98</v>
      </c>
      <c r="F55" s="169">
        <f>TEXT(TabelaSobras8[[#This Row],[Comprimento 
Sobras (mm)]],0) &amp; " X " &amp; TEXT(E55,0)</f>
        <v/>
      </c>
      <c r="G55" s="170">
        <f>(TabelaSobras8[[#This Row],[Comprimento 
Sobras (mm)]]*E55/1000000)</f>
        <v/>
      </c>
      <c r="H55" s="170" t="n">
        <v>313</v>
      </c>
      <c r="I55" s="170">
        <f>IF(TabelaSobras8[[#This Row],[Estoque]]&lt;=$V$2,$U$4,$U$5)</f>
        <v/>
      </c>
      <c r="J55" s="170">
        <f>TabelaSobras8[[#This Row],[Quantidade de Sobra INICIAL]]-K55</f>
        <v/>
      </c>
      <c r="K55" s="29">
        <f>TabelaSobras8[[#This Row],[Quantidade de Sobra INICIAL]]-TabelaSobras8[[#This Row],[Saída]]-TabelaSobras8[[#This Row],[Saída 2]]-P55</f>
        <v/>
      </c>
      <c r="L55" s="169" t="inlineStr">
        <is>
          <t>Multilínea</t>
        </is>
      </c>
      <c r="M55" s="169">
        <f>TabelaSobras8[[#This Row],[Estoque]]*5.8575</f>
        <v/>
      </c>
      <c r="N55" s="170" t="n">
        <v>313</v>
      </c>
      <c r="O55" s="170" t="n"/>
      <c r="P55" s="170" t="n"/>
      <c r="Q55" s="27" t="inlineStr">
        <is>
          <t>I25034</t>
        </is>
      </c>
      <c r="R55" s="170" t="n"/>
      <c r="S55" s="10" t="n">
        <v>45879</v>
      </c>
      <c r="T55" s="12">
        <f>INT(TODAY()-TabelaSobras8[[#This Row],[Data do
Registro inical]])</f>
        <v/>
      </c>
    </row>
    <row r="56" hidden="1">
      <c r="A56" s="170" t="inlineStr">
        <is>
          <t>N25064</t>
        </is>
      </c>
      <c r="B56" s="170">
        <f>VLOOKUP(LEFT(A56,1),Tabela5[],2,0)</f>
        <v/>
      </c>
      <c r="C56" s="170" t="inlineStr">
        <is>
          <t>EUCADUR NT - 2,5MM</t>
        </is>
      </c>
      <c r="D56" s="169" t="n">
        <v>695</v>
      </c>
      <c r="E56" s="169" t="n">
        <v>381</v>
      </c>
      <c r="F56" s="169">
        <f>TEXT(TabelaSobras8[[#This Row],[Comprimento 
Sobras (mm)]],0) &amp; " X " &amp; TEXT(E56,0)</f>
        <v/>
      </c>
      <c r="G56" s="170">
        <f>(TabelaSobras8[[#This Row],[Comprimento 
Sobras (mm)]]*E56/1000000)</f>
        <v/>
      </c>
      <c r="H56" s="170">
        <f>255+150</f>
        <v/>
      </c>
      <c r="I56" s="170">
        <f>IF(TabelaSobras8[[#This Row],[Estoque]]&lt;=$V$2,$U$4,$U$5)</f>
        <v/>
      </c>
      <c r="J56" s="170">
        <f>TabelaSobras8[[#This Row],[Quantidade de Sobra INICIAL]]-K56</f>
        <v/>
      </c>
      <c r="K56" s="29">
        <f>TabelaSobras8[[#This Row],[Quantidade de Sobra INICIAL]]-TabelaSobras8[[#This Row],[Saída]]-TabelaSobras8[[#This Row],[Saída 2]]-P56</f>
        <v/>
      </c>
      <c r="L56" s="169" t="inlineStr">
        <is>
          <t>Nesher</t>
        </is>
      </c>
      <c r="M56" s="169">
        <f>TabelaSobras8[[#This Row],[Estoque]]*5.8575</f>
        <v/>
      </c>
      <c r="N56" s="170" t="n">
        <v>405</v>
      </c>
      <c r="O56" s="170" t="n"/>
      <c r="P56" s="170" t="n"/>
      <c r="Q56" s="170" t="inlineStr">
        <is>
          <t>N25068</t>
        </is>
      </c>
      <c r="R56" s="170" t="inlineStr">
        <is>
          <t>Yuri</t>
        </is>
      </c>
      <c r="S56" s="10" t="n">
        <v>45877</v>
      </c>
      <c r="T56" s="12">
        <f>INT(TODAY()-TabelaSobras8[[#This Row],[Data do
Registro inical]])</f>
        <v/>
      </c>
    </row>
    <row r="57" hidden="1">
      <c r="A57" s="170" t="inlineStr">
        <is>
          <t>N25065</t>
        </is>
      </c>
      <c r="B57" s="170">
        <f>VLOOKUP(LEFT(A57,1),Tabela5[],2,0)</f>
        <v/>
      </c>
      <c r="C57" s="170" t="inlineStr">
        <is>
          <t>EUCADUR NT - 2,5MM</t>
        </is>
      </c>
      <c r="D57" s="169" t="n">
        <v>795</v>
      </c>
      <c r="E57" s="169" t="n">
        <v>285</v>
      </c>
      <c r="F57" s="169">
        <f>TEXT(TabelaSobras8[[#This Row],[Comprimento 
Sobras (mm)]],0) &amp; " X " &amp; TEXT(E57,0)</f>
        <v/>
      </c>
      <c r="G57" s="170">
        <f>(TabelaSobras8[[#This Row],[Comprimento 
Sobras (mm)]]*E57/1000000)</f>
        <v/>
      </c>
      <c r="H57" s="170">
        <f>104+189</f>
        <v/>
      </c>
      <c r="I57" s="170">
        <f>IF(TabelaSobras8[[#This Row],[Estoque]]&lt;=$V$2,$U$4,$U$5)</f>
        <v/>
      </c>
      <c r="J57" s="170">
        <f>TabelaSobras8[[#This Row],[Quantidade de Sobra INICIAL]]-K57</f>
        <v/>
      </c>
      <c r="K57" s="29">
        <f>TabelaSobras8[[#This Row],[Quantidade de Sobra INICIAL]]-TabelaSobras8[[#This Row],[Saída]]-TabelaSobras8[[#This Row],[Saída 2]]-P57</f>
        <v/>
      </c>
      <c r="L57" s="169" t="inlineStr">
        <is>
          <t>Nesher</t>
        </is>
      </c>
      <c r="M57" s="169">
        <f>TabelaSobras8[[#This Row],[Estoque]]*5.8575</f>
        <v/>
      </c>
      <c r="N57" s="170" t="n">
        <v>293</v>
      </c>
      <c r="O57" s="170" t="n"/>
      <c r="P57" s="170" t="n"/>
      <c r="Q57" s="170" t="inlineStr">
        <is>
          <t>N25068</t>
        </is>
      </c>
      <c r="R57" s="170" t="inlineStr">
        <is>
          <t>Yuri</t>
        </is>
      </c>
      <c r="S57" s="10" t="n">
        <v>45877</v>
      </c>
      <c r="T57" s="12">
        <f>INT(TODAY()-TabelaSobras8[[#This Row],[Data do
Registro inical]])</f>
        <v/>
      </c>
    </row>
    <row r="58" hidden="1">
      <c r="A58" s="170" t="inlineStr">
        <is>
          <t>M25036</t>
        </is>
      </c>
      <c r="B58" s="170">
        <f>VLOOKUP(LEFT(A58,1),Tabela5[],2,0)</f>
        <v/>
      </c>
      <c r="C58" s="170" t="inlineStr">
        <is>
          <t>EUCADUR NT - 2,5MM</t>
        </is>
      </c>
      <c r="D58" s="169" t="n">
        <v>695</v>
      </c>
      <c r="E58" s="169" t="n">
        <v>337</v>
      </c>
      <c r="F58" s="169">
        <f>TEXT(TabelaSobras8[[#This Row],[Comprimento 
Sobras (mm)]],0) &amp; " X " &amp; TEXT(E58,0)</f>
        <v/>
      </c>
      <c r="G58" s="170">
        <f>(TabelaSobras8[[#This Row],[Comprimento 
Sobras (mm)]]*E58/1000000)</f>
        <v/>
      </c>
      <c r="H58" s="170" t="n">
        <v>39</v>
      </c>
      <c r="I58" s="170">
        <f>IF(TabelaSobras8[[#This Row],[Estoque]]&lt;=$V$2,$U$4,$U$5)</f>
        <v/>
      </c>
      <c r="J58" s="170">
        <f>TabelaSobras8[[#This Row],[Quantidade de Sobra INICIAL]]-K58</f>
        <v/>
      </c>
      <c r="K58" s="29">
        <f>TabelaSobras8[[#This Row],[Quantidade de Sobra INICIAL]]-TabelaSobras8[[#This Row],[Saída]]-TabelaSobras8[[#This Row],[Saída 2]]-P58</f>
        <v/>
      </c>
      <c r="L58" s="169" t="inlineStr">
        <is>
          <t>Multilínea</t>
        </is>
      </c>
      <c r="M58" s="169">
        <f>TabelaSobras8[[#This Row],[Estoque]]*5.8575</f>
        <v/>
      </c>
      <c r="N58" s="170" t="n">
        <v>39</v>
      </c>
      <c r="O58" s="170" t="n"/>
      <c r="P58" s="170" t="n"/>
      <c r="Q58" s="170" t="inlineStr">
        <is>
          <t>M25038</t>
        </is>
      </c>
      <c r="R58" s="170" t="inlineStr">
        <is>
          <t>Yuri</t>
        </is>
      </c>
      <c r="S58" s="10" t="n">
        <v>45878</v>
      </c>
      <c r="T58" s="12">
        <f>INT(TODAY()-TabelaSobras8[[#This Row],[Data do
Registro inical]])</f>
        <v/>
      </c>
    </row>
    <row r="59" hidden="1">
      <c r="A59" s="170" t="inlineStr">
        <is>
          <t>M25037</t>
        </is>
      </c>
      <c r="B59" s="170">
        <f>VLOOKUP(LEFT(A59,1),Tabela5[],2,0)</f>
        <v/>
      </c>
      <c r="C59" s="170" t="inlineStr">
        <is>
          <t>EUCADUR BR - 2,5MM</t>
        </is>
      </c>
      <c r="D59" s="169" t="n">
        <v>795</v>
      </c>
      <c r="E59" s="169" t="n">
        <v>195</v>
      </c>
      <c r="F59" s="169">
        <f>TEXT(TabelaSobras8[[#This Row],[Comprimento 
Sobras (mm)]],0) &amp; " X " &amp; TEXT(E59,0)</f>
        <v/>
      </c>
      <c r="G59" s="170">
        <f>(TabelaSobras8[[#This Row],[Comprimento 
Sobras (mm)]]*E59/1000000)</f>
        <v/>
      </c>
      <c r="H59" s="170" t="n">
        <v>31</v>
      </c>
      <c r="I59" s="170">
        <f>IF(TabelaSobras8[[#This Row],[Estoque]]&lt;=$V$2,$U$4,$U$5)</f>
        <v/>
      </c>
      <c r="J59" s="170">
        <f>TabelaSobras8[[#This Row],[Quantidade de Sobra INICIAL]]-K59</f>
        <v/>
      </c>
      <c r="K59" s="29">
        <f>TabelaSobras8[[#This Row],[Quantidade de Sobra INICIAL]]-TabelaSobras8[[#This Row],[Saída]]-TabelaSobras8[[#This Row],[Saída 2]]-P59</f>
        <v/>
      </c>
      <c r="L59" s="169" t="inlineStr">
        <is>
          <t>Multilínea</t>
        </is>
      </c>
      <c r="M59" s="169">
        <f>TabelaSobras8[[#This Row],[Estoque]]*5.8575</f>
        <v/>
      </c>
      <c r="N59" s="170" t="n"/>
      <c r="O59" s="170" t="n"/>
      <c r="P59" s="170" t="n"/>
      <c r="Q59" s="170" t="n"/>
      <c r="R59" s="170" t="inlineStr">
        <is>
          <t>Yuri</t>
        </is>
      </c>
      <c r="S59" s="10" t="n">
        <v>45879</v>
      </c>
      <c r="T59" s="12">
        <f>INT(TODAY()-TabelaSobras8[[#This Row],[Data do
Registro inical]])</f>
        <v/>
      </c>
    </row>
    <row r="60" hidden="1" ht="28.8" customHeight="1">
      <c r="A60" s="170" t="inlineStr">
        <is>
          <t>N25068</t>
        </is>
      </c>
      <c r="B60" s="170">
        <f>VLOOKUP(LEFT(A60,1),Tabela5[],2,0)</f>
        <v/>
      </c>
      <c r="C60" s="170" t="inlineStr">
        <is>
          <t>EUCADUR FRJ - 2,5MM</t>
        </is>
      </c>
      <c r="D60" s="169" t="n">
        <v>629</v>
      </c>
      <c r="E60" s="169" t="n">
        <v>398</v>
      </c>
      <c r="F60" s="169">
        <f>TEXT(TabelaSobras8[[#This Row],[Comprimento 
Sobras (mm)]],0) &amp; " X " &amp; TEXT(E60,0)</f>
        <v/>
      </c>
      <c r="G60" s="170">
        <f>(TabelaSobras8[[#This Row],[Comprimento 
Sobras (mm)]]*E60/1000000)</f>
        <v/>
      </c>
      <c r="H60" s="170" t="n">
        <v>195</v>
      </c>
      <c r="I60" s="170">
        <f>IF(TabelaSobras8[[#This Row],[Estoque]]&lt;=$V$2,$U$4,$U$5)</f>
        <v/>
      </c>
      <c r="J60" s="170">
        <f>TabelaSobras8[[#This Row],[Quantidade de Sobra INICIAL]]-K60</f>
        <v/>
      </c>
      <c r="K60" s="29">
        <f>TabelaSobras8[[#This Row],[Quantidade de Sobra INICIAL]]-TabelaSobras8[[#This Row],[Saída]]-TabelaSobras8[[#This Row],[Saída 2]]-P60</f>
        <v/>
      </c>
      <c r="L60" s="169" t="inlineStr">
        <is>
          <t>Nesher</t>
        </is>
      </c>
      <c r="M60" s="169">
        <f>TabelaSobras8[[#This Row],[Estoque]]*5.8575</f>
        <v/>
      </c>
      <c r="N60" s="170" t="n">
        <v>110</v>
      </c>
      <c r="O60" s="170" t="n">
        <v>85</v>
      </c>
      <c r="P60" s="170" t="n"/>
      <c r="Q60" s="8" t="inlineStr">
        <is>
          <t>N2507205
N2507303</t>
        </is>
      </c>
      <c r="R60" s="170" t="inlineStr">
        <is>
          <t>Yuri</t>
        </is>
      </c>
      <c r="S60" s="6" t="n">
        <v>45889</v>
      </c>
      <c r="T60" s="12">
        <f>INT(TODAY()-TabelaSobras8[[#This Row],[Data do
Registro inical]])</f>
        <v/>
      </c>
    </row>
    <row r="61" hidden="1">
      <c r="A61" s="170" t="inlineStr">
        <is>
          <t>N25069</t>
        </is>
      </c>
      <c r="B61" s="170">
        <f>VLOOKUP(LEFT(A61,1),Tabela5[],2,0)</f>
        <v/>
      </c>
      <c r="C61" s="170" t="inlineStr">
        <is>
          <t>EUCADUR NT - 2,5MM</t>
        </is>
      </c>
      <c r="D61" s="169" t="n">
        <v>695</v>
      </c>
      <c r="E61" s="169" t="n">
        <v>317</v>
      </c>
      <c r="F61" s="169">
        <f>TEXT(TabelaSobras8[[#This Row],[Comprimento 
Sobras (mm)]],0) &amp; " X " &amp; TEXT(E61,0)</f>
        <v/>
      </c>
      <c r="G61" s="170">
        <f>(TabelaSobras8[[#This Row],[Comprimento 
Sobras (mm)]]*E61/1000000)</f>
        <v/>
      </c>
      <c r="H61" s="170" t="n">
        <v>339</v>
      </c>
      <c r="I61" s="170">
        <f>IF(TabelaSobras8[[#This Row],[Estoque]]&lt;=$V$2,$U$4,$U$5)</f>
        <v/>
      </c>
      <c r="J61" s="170">
        <f>TabelaSobras8[[#This Row],[Quantidade de Sobra INICIAL]]-K61</f>
        <v/>
      </c>
      <c r="K61" s="29">
        <f>TabelaSobras8[[#This Row],[Quantidade de Sobra INICIAL]]-TabelaSobras8[[#This Row],[Saída]]-TabelaSobras8[[#This Row],[Saída 2]]-P61</f>
        <v/>
      </c>
      <c r="L61" s="169" t="inlineStr">
        <is>
          <t>Nesher</t>
        </is>
      </c>
      <c r="M61" s="169">
        <f>TabelaSobras8[[#This Row],[Estoque]]*5.8575</f>
        <v/>
      </c>
      <c r="N61" s="170" t="n">
        <v>7</v>
      </c>
      <c r="O61" s="170" t="n">
        <v>332</v>
      </c>
      <c r="P61" s="170" t="n"/>
      <c r="Q61" s="170" t="inlineStr">
        <is>
          <t>N2507804</t>
        </is>
      </c>
      <c r="R61" s="170" t="inlineStr">
        <is>
          <t>Yuri</t>
        </is>
      </c>
      <c r="S61" s="10" t="n">
        <v>45890</v>
      </c>
      <c r="T61" s="12">
        <f>INT(TODAY()-TabelaSobras8[[#This Row],[Data do
Registro inical]])</f>
        <v/>
      </c>
    </row>
    <row r="62" hidden="1">
      <c r="A62" s="170" t="inlineStr">
        <is>
          <t>N25070</t>
        </is>
      </c>
      <c r="B62" s="170">
        <f>VLOOKUP(LEFT(A62,1),Tabela5[],2,0)</f>
        <v/>
      </c>
      <c r="C62" s="170" t="inlineStr">
        <is>
          <t>EUCADUR NT - 2,5MM</t>
        </is>
      </c>
      <c r="D62" s="169" t="n">
        <v>695</v>
      </c>
      <c r="E62" s="169" t="n">
        <v>317</v>
      </c>
      <c r="F62" s="169">
        <f>TEXT(TabelaSobras8[[#This Row],[Comprimento 
Sobras (mm)]],0) &amp; " X " &amp; TEXT(E62,0)</f>
        <v/>
      </c>
      <c r="G62" s="170">
        <f>(TabelaSobras8[[#This Row],[Comprimento 
Sobras (mm)]]*E62/1000000)</f>
        <v/>
      </c>
      <c r="H62" s="170" t="n">
        <v>297</v>
      </c>
      <c r="I62" s="170">
        <f>IF(TabelaSobras8[[#This Row],[Estoque]]&lt;=$V$2,$U$4,$U$5)</f>
        <v/>
      </c>
      <c r="J62" s="170">
        <f>TabelaSobras8[[#This Row],[Quantidade de Sobra INICIAL]]-K62</f>
        <v/>
      </c>
      <c r="K62" s="29">
        <f>TabelaSobras8[[#This Row],[Quantidade de Sobra INICIAL]]-TabelaSobras8[[#This Row],[Saída]]-TabelaSobras8[[#This Row],[Saída 2]]-P62</f>
        <v/>
      </c>
      <c r="L62" s="169" t="inlineStr">
        <is>
          <t>Nesher</t>
        </is>
      </c>
      <c r="M62" s="169">
        <f>TabelaSobras8[[#This Row],[Estoque]]*5.8575</f>
        <v/>
      </c>
      <c r="N62" s="170" t="n">
        <v>297</v>
      </c>
      <c r="O62" s="170" t="n"/>
      <c r="P62" s="170" t="n"/>
      <c r="Q62" s="170" t="inlineStr">
        <is>
          <t>N25074</t>
        </is>
      </c>
      <c r="R62" s="170" t="inlineStr">
        <is>
          <t>Yuri</t>
        </is>
      </c>
      <c r="S62" s="10" t="n">
        <v>45890</v>
      </c>
      <c r="T62" s="12">
        <f>INT(TODAY()-TabelaSobras8[[#This Row],[Data do
Registro inical]])</f>
        <v/>
      </c>
    </row>
    <row r="63" hidden="1">
      <c r="A63" s="170" t="inlineStr">
        <is>
          <t>N25072</t>
        </is>
      </c>
      <c r="B63" s="170">
        <f>VLOOKUP(LEFT(A63,1),Tabela5[],2,0)</f>
        <v/>
      </c>
      <c r="C63" s="170" t="inlineStr">
        <is>
          <t>EUCADUR FRJ - 2,5MM</t>
        </is>
      </c>
      <c r="D63" s="169" t="n">
        <v>695</v>
      </c>
      <c r="E63" s="169" t="n">
        <v>190</v>
      </c>
      <c r="F63" s="169">
        <f>TEXT(TabelaSobras8[[#This Row],[Comprimento 
Sobras (mm)]],0) &amp; " X " &amp; TEXT(E63,0)</f>
        <v/>
      </c>
      <c r="G63" s="170">
        <f>(TabelaSobras8[[#This Row],[Comprimento 
Sobras (mm)]]*E63/1000000)</f>
        <v/>
      </c>
      <c r="H63" s="170" t="n">
        <v>57</v>
      </c>
      <c r="I63" s="170">
        <f>IF(TabelaSobras8[[#This Row],[Estoque]]&lt;=$V$2,$U$4,$U$5)</f>
        <v/>
      </c>
      <c r="J63" s="170">
        <f>TabelaSobras8[[#This Row],[Quantidade de Sobra INICIAL]]-K63</f>
        <v/>
      </c>
      <c r="K63" s="29">
        <f>TabelaSobras8[[#This Row],[Quantidade de Sobra INICIAL]]-TabelaSobras8[[#This Row],[Saída]]-TabelaSobras8[[#This Row],[Saída 2]]-P63</f>
        <v/>
      </c>
      <c r="L63" s="169" t="inlineStr">
        <is>
          <t>Nesher</t>
        </is>
      </c>
      <c r="M63" s="169">
        <f>TabelaSobras8[[#This Row],[Estoque]]*5.8575</f>
        <v/>
      </c>
      <c r="N63" s="170" t="n">
        <v>57</v>
      </c>
      <c r="O63" s="170" t="n"/>
      <c r="P63" s="170" t="n"/>
      <c r="Q63" s="27" t="inlineStr">
        <is>
          <t>N25073</t>
        </is>
      </c>
      <c r="R63" s="170" t="inlineStr">
        <is>
          <t>Yuri</t>
        </is>
      </c>
      <c r="S63" s="6" t="n">
        <v>45896</v>
      </c>
      <c r="T63" s="12">
        <f>INT(TODAY()-TabelaSobras8[[#This Row],[Data do
Registro inical]])</f>
        <v/>
      </c>
    </row>
    <row r="64" hidden="1">
      <c r="A64" s="170" t="inlineStr">
        <is>
          <t>M25038</t>
        </is>
      </c>
      <c r="B64" s="170">
        <f>VLOOKUP(LEFT(A64,1),Tabela5[],2,0)</f>
        <v/>
      </c>
      <c r="C64" s="170" t="inlineStr">
        <is>
          <t>EUCADUR NT - 2,5MM</t>
        </is>
      </c>
      <c r="D64" s="169" t="n">
        <v>695</v>
      </c>
      <c r="E64" s="169" t="n">
        <v>448</v>
      </c>
      <c r="F64" s="169">
        <f>TEXT(TabelaSobras8[[#This Row],[Comprimento 
Sobras (mm)]],0) &amp; " X " &amp; TEXT(E64,0)</f>
        <v/>
      </c>
      <c r="G64" s="170">
        <f>(TabelaSobras8[[#This Row],[Comprimento 
Sobras (mm)]]*E64/1000000)</f>
        <v/>
      </c>
      <c r="H64" s="170" t="n">
        <v>200</v>
      </c>
      <c r="I64" s="170">
        <f>IF(TabelaSobras8[[#This Row],[Estoque]]&lt;=$V$2,$U$4,$U$5)</f>
        <v/>
      </c>
      <c r="J64" s="170">
        <f>TabelaSobras8[[#This Row],[Quantidade de Sobra INICIAL]]-K64</f>
        <v/>
      </c>
      <c r="K64" s="29">
        <f>TabelaSobras8[[#This Row],[Quantidade de Sobra INICIAL]]-TabelaSobras8[[#This Row],[Saída]]-TabelaSobras8[[#This Row],[Saída 2]]-P64</f>
        <v/>
      </c>
      <c r="L64" s="169" t="inlineStr">
        <is>
          <t>Multilínea</t>
        </is>
      </c>
      <c r="M64" s="169">
        <f>TabelaSobras8[[#This Row],[Estoque]]*5.8575</f>
        <v/>
      </c>
      <c r="N64" s="170" t="n">
        <v>200</v>
      </c>
      <c r="O64" s="170" t="n"/>
      <c r="P64" s="170" t="n"/>
      <c r="Q64" s="170" t="inlineStr">
        <is>
          <t>M25038</t>
        </is>
      </c>
      <c r="R64" s="170" t="inlineStr">
        <is>
          <t>Yuri</t>
        </is>
      </c>
      <c r="S64" s="6" t="n"/>
      <c r="T64" s="12">
        <f>INT(TODAY()-TabelaSobras8[[#This Row],[Data do
Registro inical]])</f>
        <v/>
      </c>
    </row>
    <row r="65" hidden="1">
      <c r="A65" s="170" t="inlineStr">
        <is>
          <t>M25039</t>
        </is>
      </c>
      <c r="B65" s="170">
        <f>VLOOKUP(LEFT(A65,1),Tabela5[],2,0)</f>
        <v/>
      </c>
      <c r="C65" s="170" t="inlineStr">
        <is>
          <t>EUCADUR NT - 2,5MM</t>
        </is>
      </c>
      <c r="D65" s="169" t="n">
        <v>695</v>
      </c>
      <c r="E65" s="169" t="n">
        <v>379</v>
      </c>
      <c r="F65" s="169">
        <f>TEXT(TabelaSobras8[[#This Row],[Comprimento 
Sobras (mm)]],0) &amp; " X " &amp; TEXT(E65,0)</f>
        <v/>
      </c>
      <c r="G65" s="170">
        <f>(TabelaSobras8[[#This Row],[Comprimento 
Sobras (mm)]]*E65/1000000)</f>
        <v/>
      </c>
      <c r="H65" s="170" t="n">
        <v>95</v>
      </c>
      <c r="I65" s="170">
        <f>IF(TabelaSobras8[[#This Row],[Estoque]]&lt;=$V$2,$U$4,$U$5)</f>
        <v/>
      </c>
      <c r="J65" s="170">
        <f>TabelaSobras8[[#This Row],[Quantidade de Sobra INICIAL]]-K65</f>
        <v/>
      </c>
      <c r="K65" s="29">
        <f>TabelaSobras8[[#This Row],[Quantidade de Sobra INICIAL]]-TabelaSobras8[[#This Row],[Saída]]-TabelaSobras8[[#This Row],[Saída 2]]-P65</f>
        <v/>
      </c>
      <c r="L65" s="169" t="inlineStr">
        <is>
          <t>Multilínea</t>
        </is>
      </c>
      <c r="M65" s="169">
        <f>TabelaSobras8[[#This Row],[Estoque]]*5.8575</f>
        <v/>
      </c>
      <c r="N65" s="170" t="n">
        <v>95</v>
      </c>
      <c r="O65" s="170" t="n"/>
      <c r="P65" s="170" t="n"/>
      <c r="Q65" s="27" t="inlineStr">
        <is>
          <t>M25042</t>
        </is>
      </c>
      <c r="R65" s="170" t="inlineStr">
        <is>
          <t>Yuri</t>
        </is>
      </c>
      <c r="S65" s="6" t="n">
        <v>45901</v>
      </c>
      <c r="T65" s="12">
        <f>INT(TODAY()-TabelaSobras8[[#This Row],[Data do
Registro inical]])</f>
        <v/>
      </c>
    </row>
    <row r="66" hidden="1">
      <c r="A66" s="170" t="inlineStr">
        <is>
          <t>M25039</t>
        </is>
      </c>
      <c r="B66" s="170">
        <f>VLOOKUP(LEFT(A66,1),Tabela5[],2,0)</f>
        <v/>
      </c>
      <c r="C66" s="170" t="inlineStr">
        <is>
          <t>EUCADUR NT - 2,5MM</t>
        </is>
      </c>
      <c r="D66" s="169" t="n">
        <v>695</v>
      </c>
      <c r="E66" s="169" t="n">
        <v>337</v>
      </c>
      <c r="F66" s="169">
        <f>TEXT(TabelaSobras8[[#This Row],[Comprimento 
Sobras (mm)]],0) &amp; " X " &amp; TEXT(E66,0)</f>
        <v/>
      </c>
      <c r="G66" s="170">
        <f>(TabelaSobras8[[#This Row],[Comprimento 
Sobras (mm)]]*E66/1000000)</f>
        <v/>
      </c>
      <c r="H66" s="170" t="n">
        <v>200</v>
      </c>
      <c r="I66" s="170">
        <f>IF(TabelaSobras8[[#This Row],[Estoque]]&lt;=$V$2,$U$4,$U$5)</f>
        <v/>
      </c>
      <c r="J66" s="170">
        <f>TabelaSobras8[[#This Row],[Quantidade de Sobra INICIAL]]-K66</f>
        <v/>
      </c>
      <c r="K66" s="29">
        <f>TabelaSobras8[[#This Row],[Quantidade de Sobra INICIAL]]-TabelaSobras8[[#This Row],[Saída]]-TabelaSobras8[[#This Row],[Saída 2]]-P66</f>
        <v/>
      </c>
      <c r="L66" s="169" t="inlineStr">
        <is>
          <t>Multilínea</t>
        </is>
      </c>
      <c r="M66" s="169">
        <f>TabelaSobras8[[#This Row],[Estoque]]*5.8575</f>
        <v/>
      </c>
      <c r="N66" s="170" t="n">
        <v>200</v>
      </c>
      <c r="O66" s="170" t="n"/>
      <c r="P66" s="170" t="n"/>
      <c r="Q66" s="170" t="inlineStr">
        <is>
          <t>I25038</t>
        </is>
      </c>
      <c r="R66" s="170" t="inlineStr">
        <is>
          <t>Yuri</t>
        </is>
      </c>
      <c r="S66" s="6" t="n">
        <v>45901</v>
      </c>
      <c r="T66" s="12">
        <f>INT(TODAY()-TabelaSobras8[[#This Row],[Data do
Registro inical]])</f>
        <v/>
      </c>
    </row>
    <row r="67" hidden="1">
      <c r="A67" s="170" t="inlineStr">
        <is>
          <t>N25074</t>
        </is>
      </c>
      <c r="B67" s="170">
        <f>VLOOKUP(LEFT(A67,1),Tabela5[],2,0)</f>
        <v/>
      </c>
      <c r="C67" s="170" t="inlineStr">
        <is>
          <t>EUCADUR NT - 2,5MM</t>
        </is>
      </c>
      <c r="D67" s="169" t="n">
        <v>987</v>
      </c>
      <c r="E67" s="169" t="n">
        <v>268</v>
      </c>
      <c r="F67" s="169">
        <f>TEXT(TabelaSobras8[[#This Row],[Comprimento 
Sobras (mm)]],0) &amp; " X " &amp; TEXT(E67,0)</f>
        <v/>
      </c>
      <c r="G67" s="170">
        <f>(TabelaSobras8[[#This Row],[Comprimento 
Sobras (mm)]]*E67/1000000)</f>
        <v/>
      </c>
      <c r="H67" s="170" t="n">
        <v>112</v>
      </c>
      <c r="I67" s="170">
        <f>IF(TabelaSobras8[[#This Row],[Estoque]]&lt;=$V$2,$U$4,$U$5)</f>
        <v/>
      </c>
      <c r="J67" s="170">
        <f>TabelaSobras8[[#This Row],[Quantidade de Sobra INICIAL]]-K67</f>
        <v/>
      </c>
      <c r="K67" s="29">
        <f>TabelaSobras8[[#This Row],[Quantidade de Sobra INICIAL]]-TabelaSobras8[[#This Row],[Saída]]-TabelaSobras8[[#This Row],[Saída 2]]-P67</f>
        <v/>
      </c>
      <c r="L67" s="169" t="inlineStr">
        <is>
          <t>Nesher</t>
        </is>
      </c>
      <c r="M67" s="169">
        <f>TabelaSobras8[[#This Row],[Estoque]]*5.8575</f>
        <v/>
      </c>
      <c r="N67" s="170" t="n">
        <v>112</v>
      </c>
      <c r="O67" s="170" t="n"/>
      <c r="P67" s="170" t="n"/>
      <c r="Q67" s="28" t="inlineStr">
        <is>
          <t>N25076</t>
        </is>
      </c>
      <c r="R67" s="170" t="inlineStr">
        <is>
          <t>Yuri</t>
        </is>
      </c>
      <c r="S67" s="6" t="n">
        <v>45901</v>
      </c>
      <c r="T67" s="12">
        <f>INT(TODAY()-TabelaSobras8[[#This Row],[Data do
Registro inical]])</f>
        <v/>
      </c>
    </row>
    <row r="68" hidden="1">
      <c r="A68" s="170" t="inlineStr">
        <is>
          <t>N25074</t>
        </is>
      </c>
      <c r="B68" s="170">
        <f>VLOOKUP(LEFT(A68,1),Tabela5[],2,0)</f>
        <v/>
      </c>
      <c r="C68" s="170" t="inlineStr">
        <is>
          <t>EUCADUR NT - 2,5MM</t>
        </is>
      </c>
      <c r="D68" s="169" t="n">
        <v>599</v>
      </c>
      <c r="E68" s="169" t="n">
        <v>398</v>
      </c>
      <c r="F68" s="169">
        <f>TEXT(TabelaSobras8[[#This Row],[Comprimento 
Sobras (mm)]],0) &amp; " X " &amp; TEXT(E68,0)</f>
        <v/>
      </c>
      <c r="G68" s="170">
        <f>(TabelaSobras8[[#This Row],[Comprimento 
Sobras (mm)]]*E68/1000000)</f>
        <v/>
      </c>
      <c r="H68" s="170" t="n">
        <v>110</v>
      </c>
      <c r="I68" s="170">
        <f>IF(TabelaSobras8[[#This Row],[Estoque]]&lt;=$V$2,$U$4,$U$5)</f>
        <v/>
      </c>
      <c r="J68" s="170">
        <f>TabelaSobras8[[#This Row],[Quantidade de Sobra INICIAL]]-K68</f>
        <v/>
      </c>
      <c r="K68" s="29">
        <f>TabelaSobras8[[#This Row],[Quantidade de Sobra INICIAL]]-TabelaSobras8[[#This Row],[Saída]]-TabelaSobras8[[#This Row],[Saída 2]]-P68</f>
        <v/>
      </c>
      <c r="L68" s="169" t="inlineStr">
        <is>
          <t>Nesher</t>
        </is>
      </c>
      <c r="M68" s="169">
        <f>TabelaSobras8[[#This Row],[Estoque]]*5.8575</f>
        <v/>
      </c>
      <c r="N68" s="170" t="n">
        <v>110</v>
      </c>
      <c r="O68" s="170" t="n"/>
      <c r="P68" s="170" t="n"/>
      <c r="Q68" s="28" t="inlineStr">
        <is>
          <t>N25077</t>
        </is>
      </c>
      <c r="R68" s="170" t="inlineStr">
        <is>
          <t>Yuri</t>
        </is>
      </c>
      <c r="S68" s="6" t="n">
        <v>45901</v>
      </c>
      <c r="T68" s="12">
        <f>INT(TODAY()-TabelaSobras8[[#This Row],[Data do
Registro inical]])</f>
        <v/>
      </c>
    </row>
    <row r="69" hidden="1">
      <c r="A69" s="170" t="inlineStr">
        <is>
          <t>N25075</t>
        </is>
      </c>
      <c r="B69" s="170">
        <f>VLOOKUP(LEFT(A69,1),Tabela5[],2,0)</f>
        <v/>
      </c>
      <c r="C69" s="170" t="inlineStr">
        <is>
          <t>EUCADUR FRJ - 2,5MM</t>
        </is>
      </c>
      <c r="D69" s="169" t="n">
        <v>629</v>
      </c>
      <c r="E69" s="169" t="n">
        <v>398</v>
      </c>
      <c r="F69" s="169">
        <f>TEXT(TabelaSobras8[[#This Row],[Comprimento 
Sobras (mm)]],0) &amp; " X " &amp; TEXT(E69,0)</f>
        <v/>
      </c>
      <c r="G69" s="170">
        <f>(TabelaSobras8[[#This Row],[Comprimento 
Sobras (mm)]]*E69/1000000)</f>
        <v/>
      </c>
      <c r="H69" s="170" t="n">
        <v>375</v>
      </c>
      <c r="I69" s="170">
        <f>IF(TabelaSobras8[[#This Row],[Estoque]]&lt;=$V$2,$U$4,$U$5)</f>
        <v/>
      </c>
      <c r="J69" s="170">
        <f>TabelaSobras8[[#This Row],[Quantidade de Sobra INICIAL]]-K69</f>
        <v/>
      </c>
      <c r="K69" s="29">
        <f>TabelaSobras8[[#This Row],[Quantidade de Sobra INICIAL]]-TabelaSobras8[[#This Row],[Saída]]-TabelaSobras8[[#This Row],[Saída 2]]-P69</f>
        <v/>
      </c>
      <c r="L69" s="169" t="inlineStr">
        <is>
          <t>Nesher</t>
        </is>
      </c>
      <c r="M69" s="169">
        <f>TabelaSobras8[[#This Row],[Estoque]]*5.8575</f>
        <v/>
      </c>
      <c r="N69" s="170" t="n">
        <v>375</v>
      </c>
      <c r="O69" s="170" t="n"/>
      <c r="P69" s="170" t="n"/>
      <c r="Q69" s="27" t="inlineStr">
        <is>
          <t>N25078</t>
        </is>
      </c>
      <c r="R69" s="170" t="inlineStr">
        <is>
          <t>Yuri</t>
        </is>
      </c>
      <c r="S69" s="6" t="n">
        <v>45904</v>
      </c>
      <c r="T69" s="12">
        <f>INT(TODAY()-TabelaSobras8[[#This Row],[Data do
Registro inical]])</f>
        <v/>
      </c>
    </row>
    <row r="70" hidden="1">
      <c r="A70" s="170" t="inlineStr">
        <is>
          <t>N25075</t>
        </is>
      </c>
      <c r="B70" s="170">
        <f>VLOOKUP(LEFT(A70,1),Tabela5[],2,0)</f>
        <v/>
      </c>
      <c r="C70" s="170" t="inlineStr">
        <is>
          <t>EUCADUR FRJ - 2,5MM</t>
        </is>
      </c>
      <c r="D70" s="169" t="n">
        <v>329</v>
      </c>
      <c r="E70" s="169" t="n">
        <v>398</v>
      </c>
      <c r="F70" s="169">
        <f>TEXT(TabelaSobras8[[#This Row],[Comprimento 
Sobras (mm)]],0) &amp; " X " &amp; TEXT(E70,0)</f>
        <v/>
      </c>
      <c r="G70" s="170">
        <f>(TabelaSobras8[[#This Row],[Comprimento 
Sobras (mm)]]*E70/1000000)</f>
        <v/>
      </c>
      <c r="H70" s="170" t="n">
        <v>205</v>
      </c>
      <c r="I70" s="170">
        <f>IF(TabelaSobras8[[#This Row],[Estoque]]&lt;=$V$2,$U$4,$U$5)</f>
        <v/>
      </c>
      <c r="J70" s="170">
        <f>TabelaSobras8[[#This Row],[Quantidade de Sobra INICIAL]]-K70</f>
        <v/>
      </c>
      <c r="K70" s="29">
        <f>TabelaSobras8[[#This Row],[Quantidade de Sobra INICIAL]]-TabelaSobras8[[#This Row],[Saída]]-TabelaSobras8[[#This Row],[Saída 2]]-P70</f>
        <v/>
      </c>
      <c r="L70" s="169" t="inlineStr">
        <is>
          <t>Nesher</t>
        </is>
      </c>
      <c r="M70" s="169">
        <f>TabelaSobras8[[#This Row],[Estoque]]*5.8575</f>
        <v/>
      </c>
      <c r="N70" s="170" t="n">
        <v>205</v>
      </c>
      <c r="O70" s="170" t="n"/>
      <c r="P70" s="170" t="n"/>
      <c r="Q70" s="170" t="inlineStr">
        <is>
          <t>N25081</t>
        </is>
      </c>
      <c r="R70" s="170" t="inlineStr">
        <is>
          <t>Yuri</t>
        </is>
      </c>
      <c r="S70" s="6" t="n">
        <v>45904</v>
      </c>
      <c r="T70" s="12">
        <f>INT(TODAY()-TabelaSobras8[[#This Row],[Data do
Registro inical]])</f>
        <v/>
      </c>
    </row>
    <row r="71" hidden="1">
      <c r="A71" s="170" t="inlineStr">
        <is>
          <t>M25040</t>
        </is>
      </c>
      <c r="B71" s="170">
        <f>VLOOKUP(LEFT(A71,1),Tabela5[],2,0)</f>
        <v/>
      </c>
      <c r="C71" s="170" t="inlineStr">
        <is>
          <t>EUCADUR NT - 2,5MM</t>
        </is>
      </c>
      <c r="D71" s="169" t="n">
        <v>695</v>
      </c>
      <c r="E71" s="169" t="n">
        <v>379</v>
      </c>
      <c r="F71" s="169">
        <f>TEXT(TabelaSobras8[[#This Row],[Comprimento 
Sobras (mm)]],0) &amp; " X " &amp; TEXT(E71,0)</f>
        <v/>
      </c>
      <c r="G71" s="170">
        <f>(TabelaSobras8[[#This Row],[Comprimento 
Sobras (mm)]]*E71/1000000)</f>
        <v/>
      </c>
      <c r="H71" s="170" t="n">
        <v>70</v>
      </c>
      <c r="I71" s="170">
        <f>IF(TabelaSobras8[[#This Row],[Estoque]]&lt;=$V$2,$U$4,$U$5)</f>
        <v/>
      </c>
      <c r="J71" s="170">
        <f>TabelaSobras8[[#This Row],[Quantidade de Sobra INICIAL]]-K71</f>
        <v/>
      </c>
      <c r="K71" s="29">
        <f>TabelaSobras8[[#This Row],[Quantidade de Sobra INICIAL]]-TabelaSobras8[[#This Row],[Saída]]-TabelaSobras8[[#This Row],[Saída 2]]-P71</f>
        <v/>
      </c>
      <c r="L71" s="169" t="inlineStr">
        <is>
          <t>Multilínea</t>
        </is>
      </c>
      <c r="M71" s="169">
        <f>TabelaSobras8[[#This Row],[Estoque]]*5.8575</f>
        <v/>
      </c>
      <c r="N71" s="170" t="n">
        <v>70</v>
      </c>
      <c r="O71" s="170" t="n"/>
      <c r="P71" s="170" t="n"/>
      <c r="Q71" s="27" t="inlineStr">
        <is>
          <t>M25042</t>
        </is>
      </c>
      <c r="R71" s="170" t="inlineStr">
        <is>
          <t>Yuri</t>
        </is>
      </c>
      <c r="S71" s="6" t="n">
        <v>45903</v>
      </c>
      <c r="T71" s="12">
        <f>INT(TODAY()-TabelaSobras8[[#This Row],[Data do
Registro inical]])</f>
        <v/>
      </c>
    </row>
    <row r="72" hidden="1">
      <c r="A72" s="170" t="inlineStr">
        <is>
          <t>I25038</t>
        </is>
      </c>
      <c r="B72" s="170">
        <f>VLOOKUP(LEFT(A72,1),Tabela5[],2,0)</f>
        <v/>
      </c>
      <c r="C72" s="170" t="inlineStr">
        <is>
          <t>EUCADUR NT - 2,5MM</t>
        </is>
      </c>
      <c r="D72" s="169" t="n">
        <v>695</v>
      </c>
      <c r="E72" s="169" t="n">
        <v>379</v>
      </c>
      <c r="F72" s="169">
        <f>TEXT(TabelaSobras8[[#This Row],[Comprimento 
Sobras (mm)]],0) &amp; " X " &amp; TEXT(E72,0)</f>
        <v/>
      </c>
      <c r="G72" s="170">
        <f>(TabelaSobras8[[#This Row],[Comprimento 
Sobras (mm)]]*E72/1000000)</f>
        <v/>
      </c>
      <c r="H72" s="170" t="n">
        <v>175</v>
      </c>
      <c r="I72" s="170">
        <f>IF(TabelaSobras8[[#This Row],[Estoque]]&lt;=$V$2,$U$4,$U$5)</f>
        <v/>
      </c>
      <c r="J72" s="170">
        <f>TabelaSobras8[[#This Row],[Quantidade de Sobra INICIAL]]-K72</f>
        <v/>
      </c>
      <c r="K72" s="29">
        <f>TabelaSobras8[[#This Row],[Quantidade de Sobra INICIAL]]-TabelaSobras8[[#This Row],[Saída]]-TabelaSobras8[[#This Row],[Saída 2]]-P72</f>
        <v/>
      </c>
      <c r="L72" s="169" t="inlineStr">
        <is>
          <t>Multilínea</t>
        </is>
      </c>
      <c r="M72" s="169">
        <f>TabelaSobras8[[#This Row],[Estoque]]*5.8575</f>
        <v/>
      </c>
      <c r="N72" s="170" t="n">
        <v>175</v>
      </c>
      <c r="O72" s="170" t="n"/>
      <c r="P72" s="170" t="n"/>
      <c r="Q72" s="27" t="inlineStr">
        <is>
          <t>M25042</t>
        </is>
      </c>
      <c r="R72" s="170" t="inlineStr">
        <is>
          <t>Yuri</t>
        </is>
      </c>
      <c r="S72" s="6" t="n">
        <v>45911</v>
      </c>
      <c r="T72" s="12">
        <f>INT(TODAY()-TabelaSobras8[[#This Row],[Data do
Registro inical]])</f>
        <v/>
      </c>
    </row>
    <row r="73" hidden="1">
      <c r="A73" s="170" t="inlineStr">
        <is>
          <t>M25041</t>
        </is>
      </c>
      <c r="B73" s="170">
        <f>VLOOKUP(LEFT(A73,1),Tabela5[],2,0)</f>
        <v/>
      </c>
      <c r="C73" s="170" t="inlineStr">
        <is>
          <t>EUCADUR FRJ - 2,5MM</t>
        </is>
      </c>
      <c r="D73" s="169" t="n">
        <v>635</v>
      </c>
      <c r="E73" s="169" t="n">
        <v>685</v>
      </c>
      <c r="F73" s="169">
        <f>TEXT(TabelaSobras8[[#This Row],[Comprimento 
Sobras (mm)]],0) &amp; " X " &amp; TEXT(E73,0)</f>
        <v/>
      </c>
      <c r="G73" s="170">
        <f>(TabelaSobras8[[#This Row],[Comprimento 
Sobras (mm)]]*E73/1000000)</f>
        <v/>
      </c>
      <c r="H73" s="170" t="n">
        <v>141</v>
      </c>
      <c r="I73" s="170">
        <f>IF(TabelaSobras8[[#This Row],[Estoque]]&lt;=$V$2,$U$4,$U$5)</f>
        <v/>
      </c>
      <c r="J73" s="170">
        <f>TabelaSobras8[[#This Row],[Quantidade de Sobra INICIAL]]-K73</f>
        <v/>
      </c>
      <c r="K73" s="29">
        <f>TabelaSobras8[[#This Row],[Quantidade de Sobra INICIAL]]-TabelaSobras8[[#This Row],[Saída]]-TabelaSobras8[[#This Row],[Saída 2]]-P73</f>
        <v/>
      </c>
      <c r="L73" s="169" t="inlineStr">
        <is>
          <t>Multilínea</t>
        </is>
      </c>
      <c r="M73" s="169">
        <f>TabelaSobras8[[#This Row],[Estoque]]*5.8575</f>
        <v/>
      </c>
      <c r="N73" s="170" t="n">
        <v>141</v>
      </c>
      <c r="O73" s="170" t="n"/>
      <c r="P73" s="170" t="n"/>
      <c r="Q73" s="42" t="inlineStr">
        <is>
          <t>M25043</t>
        </is>
      </c>
      <c r="R73" s="170" t="inlineStr">
        <is>
          <t>Yuri</t>
        </is>
      </c>
      <c r="S73" s="6" t="n">
        <v>45912</v>
      </c>
      <c r="T73" s="12">
        <f>INT(TODAY()-TabelaSobras8[[#This Row],[Data do
Registro inical]])</f>
        <v/>
      </c>
    </row>
    <row r="74" hidden="1">
      <c r="A74" s="170" t="inlineStr">
        <is>
          <t>M25041</t>
        </is>
      </c>
      <c r="B74" s="170">
        <f>VLOOKUP(LEFT(A74,1),Tabela5[],2,0)</f>
        <v/>
      </c>
      <c r="C74" s="170" t="inlineStr">
        <is>
          <t>EUCADUR BR - 2,5MM</t>
        </is>
      </c>
      <c r="D74" s="169" t="n">
        <v>695</v>
      </c>
      <c r="E74" s="169" t="n">
        <v>448</v>
      </c>
      <c r="F74" s="169">
        <f>TEXT(TabelaSobras8[[#This Row],[Comprimento 
Sobras (mm)]],0) &amp; " X " &amp; TEXT(E74,0)</f>
        <v/>
      </c>
      <c r="G74" s="170">
        <f>(TabelaSobras8[[#This Row],[Comprimento 
Sobras (mm)]]*E74/1000000)</f>
        <v/>
      </c>
      <c r="H74" s="170" t="n">
        <v>351</v>
      </c>
      <c r="I74" s="170">
        <f>IF(TabelaSobras8[[#This Row],[Estoque]]&lt;=$V$2,$U$4,$U$5)</f>
        <v/>
      </c>
      <c r="J74" s="170">
        <f>TabelaSobras8[[#This Row],[Quantidade de Sobra INICIAL]]-K74</f>
        <v/>
      </c>
      <c r="K74" s="29">
        <f>TabelaSobras8[[#This Row],[Quantidade de Sobra INICIAL]]-TabelaSobras8[[#This Row],[Saída]]-TabelaSobras8[[#This Row],[Saída 2]]-P74</f>
        <v/>
      </c>
      <c r="L74" s="169" t="inlineStr">
        <is>
          <t>Multilínea</t>
        </is>
      </c>
      <c r="M74" s="169">
        <f>TabelaSobras8[[#This Row],[Estoque]]*5.8575</f>
        <v/>
      </c>
      <c r="N74" s="170" t="n"/>
      <c r="O74" s="170" t="n"/>
      <c r="P74" s="170" t="n"/>
      <c r="Q74" s="42" t="inlineStr">
        <is>
          <t>M25044</t>
        </is>
      </c>
      <c r="R74" s="170" t="inlineStr">
        <is>
          <t>Yuri</t>
        </is>
      </c>
      <c r="S74" s="6" t="n">
        <v>45912</v>
      </c>
      <c r="T74" s="12">
        <f>INT(TODAY()-TabelaSobras8[[#This Row],[Data do
Registro inical]])</f>
        <v/>
      </c>
    </row>
    <row r="75" hidden="1">
      <c r="A75" s="170" t="inlineStr">
        <is>
          <t>M25041</t>
        </is>
      </c>
      <c r="B75" s="170">
        <f>VLOOKUP(LEFT(A75,1),Tabela5[],2,0)</f>
        <v/>
      </c>
      <c r="C75" s="170" t="inlineStr">
        <is>
          <t>EUCADUR BR - 2,5MM</t>
        </is>
      </c>
      <c r="D75" s="169" t="n">
        <v>695</v>
      </c>
      <c r="E75" s="169" t="n">
        <v>509</v>
      </c>
      <c r="F75" s="169">
        <f>TEXT(TabelaSobras8[[#This Row],[Comprimento 
Sobras (mm)]],0) &amp; " X " &amp; TEXT(E75,0)</f>
        <v/>
      </c>
      <c r="G75" s="170">
        <f>(TabelaSobras8[[#This Row],[Comprimento 
Sobras (mm)]]*E75/1000000)</f>
        <v/>
      </c>
      <c r="H75" s="170" t="n">
        <v>164</v>
      </c>
      <c r="I75" s="170">
        <f>IF(TabelaSobras8[[#This Row],[Estoque]]&lt;=$V$2,$U$4,$U$5)</f>
        <v/>
      </c>
      <c r="J75" s="170">
        <f>TabelaSobras8[[#This Row],[Quantidade de Sobra INICIAL]]-K75</f>
        <v/>
      </c>
      <c r="K75" s="29">
        <f>TabelaSobras8[[#This Row],[Quantidade de Sobra INICIAL]]-TabelaSobras8[[#This Row],[Saída]]-TabelaSobras8[[#This Row],[Saída 2]]-P75</f>
        <v/>
      </c>
      <c r="L75" s="169" t="inlineStr">
        <is>
          <t>Multilínea</t>
        </is>
      </c>
      <c r="M75" s="169">
        <f>TabelaSobras8[[#This Row],[Estoque]]*5.8575</f>
        <v/>
      </c>
      <c r="N75" s="170" t="n"/>
      <c r="O75" s="170" t="n"/>
      <c r="P75" s="170" t="n"/>
      <c r="Q75" s="42" t="inlineStr">
        <is>
          <t>M25044</t>
        </is>
      </c>
      <c r="R75" s="170" t="inlineStr">
        <is>
          <t>Yuri</t>
        </is>
      </c>
      <c r="S75" s="6" t="n">
        <v>45914</v>
      </c>
      <c r="T75" s="12">
        <f>INT(TODAY()-TabelaSobras8[[#This Row],[Data do
Registro inical]])</f>
        <v/>
      </c>
    </row>
    <row r="76" hidden="1">
      <c r="A76" s="170" t="inlineStr">
        <is>
          <t>M25041</t>
        </is>
      </c>
      <c r="B76" s="170">
        <f>VLOOKUP(LEFT(A76,1),Tabela5[],2,0)</f>
        <v/>
      </c>
      <c r="C76" s="170" t="inlineStr">
        <is>
          <t>EUCADUR BR - 2,5MM</t>
        </is>
      </c>
      <c r="D76" s="169" t="n">
        <v>695</v>
      </c>
      <c r="E76" s="169" t="n">
        <v>404</v>
      </c>
      <c r="F76" s="169">
        <f>TEXT(TabelaSobras8[[#This Row],[Comprimento 
Sobras (mm)]],0) &amp; " X " &amp; TEXT(E76,0)</f>
        <v/>
      </c>
      <c r="G76" s="170">
        <f>(TabelaSobras8[[#This Row],[Comprimento 
Sobras (mm)]]*E76/1000000)</f>
        <v/>
      </c>
      <c r="H76" s="170" t="n">
        <v>138</v>
      </c>
      <c r="I76" s="170">
        <f>IF(TabelaSobras8[[#This Row],[Estoque]]&lt;=$V$2,$U$4,$U$5)</f>
        <v/>
      </c>
      <c r="J76" s="170">
        <f>TabelaSobras8[[#This Row],[Quantidade de Sobra INICIAL]]-K76</f>
        <v/>
      </c>
      <c r="K76" s="29">
        <f>TabelaSobras8[[#This Row],[Quantidade de Sobra INICIAL]]-TabelaSobras8[[#This Row],[Saída]]-TabelaSobras8[[#This Row],[Saída 2]]-P76</f>
        <v/>
      </c>
      <c r="L76" s="169" t="inlineStr">
        <is>
          <t>Multilínea</t>
        </is>
      </c>
      <c r="M76" s="169">
        <f>TabelaSobras8[[#This Row],[Estoque]]*5.8575</f>
        <v/>
      </c>
      <c r="N76" s="170" t="n"/>
      <c r="O76" s="170" t="n"/>
      <c r="P76" s="170" t="n"/>
      <c r="Q76" s="42" t="inlineStr">
        <is>
          <t>M25044</t>
        </is>
      </c>
      <c r="R76" s="170" t="inlineStr">
        <is>
          <t>Yuri</t>
        </is>
      </c>
      <c r="S76" s="6" t="n">
        <v>45914</v>
      </c>
      <c r="T76" s="12">
        <f>INT(TODAY()-TabelaSobras8[[#This Row],[Data do
Registro inical]])</f>
        <v/>
      </c>
    </row>
    <row r="77" hidden="1" ht="28.8" customHeight="1">
      <c r="A77" s="170" t="inlineStr">
        <is>
          <t>N</t>
        </is>
      </c>
      <c r="B77" s="170">
        <f>VLOOKUP(LEFT(A77,1),Tabela5[],2,0)</f>
        <v/>
      </c>
      <c r="C77" s="170" t="inlineStr">
        <is>
          <t>EUCADUR NT - 2,5MM</t>
        </is>
      </c>
      <c r="D77" s="169" t="n">
        <v>540</v>
      </c>
      <c r="E77" s="169" t="n">
        <v>398</v>
      </c>
      <c r="F77" s="169">
        <f>TEXT(TabelaSobras8[[#This Row],[Comprimento 
Sobras (mm)]],0) &amp; " X " &amp; TEXT(E77,0)</f>
        <v/>
      </c>
      <c r="G77" s="170">
        <f>(TabelaSobras8[[#This Row],[Comprimento 
Sobras (mm)]]*E77/1000000)</f>
        <v/>
      </c>
      <c r="H77" s="170" t="n">
        <v>640</v>
      </c>
      <c r="I77" s="170">
        <f>IF(TabelaSobras8[[#This Row],[Estoque]]&lt;=$V$2,$U$4,$U$5)</f>
        <v/>
      </c>
      <c r="J77" s="170">
        <f>TabelaSobras8[[#This Row],[Quantidade de Sobra INICIAL]]-K77</f>
        <v/>
      </c>
      <c r="K77" s="29">
        <f>TabelaSobras8[[#This Row],[Quantidade de Sobra INICIAL]]-TabelaSobras8[[#This Row],[Saída]]-TabelaSobras8[[#This Row],[Saída 2]]-P77</f>
        <v/>
      </c>
      <c r="L77" s="169" t="inlineStr">
        <is>
          <t>Nesher</t>
        </is>
      </c>
      <c r="M77" s="169">
        <f>TabelaSobras8[[#This Row],[Estoque]]*5.8575</f>
        <v/>
      </c>
      <c r="N77" s="170" t="n">
        <v>577</v>
      </c>
      <c r="O77" s="170" t="n">
        <v>63</v>
      </c>
      <c r="P77" s="170" t="n"/>
      <c r="Q77" s="8" t="inlineStr">
        <is>
          <t>577 P/N25077
63 P/N2508004</t>
        </is>
      </c>
      <c r="R77" s="170" t="inlineStr">
        <is>
          <t>Yuri</t>
        </is>
      </c>
      <c r="S77" s="6" t="n">
        <v>45915</v>
      </c>
      <c r="T77" s="12">
        <f>INT(TODAY()-TabelaSobras8[[#This Row],[Data do
Registro inical]])</f>
        <v/>
      </c>
    </row>
    <row r="78" hidden="1">
      <c r="A78" s="170" t="inlineStr">
        <is>
          <t>N25077</t>
        </is>
      </c>
      <c r="B78" s="170">
        <f>VLOOKUP(LEFT(A78,1),Tabela5[],2,0)</f>
        <v/>
      </c>
      <c r="C78" s="170" t="inlineStr">
        <is>
          <t>EUCADUR NT - 2,5MM</t>
        </is>
      </c>
      <c r="D78" s="169" t="n">
        <v>462</v>
      </c>
      <c r="E78" s="169" t="n">
        <v>398</v>
      </c>
      <c r="F78" s="169">
        <f>TEXT(TabelaSobras8[[#This Row],[Comprimento 
Sobras (mm)]],0) &amp; " X " &amp; TEXT(E78,0)</f>
        <v/>
      </c>
      <c r="G78" s="170">
        <f>(TabelaSobras8[[#This Row],[Comprimento 
Sobras (mm)]]*E78/1000000)</f>
        <v/>
      </c>
      <c r="H78" s="170" t="n">
        <v>106</v>
      </c>
      <c r="I78" s="170">
        <f>IF(TabelaSobras8[[#This Row],[Estoque]]&lt;=$V$2,$U$4,$U$5)</f>
        <v/>
      </c>
      <c r="J78" s="170">
        <f>TabelaSobras8[[#This Row],[Quantidade de Sobra INICIAL]]-K78</f>
        <v/>
      </c>
      <c r="K78" s="29">
        <f>TabelaSobras8[[#This Row],[Quantidade de Sobra INICIAL]]-TabelaSobras8[[#This Row],[Saída]]-TabelaSobras8[[#This Row],[Saída 2]]-P78</f>
        <v/>
      </c>
      <c r="L78" s="169" t="inlineStr">
        <is>
          <t>Nesher</t>
        </is>
      </c>
      <c r="M78" s="169">
        <f>TabelaSobras8[[#This Row],[Estoque]]*5.8575</f>
        <v/>
      </c>
      <c r="N78" s="170" t="n">
        <v>106</v>
      </c>
      <c r="O78" s="170" t="n"/>
      <c r="P78" s="170" t="n"/>
      <c r="Q78" s="170" t="inlineStr">
        <is>
          <t>N2508004</t>
        </is>
      </c>
      <c r="R78" s="170" t="inlineStr">
        <is>
          <t>Yuri</t>
        </is>
      </c>
      <c r="S78" s="6" t="n">
        <v>45915</v>
      </c>
      <c r="T78" s="12">
        <f>INT(TODAY()-TabelaSobras8[[#This Row],[Data do
Registro inical]])</f>
        <v/>
      </c>
    </row>
    <row r="79" hidden="1">
      <c r="A79" s="170" t="inlineStr">
        <is>
          <t>N25077</t>
        </is>
      </c>
      <c r="B79" s="170">
        <f>VLOOKUP(LEFT(A79,1),Tabela5[],2,0)</f>
        <v/>
      </c>
      <c r="C79" s="170" t="inlineStr">
        <is>
          <t>EUCADUR NT - 2,5MM</t>
        </is>
      </c>
      <c r="D79" s="169" t="n">
        <v>987</v>
      </c>
      <c r="E79" s="169" t="n">
        <v>268</v>
      </c>
      <c r="F79" s="169">
        <f>TEXT(TabelaSobras8[[#This Row],[Comprimento 
Sobras (mm)]],0) &amp; " X " &amp; TEXT(E79,0)</f>
        <v/>
      </c>
      <c r="G79" s="170">
        <f>(TabelaSobras8[[#This Row],[Comprimento 
Sobras (mm)]]*E79/1000000)</f>
        <v/>
      </c>
      <c r="H79" s="170" t="n">
        <v>232</v>
      </c>
      <c r="I79" s="170">
        <f>IF(TabelaSobras8[[#This Row],[Estoque]]&lt;=$V$2,$U$4,$U$5)</f>
        <v/>
      </c>
      <c r="J79" s="170">
        <f>TabelaSobras8[[#This Row],[Quantidade de Sobra INICIAL]]-K79</f>
        <v/>
      </c>
      <c r="K79" s="29">
        <f>TabelaSobras8[[#This Row],[Quantidade de Sobra INICIAL]]-TabelaSobras8[[#This Row],[Saída]]-TabelaSobras8[[#This Row],[Saída 2]]-P79</f>
        <v/>
      </c>
      <c r="L79" s="169" t="inlineStr">
        <is>
          <t>Nesher</t>
        </is>
      </c>
      <c r="M79" s="169">
        <f>TabelaSobras8[[#This Row],[Estoque]]*5.8575</f>
        <v/>
      </c>
      <c r="N79" s="170" t="n">
        <v>232</v>
      </c>
      <c r="O79" s="170" t="n"/>
      <c r="P79" s="170" t="n"/>
      <c r="Q79" s="170" t="inlineStr">
        <is>
          <t>N2508004</t>
        </is>
      </c>
      <c r="R79" s="170" t="inlineStr">
        <is>
          <t>Yuri</t>
        </is>
      </c>
      <c r="S79" s="6" t="n">
        <v>45915</v>
      </c>
      <c r="T79" s="12">
        <f>INT(TODAY()-TabelaSobras8[[#This Row],[Data do
Registro inical]])</f>
        <v/>
      </c>
    </row>
    <row r="80" hidden="1">
      <c r="A80" s="170" t="inlineStr">
        <is>
          <t>N25079</t>
        </is>
      </c>
      <c r="B80" s="170">
        <f>VLOOKUP(LEFT(A80,1),Tabela5[],2,0)</f>
        <v/>
      </c>
      <c r="C80" s="170" t="inlineStr">
        <is>
          <t>EUCADUR NT - 2,5MM</t>
        </is>
      </c>
      <c r="D80" s="169" t="n">
        <v>697</v>
      </c>
      <c r="E80" s="169" t="n">
        <v>398</v>
      </c>
      <c r="F80" s="169">
        <f>TEXT(TabelaSobras8[[#This Row],[Comprimento 
Sobras (mm)]],0) &amp; " X " &amp; TEXT(E80,0)</f>
        <v/>
      </c>
      <c r="G80" s="170">
        <f>(TabelaSobras8[[#This Row],[Comprimento 
Sobras (mm)]]*E80/1000000)</f>
        <v/>
      </c>
      <c r="H80" s="170" t="n">
        <v>380</v>
      </c>
      <c r="I80" s="170">
        <f>IF(TabelaSobras8[[#This Row],[Estoque]]&lt;=$V$2,$U$4,$U$5)</f>
        <v/>
      </c>
      <c r="J80" s="170">
        <f>TabelaSobras8[[#This Row],[Quantidade de Sobra INICIAL]]-K80</f>
        <v/>
      </c>
      <c r="K80" s="29">
        <f>TabelaSobras8[[#This Row],[Quantidade de Sobra INICIAL]]-TabelaSobras8[[#This Row],[Saída]]-TabelaSobras8[[#This Row],[Saída 2]]-P80</f>
        <v/>
      </c>
      <c r="L80" s="169" t="inlineStr">
        <is>
          <t>Nesher</t>
        </is>
      </c>
      <c r="M80" s="169">
        <f>TabelaSobras8[[#This Row],[Estoque]]*5.8575</f>
        <v/>
      </c>
      <c r="N80" s="170" t="n">
        <v>380</v>
      </c>
      <c r="O80" s="170" t="n"/>
      <c r="P80" s="170" t="n"/>
      <c r="Q80" s="170" t="inlineStr">
        <is>
          <t>N2507804</t>
        </is>
      </c>
      <c r="R80" s="170" t="inlineStr">
        <is>
          <t>Yuri</t>
        </is>
      </c>
      <c r="S80" s="6" t="n">
        <v>45917</v>
      </c>
      <c r="T80" s="12">
        <f>INT(TODAY()-TabelaSobras8[[#This Row],[Data do
Registro inical]])</f>
        <v/>
      </c>
    </row>
    <row r="81" hidden="1">
      <c r="A81" s="170" t="inlineStr">
        <is>
          <t>L</t>
        </is>
      </c>
      <c r="B81" s="170">
        <f>VLOOKUP(LEFT(A81,1),Tabela5[],2,0)</f>
        <v/>
      </c>
      <c r="C81" s="170" t="inlineStr">
        <is>
          <t>EUCADUR FRJ - 2,5MM</t>
        </is>
      </c>
      <c r="D81" s="169" t="n">
        <v>695</v>
      </c>
      <c r="E81" s="169" t="n">
        <v>330</v>
      </c>
      <c r="F81" s="169">
        <f>TEXT(TabelaSobras8[[#This Row],[Comprimento 
Sobras (mm)]],0) &amp; " X " &amp; TEXT(E81,0)</f>
        <v/>
      </c>
      <c r="G81" s="170">
        <f>(TabelaSobras8[[#This Row],[Comprimento 
Sobras (mm)]]*E81/1000000)</f>
        <v/>
      </c>
      <c r="H81" s="170" t="n">
        <v>470</v>
      </c>
      <c r="I81" s="170">
        <f>IF(TabelaSobras8[[#This Row],[Estoque]]&lt;=$V$2,$U$4,$U$5)</f>
        <v/>
      </c>
      <c r="J81" s="170">
        <f>TabelaSobras8[[#This Row],[Quantidade de Sobra INICIAL]]-K81</f>
        <v/>
      </c>
      <c r="K81" s="29">
        <f>TabelaSobras8[[#This Row],[Quantidade de Sobra INICIAL]]-TabelaSobras8[[#This Row],[Saída]]-TabelaSobras8[[#This Row],[Saída 2]]-P81</f>
        <v/>
      </c>
      <c r="L81" s="169" t="inlineStr">
        <is>
          <t>Nesher</t>
        </is>
      </c>
      <c r="M81" s="169">
        <f>TabelaSobras8[[#This Row],[Estoque]]*5.8575</f>
        <v/>
      </c>
      <c r="N81" s="170" t="n">
        <v>470</v>
      </c>
      <c r="O81" s="170" t="n"/>
      <c r="P81" s="170" t="n"/>
      <c r="Q81" s="170" t="inlineStr">
        <is>
          <t>I2600107</t>
        </is>
      </c>
      <c r="R81" s="170" t="inlineStr">
        <is>
          <t>Yuri</t>
        </is>
      </c>
      <c r="S81" s="6" t="n">
        <v>46027</v>
      </c>
      <c r="T81" s="12">
        <f>INT(TODAY()-TabelaSobras8[[#This Row],[Data do
Registro inical]])</f>
        <v/>
      </c>
    </row>
    <row r="82" hidden="1">
      <c r="A82" s="170" t="inlineStr">
        <is>
          <t>N25079</t>
        </is>
      </c>
      <c r="B82" s="170">
        <f>VLOOKUP(LEFT(A82,1),Tabela5[],2,0)</f>
        <v/>
      </c>
      <c r="C82" s="170" t="inlineStr">
        <is>
          <t>EUCADUR NT - 2,5MM</t>
        </is>
      </c>
      <c r="D82" s="169" t="n">
        <v>795</v>
      </c>
      <c r="E82" s="169" t="n">
        <v>285</v>
      </c>
      <c r="F82" s="169">
        <f>TEXT(TabelaSobras8[[#This Row],[Comprimento 
Sobras (mm)]],0) &amp; " X " &amp; TEXT(E82,0)</f>
        <v/>
      </c>
      <c r="G82" s="170">
        <f>(TabelaSobras8[[#This Row],[Comprimento 
Sobras (mm)]]*E82/1000000)</f>
        <v/>
      </c>
      <c r="H82" s="170" t="n">
        <v>185</v>
      </c>
      <c r="I82" s="170">
        <f>IF(TabelaSobras8[[#This Row],[Estoque]]&lt;=$V$2,$U$4,$U$5)</f>
        <v/>
      </c>
      <c r="J82" s="170">
        <f>TabelaSobras8[[#This Row],[Quantidade de Sobra INICIAL]]-K82</f>
        <v/>
      </c>
      <c r="K82" s="29">
        <f>TabelaSobras8[[#This Row],[Quantidade de Sobra INICIAL]]-TabelaSobras8[[#This Row],[Saída]]-TabelaSobras8[[#This Row],[Saída 2]]-P82</f>
        <v/>
      </c>
      <c r="L82" s="169" t="inlineStr">
        <is>
          <t>Nesher</t>
        </is>
      </c>
      <c r="M82" s="169">
        <f>TabelaSobras8[[#This Row],[Estoque]]*5.8575</f>
        <v/>
      </c>
      <c r="N82" s="170" t="n">
        <v>185</v>
      </c>
      <c r="O82" s="170" t="n"/>
      <c r="P82" s="170" t="n"/>
      <c r="Q82" s="170" t="n"/>
      <c r="R82" s="170" t="inlineStr">
        <is>
          <t>Yuri</t>
        </is>
      </c>
      <c r="S82" s="6" t="n">
        <v>45917</v>
      </c>
      <c r="T82" s="12">
        <f>INT(TODAY()-TabelaSobras8[[#This Row],[Data do
Registro inical]])</f>
        <v/>
      </c>
    </row>
    <row r="83" hidden="1" ht="28.8" customHeight="1">
      <c r="A83" s="170" t="inlineStr">
        <is>
          <t>N25079</t>
        </is>
      </c>
      <c r="B83" s="170">
        <f>VLOOKUP(LEFT(A83,1),Tabela5[],2,0)</f>
        <v/>
      </c>
      <c r="C83" s="170" t="inlineStr">
        <is>
          <t>EUCADUR NT - 2,5MM</t>
        </is>
      </c>
      <c r="D83" s="169" t="n">
        <v>695</v>
      </c>
      <c r="E83" s="169" t="n">
        <v>317</v>
      </c>
      <c r="F83" s="169">
        <f>TEXT(TabelaSobras8[[#This Row],[Comprimento 
Sobras (mm)]],0) &amp; " X " &amp; TEXT(E83,0)</f>
        <v/>
      </c>
      <c r="G83" s="170">
        <f>(TabelaSobras8[[#This Row],[Comprimento 
Sobras (mm)]]*E83/1000000)</f>
        <v/>
      </c>
      <c r="H83" s="170">
        <f>177+12+69</f>
        <v/>
      </c>
      <c r="I83" s="170">
        <f>IF(TabelaSobras8[[#This Row],[Estoque]]&lt;=$V$2,$U$4,$U$5)</f>
        <v/>
      </c>
      <c r="J83" s="170">
        <f>TabelaSobras8[[#This Row],[Quantidade de Sobra INICIAL]]-K83</f>
        <v/>
      </c>
      <c r="K83" s="29">
        <f>TabelaSobras8[[#This Row],[Quantidade de Sobra INICIAL]]-TabelaSobras8[[#This Row],[Saída]]-TabelaSobras8[[#This Row],[Saída 2]]-P83</f>
        <v/>
      </c>
      <c r="L83" s="169" t="inlineStr">
        <is>
          <t>Nesher</t>
        </is>
      </c>
      <c r="M83" s="169">
        <f>TabelaSobras8[[#This Row],[Estoque]]*5.8575</f>
        <v/>
      </c>
      <c r="N83" s="170" t="n">
        <v>61</v>
      </c>
      <c r="O83" s="170" t="n">
        <v>197</v>
      </c>
      <c r="P83" s="170" t="n"/>
      <c r="Q83" s="8" t="inlineStr">
        <is>
          <t>N2507804
N25083</t>
        </is>
      </c>
      <c r="R83" s="170" t="inlineStr">
        <is>
          <t>Yuri</t>
        </is>
      </c>
      <c r="S83" s="6" t="n">
        <v>45917</v>
      </c>
      <c r="T83" s="12">
        <f>INT(TODAY()-TabelaSobras8[[#This Row],[Data do
Registro inical]])</f>
        <v/>
      </c>
    </row>
    <row r="84" hidden="1">
      <c r="A84" s="170" t="inlineStr">
        <is>
          <t>N25082</t>
        </is>
      </c>
      <c r="B84" s="170">
        <f>VLOOKUP(LEFT(A84,1),Tabela5[],2,0)</f>
        <v/>
      </c>
      <c r="C84" s="170" t="inlineStr">
        <is>
          <t>EUCADUR FRJ - 2,5MM</t>
        </is>
      </c>
      <c r="D84" s="169" t="n">
        <v>695</v>
      </c>
      <c r="E84" s="169" t="n">
        <v>375</v>
      </c>
      <c r="F84" s="169">
        <f>TEXT(TabelaSobras8[[#This Row],[Comprimento 
Sobras (mm)]],0) &amp; " X " &amp; TEXT(E84,0)</f>
        <v/>
      </c>
      <c r="G84" s="170">
        <f>(TabelaSobras8[[#This Row],[Comprimento 
Sobras (mm)]]*E84/1000000)</f>
        <v/>
      </c>
      <c r="H84" s="170" t="n">
        <v>268</v>
      </c>
      <c r="I84" s="170">
        <f>IF(TabelaSobras8[[#This Row],[Estoque]]&lt;=$V$2,$U$4,$U$5)</f>
        <v/>
      </c>
      <c r="J84" s="170">
        <f>TabelaSobras8[[#This Row],[Quantidade de Sobra INICIAL]]-K84</f>
        <v/>
      </c>
      <c r="K84" s="29">
        <f>TabelaSobras8[[#This Row],[Quantidade de Sobra INICIAL]]-TabelaSobras8[[#This Row],[Saída]]-TabelaSobras8[[#This Row],[Saída 2]]-P84</f>
        <v/>
      </c>
      <c r="L84" s="169" t="inlineStr">
        <is>
          <t>Nesher</t>
        </is>
      </c>
      <c r="M84" s="169">
        <f>TabelaSobras8[[#This Row],[Estoque]]*5.8575</f>
        <v/>
      </c>
      <c r="N84" s="170" t="n">
        <v>268</v>
      </c>
      <c r="O84" s="170" t="n"/>
      <c r="P84" s="170" t="n"/>
      <c r="Q84" s="27" t="inlineStr">
        <is>
          <t>N25078</t>
        </is>
      </c>
      <c r="R84" s="170" t="inlineStr">
        <is>
          <t>Yuri</t>
        </is>
      </c>
      <c r="S84" s="6" t="n">
        <v>45917</v>
      </c>
      <c r="T84" s="12">
        <f>INT(TODAY()-TabelaSobras8[[#This Row],[Data do
Registro inical]])</f>
        <v/>
      </c>
    </row>
    <row r="85" hidden="1">
      <c r="A85" s="170" t="inlineStr">
        <is>
          <t>N25082</t>
        </is>
      </c>
      <c r="B85" s="170">
        <f>VLOOKUP(LEFT(A85,1),Tabela5[],2,0)</f>
        <v/>
      </c>
      <c r="C85" s="170" t="inlineStr">
        <is>
          <t>EUCADUR FRJ - 2,5MM</t>
        </is>
      </c>
      <c r="D85" s="169" t="n">
        <v>695</v>
      </c>
      <c r="E85" s="169" t="n">
        <v>330</v>
      </c>
      <c r="F85" s="169">
        <f>TEXT(TabelaSobras8[[#This Row],[Comprimento 
Sobras (mm)]],0) &amp; " X " &amp; TEXT(E85,0)</f>
        <v/>
      </c>
      <c r="G85" s="170">
        <f>(TabelaSobras8[[#This Row],[Comprimento 
Sobras (mm)]]*E85/1000000)</f>
        <v/>
      </c>
      <c r="H85" s="170" t="n">
        <v>102</v>
      </c>
      <c r="I85" s="170">
        <f>IF(TabelaSobras8[[#This Row],[Estoque]]&lt;=$V$2,$U$4,$U$5)</f>
        <v/>
      </c>
      <c r="J85" s="170">
        <f>TabelaSobras8[[#This Row],[Quantidade de Sobra INICIAL]]-K85</f>
        <v/>
      </c>
      <c r="K85" s="29">
        <f>TabelaSobras8[[#This Row],[Quantidade de Sobra INICIAL]]-TabelaSobras8[[#This Row],[Saída]]-TabelaSobras8[[#This Row],[Saída 2]]-P85</f>
        <v/>
      </c>
      <c r="L85" s="169" t="inlineStr">
        <is>
          <t>Nesher</t>
        </is>
      </c>
      <c r="M85" s="169">
        <f>TabelaSobras8[[#This Row],[Estoque]]*5.8575</f>
        <v/>
      </c>
      <c r="N85" s="170" t="n">
        <v>102</v>
      </c>
      <c r="O85" s="170" t="n"/>
      <c r="P85" s="170" t="n"/>
      <c r="Q85" s="27" t="inlineStr">
        <is>
          <t>N25078</t>
        </is>
      </c>
      <c r="R85" s="170" t="inlineStr">
        <is>
          <t>Yuri</t>
        </is>
      </c>
      <c r="S85" s="6" t="n">
        <v>45917</v>
      </c>
      <c r="T85" s="12">
        <f>INT(TODAY()-TabelaSobras8[[#This Row],[Data do
Registro inical]])</f>
        <v/>
      </c>
    </row>
    <row r="86" hidden="1">
      <c r="A86" s="170" t="inlineStr">
        <is>
          <t>N25082</t>
        </is>
      </c>
      <c r="B86" s="170">
        <f>VLOOKUP(LEFT(A86,1),Tabela5[],2,0)</f>
        <v/>
      </c>
      <c r="C86" s="170" t="inlineStr">
        <is>
          <t>EUCADUR FRJ - 2,5MM</t>
        </is>
      </c>
      <c r="D86" s="169" t="n">
        <v>695</v>
      </c>
      <c r="E86" s="169" t="n">
        <v>285</v>
      </c>
      <c r="F86" s="169">
        <f>TEXT(TabelaSobras8[[#This Row],[Comprimento 
Sobras (mm)]],0) &amp; " X " &amp; TEXT(E86,0)</f>
        <v/>
      </c>
      <c r="G86" s="170">
        <f>(TabelaSobras8[[#This Row],[Comprimento 
Sobras (mm)]]*E86/1000000)</f>
        <v/>
      </c>
      <c r="H86" s="170" t="n">
        <v>134</v>
      </c>
      <c r="I86" s="170">
        <f>IF(TabelaSobras8[[#This Row],[Estoque]]&lt;=$V$2,$U$4,$U$5)</f>
        <v/>
      </c>
      <c r="J86" s="170">
        <f>TabelaSobras8[[#This Row],[Quantidade de Sobra INICIAL]]-K86</f>
        <v/>
      </c>
      <c r="K86" s="29">
        <f>TabelaSobras8[[#This Row],[Quantidade de Sobra INICIAL]]-TabelaSobras8[[#This Row],[Saída]]-TabelaSobras8[[#This Row],[Saída 2]]-P86</f>
        <v/>
      </c>
      <c r="L86" s="169" t="inlineStr">
        <is>
          <t>Nesher</t>
        </is>
      </c>
      <c r="M86" s="169">
        <f>TabelaSobras8[[#This Row],[Estoque]]*5.8575</f>
        <v/>
      </c>
      <c r="N86" s="170" t="n">
        <v>134</v>
      </c>
      <c r="O86" s="170" t="n"/>
      <c r="P86" s="170" t="n"/>
      <c r="Q86" s="27" t="inlineStr">
        <is>
          <t>N25078</t>
        </is>
      </c>
      <c r="R86" s="170" t="inlineStr">
        <is>
          <t>Yuri</t>
        </is>
      </c>
      <c r="S86" s="6" t="n">
        <v>45917</v>
      </c>
      <c r="T86" s="12">
        <f>INT(TODAY()-TabelaSobras8[[#This Row],[Data do
Registro inical]])</f>
        <v/>
      </c>
    </row>
    <row r="87" hidden="1">
      <c r="A87" s="170" t="inlineStr">
        <is>
          <t>N25078</t>
        </is>
      </c>
      <c r="B87" s="170">
        <f>VLOOKUP(LEFT(A87,1),Tabela5[],2,0)</f>
        <v/>
      </c>
      <c r="C87" s="170" t="inlineStr">
        <is>
          <t>EUCADUR FRJ - 2,5MM</t>
        </is>
      </c>
      <c r="D87" s="169" t="n">
        <v>629</v>
      </c>
      <c r="E87" s="169" t="n">
        <v>398</v>
      </c>
      <c r="F87" s="169">
        <f>TEXT(TabelaSobras8[[#This Row],[Comprimento 
Sobras (mm)]],0) &amp; " X " &amp; TEXT(E87,0)</f>
        <v/>
      </c>
      <c r="G87" s="170">
        <f>(TabelaSobras8[[#This Row],[Comprimento 
Sobras (mm)]]*E87/1000000)</f>
        <v/>
      </c>
      <c r="H87" s="170" t="n">
        <v>200</v>
      </c>
      <c r="I87" s="170">
        <f>IF(TabelaSobras8[[#This Row],[Estoque]]&lt;=$V$2,$U$4,$U$5)</f>
        <v/>
      </c>
      <c r="J87" s="170">
        <f>TabelaSobras8[[#This Row],[Quantidade de Sobra INICIAL]]-K87</f>
        <v/>
      </c>
      <c r="K87" s="29">
        <f>TabelaSobras8[[#This Row],[Quantidade de Sobra INICIAL]]-TabelaSobras8[[#This Row],[Saída]]-TabelaSobras8[[#This Row],[Saída 2]]-P87</f>
        <v/>
      </c>
      <c r="L87" s="169" t="inlineStr">
        <is>
          <t>Nesher</t>
        </is>
      </c>
      <c r="M87" s="169">
        <f>TabelaSobras8[[#This Row],[Estoque]]*5.8575</f>
        <v/>
      </c>
      <c r="N87" s="170" t="n">
        <v>200</v>
      </c>
      <c r="O87" s="170" t="n"/>
      <c r="P87" s="170" t="n"/>
      <c r="Q87" s="170" t="inlineStr">
        <is>
          <t>N25081</t>
        </is>
      </c>
      <c r="R87" s="170" t="inlineStr">
        <is>
          <t>Yuri</t>
        </is>
      </c>
      <c r="S87" s="6" t="n">
        <v>45918</v>
      </c>
      <c r="T87" s="12">
        <f>INT(TODAY()-TabelaSobras8[[#This Row],[Data do
Registro inical]])</f>
        <v/>
      </c>
    </row>
    <row r="88" hidden="1">
      <c r="A88" s="170" t="inlineStr">
        <is>
          <t>L</t>
        </is>
      </c>
      <c r="B88" s="170">
        <f>VLOOKUP(LEFT(A88,1),Tabela5[],2,0)</f>
        <v/>
      </c>
      <c r="C88" s="170" t="inlineStr">
        <is>
          <t>EUCADUR NT - 2,5MM</t>
        </is>
      </c>
      <c r="D88" s="169" t="n">
        <v>600</v>
      </c>
      <c r="E88" s="169" t="n">
        <v>726</v>
      </c>
      <c r="F88" s="169">
        <f>TEXT(TabelaSobras8[[#This Row],[Comprimento 
Sobras (mm)]],0) &amp; " X " &amp; TEXT(E88,0)</f>
        <v/>
      </c>
      <c r="G88" s="170">
        <f>(TabelaSobras8[[#This Row],[Comprimento 
Sobras (mm)]]*E88/1000000)</f>
        <v/>
      </c>
      <c r="H88" s="170" t="n">
        <v>68</v>
      </c>
      <c r="I88" s="170">
        <f>IF(TabelaSobras8[[#This Row],[Estoque]]&lt;=$V$2,$U$4,$U$5)</f>
        <v/>
      </c>
      <c r="J88" s="170">
        <f>TabelaSobras8[[#This Row],[Quantidade de Sobra INICIAL]]-K88</f>
        <v/>
      </c>
      <c r="K88" s="29">
        <f>TabelaSobras8[[#This Row],[Quantidade de Sobra INICIAL]]-TabelaSobras8[[#This Row],[Saída]]-TabelaSobras8[[#This Row],[Saída 2]]-P88</f>
        <v/>
      </c>
      <c r="L88" s="169" t="inlineStr">
        <is>
          <t>Líder</t>
        </is>
      </c>
      <c r="M88" s="169">
        <f>TabelaSobras8[[#This Row],[Estoque]]*5.8575</f>
        <v/>
      </c>
      <c r="N88" s="170" t="n">
        <v>68</v>
      </c>
      <c r="O88" s="170" t="n"/>
      <c r="P88" s="170" t="n"/>
      <c r="Q88" s="170" t="n"/>
      <c r="R88" s="170" t="inlineStr">
        <is>
          <t>Yuri</t>
        </is>
      </c>
      <c r="S88" s="6" t="n">
        <v>45918</v>
      </c>
      <c r="T88" s="12">
        <f>INT(TODAY()-TabelaSobras8[[#This Row],[Data do
Registro inical]])</f>
        <v/>
      </c>
    </row>
    <row r="89" hidden="1">
      <c r="A89" s="170" t="inlineStr">
        <is>
          <t>L</t>
        </is>
      </c>
      <c r="B89" s="170">
        <f>VLOOKUP(LEFT(A89,1),Tabela5[],2,0)</f>
        <v/>
      </c>
      <c r="C89" s="170" t="inlineStr">
        <is>
          <t>EUCADUR NT - 2,5MM</t>
        </is>
      </c>
      <c r="D89" s="169" t="n">
        <v>600</v>
      </c>
      <c r="E89" s="169" t="n">
        <v>731</v>
      </c>
      <c r="F89" s="169">
        <f>TEXT(TabelaSobras8[[#This Row],[Comprimento 
Sobras (mm)]],0) &amp; " X " &amp; TEXT(E89,0)</f>
        <v/>
      </c>
      <c r="G89" s="170">
        <f>(TabelaSobras8[[#This Row],[Comprimento 
Sobras (mm)]]*E89/1000000)</f>
        <v/>
      </c>
      <c r="H89" s="170" t="n">
        <v>13</v>
      </c>
      <c r="I89" s="170">
        <f>IF(TabelaSobras8[[#This Row],[Estoque]]&lt;=$V$2,$U$4,$U$5)</f>
        <v/>
      </c>
      <c r="J89" s="170">
        <f>TabelaSobras8[[#This Row],[Quantidade de Sobra INICIAL]]-K89</f>
        <v/>
      </c>
      <c r="K89" s="29">
        <f>TabelaSobras8[[#This Row],[Quantidade de Sobra INICIAL]]-TabelaSobras8[[#This Row],[Saída]]-TabelaSobras8[[#This Row],[Saída 2]]-P89</f>
        <v/>
      </c>
      <c r="L89" s="169" t="inlineStr">
        <is>
          <t>Líder</t>
        </is>
      </c>
      <c r="M89" s="169">
        <f>TabelaSobras8[[#This Row],[Estoque]]*5.8575</f>
        <v/>
      </c>
      <c r="N89" s="170" t="n">
        <v>13</v>
      </c>
      <c r="O89" s="170" t="n"/>
      <c r="P89" s="170" t="n"/>
      <c r="Q89" s="27" t="inlineStr">
        <is>
          <t>RECORTAR</t>
        </is>
      </c>
      <c r="R89" s="170" t="inlineStr">
        <is>
          <t>Yuri</t>
        </is>
      </c>
      <c r="S89" s="6" t="n">
        <v>45918</v>
      </c>
      <c r="T89" s="12">
        <f>INT(TODAY()-TabelaSobras8[[#This Row],[Data do
Registro inical]])</f>
        <v/>
      </c>
    </row>
    <row r="90" hidden="1" ht="28.8" customHeight="1">
      <c r="A90" s="170" t="inlineStr">
        <is>
          <t>L</t>
        </is>
      </c>
      <c r="B90" s="170">
        <f>VLOOKUP(LEFT(A90,1),Tabela5[],2,0)</f>
        <v/>
      </c>
      <c r="C90" s="170" t="inlineStr">
        <is>
          <t>EUCADUR NT - 2,5MM</t>
        </is>
      </c>
      <c r="D90" s="169" t="n">
        <v>540</v>
      </c>
      <c r="E90" s="169" t="n">
        <v>398</v>
      </c>
      <c r="F90" s="169">
        <f>TEXT(TabelaSobras8[[#This Row],[Comprimento 
Sobras (mm)]],0) &amp; " X " &amp; TEXT(E90,0)</f>
        <v/>
      </c>
      <c r="G90" s="170">
        <f>(TabelaSobras8[[#This Row],[Comprimento 
Sobras (mm)]]*E90/1000000)</f>
        <v/>
      </c>
      <c r="H90" s="170" t="n">
        <v>640</v>
      </c>
      <c r="I90" s="170">
        <f>IF(TabelaSobras8[[#This Row],[Estoque]]&lt;=$V$2,$U$4,$U$5)</f>
        <v/>
      </c>
      <c r="J90" s="170">
        <f>TabelaSobras8[[#This Row],[Quantidade de Sobra INICIAL]]-K90</f>
        <v/>
      </c>
      <c r="K90" s="29">
        <f>TabelaSobras8[[#This Row],[Quantidade de Sobra INICIAL]]-TabelaSobras8[[#This Row],[Saída]]-TabelaSobras8[[#This Row],[Saída 2]]-P90</f>
        <v/>
      </c>
      <c r="L90" s="169" t="inlineStr">
        <is>
          <t>Líder</t>
        </is>
      </c>
      <c r="M90" s="169">
        <f>TabelaSobras8[[#This Row],[Estoque]]*5.8575</f>
        <v/>
      </c>
      <c r="N90" s="170" t="n">
        <v>150</v>
      </c>
      <c r="O90" s="170" t="n">
        <v>40</v>
      </c>
      <c r="P90" s="170" t="n">
        <v>450</v>
      </c>
      <c r="Q90" s="8" t="inlineStr">
        <is>
          <t>L25056 | 55
L25057</t>
        </is>
      </c>
      <c r="R90" s="170" t="inlineStr">
        <is>
          <t>Yuri</t>
        </is>
      </c>
      <c r="S90" s="6" t="n">
        <v>45918</v>
      </c>
      <c r="T90" s="12">
        <f>INT(TODAY()-TabelaSobras8[[#This Row],[Data do
Registro inical]])</f>
        <v/>
      </c>
    </row>
    <row r="91" hidden="1">
      <c r="A91" s="170" t="inlineStr">
        <is>
          <t>L</t>
        </is>
      </c>
      <c r="B91" s="170">
        <f>VLOOKUP(LEFT(A91,1),Tabela5[],2,0)</f>
        <v/>
      </c>
      <c r="C91" s="170" t="inlineStr">
        <is>
          <t>EUCADUR NT - 2,5MM</t>
        </is>
      </c>
      <c r="D91" s="169" t="n">
        <v>605</v>
      </c>
      <c r="E91" s="169" t="n">
        <v>726</v>
      </c>
      <c r="F91" s="169">
        <f>TEXT(TabelaSobras8[[#This Row],[Comprimento 
Sobras (mm)]],0) &amp; " X " &amp; TEXT(E91,0)</f>
        <v/>
      </c>
      <c r="G91" s="170">
        <f>(TabelaSobras8[[#This Row],[Comprimento 
Sobras (mm)]]*E91/1000000)</f>
        <v/>
      </c>
      <c r="H91" s="170" t="n">
        <v>68</v>
      </c>
      <c r="I91" s="170">
        <f>IF(TabelaSobras8[[#This Row],[Estoque]]&lt;=$V$2,$U$4,$U$5)</f>
        <v/>
      </c>
      <c r="J91" s="170">
        <f>TabelaSobras8[[#This Row],[Quantidade de Sobra INICIAL]]-K91</f>
        <v/>
      </c>
      <c r="K91" s="29">
        <f>TabelaSobras8[[#This Row],[Quantidade de Sobra INICIAL]]-TabelaSobras8[[#This Row],[Saída]]-TabelaSobras8[[#This Row],[Saída 2]]-P91</f>
        <v/>
      </c>
      <c r="L91" s="169" t="inlineStr">
        <is>
          <t>Líder</t>
        </is>
      </c>
      <c r="M91" s="169">
        <f>TabelaSobras8[[#This Row],[Estoque]]*5.8575</f>
        <v/>
      </c>
      <c r="N91" s="170" t="n">
        <v>68</v>
      </c>
      <c r="O91" s="170" t="n"/>
      <c r="P91" s="170" t="n"/>
      <c r="Q91" s="27" t="inlineStr">
        <is>
          <t>RECORTAR</t>
        </is>
      </c>
      <c r="R91" s="170" t="inlineStr">
        <is>
          <t>Yuri</t>
        </is>
      </c>
      <c r="S91" s="6" t="n">
        <v>45918</v>
      </c>
      <c r="T91" s="12">
        <f>INT(TODAY()-TabelaSobras8[[#This Row],[Data do
Registro inical]])</f>
        <v/>
      </c>
    </row>
    <row r="92" hidden="1">
      <c r="A92" s="170" t="inlineStr">
        <is>
          <t>L25056</t>
        </is>
      </c>
      <c r="B92" s="170">
        <f>VLOOKUP(LEFT(A92,1),Tabela5[],2,0)</f>
        <v/>
      </c>
      <c r="C92" s="170" t="inlineStr">
        <is>
          <t>EUCADUR NT - 2,5MM</t>
        </is>
      </c>
      <c r="D92" s="169" t="n">
        <v>462</v>
      </c>
      <c r="E92" s="169" t="n">
        <v>398</v>
      </c>
      <c r="F92" s="169">
        <f>TEXT(TabelaSobras8[[#This Row],[Comprimento 
Sobras (mm)]],0) &amp; " X " &amp; TEXT(E92,0)</f>
        <v/>
      </c>
      <c r="G92" s="170">
        <f>(TabelaSobras8[[#This Row],[Comprimento 
Sobras (mm)]]*E92/1000000)</f>
        <v/>
      </c>
      <c r="H92" s="170" t="n">
        <v>24</v>
      </c>
      <c r="I92" s="170">
        <f>IF(TabelaSobras8[[#This Row],[Estoque]]&lt;=$V$2,$U$4,$U$5)</f>
        <v/>
      </c>
      <c r="J92" s="170">
        <f>TabelaSobras8[[#This Row],[Quantidade de Sobra INICIAL]]-K92</f>
        <v/>
      </c>
      <c r="K92" s="29">
        <f>TabelaSobras8[[#This Row],[Quantidade de Sobra INICIAL]]-TabelaSobras8[[#This Row],[Saída]]-TabelaSobras8[[#This Row],[Saída 2]]-P92</f>
        <v/>
      </c>
      <c r="L92" s="169" t="inlineStr">
        <is>
          <t>Líder</t>
        </is>
      </c>
      <c r="M92" s="169">
        <f>TabelaSobras8[[#This Row],[Estoque]]*5.8575</f>
        <v/>
      </c>
      <c r="N92" s="170" t="n">
        <v>24</v>
      </c>
      <c r="O92" s="170" t="n"/>
      <c r="P92" s="170" t="n"/>
      <c r="Q92" s="170" t="inlineStr">
        <is>
          <t>L2505803</t>
        </is>
      </c>
      <c r="R92" s="170" t="inlineStr">
        <is>
          <t>Yuri</t>
        </is>
      </c>
      <c r="S92" s="6" t="n">
        <v>45918</v>
      </c>
      <c r="T92" s="12">
        <f>INT(TODAY()-TabelaSobras8[[#This Row],[Data do
Registro inical]])</f>
        <v/>
      </c>
    </row>
    <row r="93" hidden="1">
      <c r="A93" s="170" t="inlineStr">
        <is>
          <t>N25079</t>
        </is>
      </c>
      <c r="B93" s="170">
        <f>VLOOKUP(LEFT(A93,1),Tabela5[],2,0)</f>
        <v/>
      </c>
      <c r="C93" s="170" t="inlineStr">
        <is>
          <t>EUCADUR NT - 2,5MM</t>
        </is>
      </c>
      <c r="D93" s="169" t="n">
        <v>695</v>
      </c>
      <c r="E93" s="169" t="n">
        <v>381</v>
      </c>
      <c r="F93" s="169">
        <f>TEXT(TabelaSobras8[[#This Row],[Comprimento 
Sobras (mm)]],0) &amp; " X " &amp; TEXT(E93,0)</f>
        <v/>
      </c>
      <c r="G93" s="170">
        <f>(TabelaSobras8[[#This Row],[Comprimento 
Sobras (mm)]]*E93/1000000)</f>
        <v/>
      </c>
      <c r="H93" s="170" t="n">
        <v>21</v>
      </c>
      <c r="I93" s="170">
        <f>IF(TabelaSobras8[[#This Row],[Estoque]]&lt;=$V$2,$U$4,$U$5)</f>
        <v/>
      </c>
      <c r="J93" s="170">
        <f>TabelaSobras8[[#This Row],[Quantidade de Sobra INICIAL]]-K93</f>
        <v/>
      </c>
      <c r="K93" s="29">
        <f>TabelaSobras8[[#This Row],[Quantidade de Sobra INICIAL]]-TabelaSobras8[[#This Row],[Saída]]-TabelaSobras8[[#This Row],[Saída 2]]-P93</f>
        <v/>
      </c>
      <c r="L93" s="169" t="inlineStr">
        <is>
          <t>Nesher</t>
        </is>
      </c>
      <c r="M93" s="169">
        <f>TabelaSobras8[[#This Row],[Estoque]]*5.8575</f>
        <v/>
      </c>
      <c r="N93" s="170" t="n">
        <v>21</v>
      </c>
      <c r="O93" s="170" t="n"/>
      <c r="P93" s="170" t="n"/>
      <c r="Q93" s="42" t="inlineStr">
        <is>
          <t>N25083</t>
        </is>
      </c>
      <c r="R93" s="170" t="inlineStr">
        <is>
          <t>Yuri</t>
        </is>
      </c>
      <c r="S93" s="6" t="n">
        <v>45924</v>
      </c>
      <c r="T93" s="12">
        <f>INT(TODAY()-TabelaSobras8[[#This Row],[Data do
Registro inical]])</f>
        <v/>
      </c>
    </row>
    <row r="94" hidden="1">
      <c r="A94" s="170" t="inlineStr">
        <is>
          <t>N25079</t>
        </is>
      </c>
      <c r="B94" s="170">
        <f>VLOOKUP(LEFT(A94,1),Tabela5[],2,0)</f>
        <v/>
      </c>
      <c r="C94" s="170" t="inlineStr">
        <is>
          <t>EUCADUR NT - 2,5MM</t>
        </is>
      </c>
      <c r="D94" s="169" t="n">
        <v>695</v>
      </c>
      <c r="E94" s="169" t="n">
        <v>465</v>
      </c>
      <c r="F94" s="169">
        <f>TEXT(TabelaSobras8[[#This Row],[Comprimento 
Sobras (mm)]],0) &amp; " X " &amp; TEXT(E94,0)</f>
        <v/>
      </c>
      <c r="G94" s="170">
        <f>(TabelaSobras8[[#This Row],[Comprimento 
Sobras (mm)]]*E94/1000000)</f>
        <v/>
      </c>
      <c r="H94" s="170" t="n">
        <v>18</v>
      </c>
      <c r="I94" s="170">
        <f>IF(TabelaSobras8[[#This Row],[Estoque]]&lt;=$V$2,$U$4,$U$5)</f>
        <v/>
      </c>
      <c r="J94" s="170">
        <f>TabelaSobras8[[#This Row],[Quantidade de Sobra INICIAL]]-K94</f>
        <v/>
      </c>
      <c r="K94" s="29">
        <f>TabelaSobras8[[#This Row],[Quantidade de Sobra INICIAL]]-TabelaSobras8[[#This Row],[Saída]]-TabelaSobras8[[#This Row],[Saída 2]]-P94</f>
        <v/>
      </c>
      <c r="L94" s="169" t="inlineStr">
        <is>
          <t>Nesher</t>
        </is>
      </c>
      <c r="M94" s="169">
        <f>TabelaSobras8[[#This Row],[Estoque]]*5.8575</f>
        <v/>
      </c>
      <c r="N94" s="170" t="n">
        <v>18</v>
      </c>
      <c r="O94" s="170" t="n"/>
      <c r="P94" s="170" t="n"/>
      <c r="Q94" s="42" t="inlineStr">
        <is>
          <t>N25083</t>
        </is>
      </c>
      <c r="R94" s="170" t="inlineStr">
        <is>
          <t>Yuri</t>
        </is>
      </c>
      <c r="S94" s="6" t="n">
        <v>45924</v>
      </c>
      <c r="T94" s="12">
        <f>INT(TODAY()-TabelaSobras8[[#This Row],[Data do
Registro inical]])</f>
        <v/>
      </c>
    </row>
    <row r="95" hidden="1">
      <c r="A95" s="170" t="inlineStr">
        <is>
          <t>N25079</t>
        </is>
      </c>
      <c r="B95" s="170">
        <f>VLOOKUP(LEFT(A95,1),Tabela5[],2,0)</f>
        <v/>
      </c>
      <c r="C95" s="170" t="inlineStr">
        <is>
          <t>EUCADUR NT - 2,5MM</t>
        </is>
      </c>
      <c r="D95" s="169" t="n">
        <v>697</v>
      </c>
      <c r="E95" s="169" t="n">
        <v>398</v>
      </c>
      <c r="F95" s="169">
        <f>TEXT(TabelaSobras8[[#This Row],[Comprimento 
Sobras (mm)]],0) &amp; " X " &amp; TEXT(E95,0)</f>
        <v/>
      </c>
      <c r="G95" s="170">
        <f>(TabelaSobras8[[#This Row],[Comprimento 
Sobras (mm)]]*E95/1000000)</f>
        <v/>
      </c>
      <c r="H95" s="170" t="n">
        <v>250</v>
      </c>
      <c r="I95" s="170">
        <f>IF(TabelaSobras8[[#This Row],[Estoque]]&lt;=$V$2,$U$4,$U$5)</f>
        <v/>
      </c>
      <c r="J95" s="170">
        <f>TabelaSobras8[[#This Row],[Quantidade de Sobra INICIAL]]-K95</f>
        <v/>
      </c>
      <c r="K95" s="29">
        <f>TabelaSobras8[[#This Row],[Quantidade de Sobra INICIAL]]-TabelaSobras8[[#This Row],[Saída]]-TabelaSobras8[[#This Row],[Saída 2]]-P95</f>
        <v/>
      </c>
      <c r="L95" s="169" t="inlineStr">
        <is>
          <t>Nesher</t>
        </is>
      </c>
      <c r="M95" s="169">
        <f>TabelaSobras8[[#This Row],[Estoque]]*5.8575</f>
        <v/>
      </c>
      <c r="N95" s="170" t="n">
        <v>250</v>
      </c>
      <c r="O95" s="170" t="n"/>
      <c r="P95" s="170" t="n"/>
      <c r="Q95" s="42" t="inlineStr">
        <is>
          <t>N25083</t>
        </is>
      </c>
      <c r="R95" s="170" t="inlineStr">
        <is>
          <t>Yuri</t>
        </is>
      </c>
      <c r="S95" s="6" t="n">
        <v>45924</v>
      </c>
      <c r="T95" s="12">
        <f>INT(TODAY()-TabelaSobras8[[#This Row],[Data do
Registro inical]])</f>
        <v/>
      </c>
    </row>
    <row r="96" hidden="1">
      <c r="A96" s="170" t="inlineStr">
        <is>
          <t>L2505401</t>
        </is>
      </c>
      <c r="B96" s="170">
        <f>VLOOKUP(LEFT(A96,1),Tabela5[],2,0)</f>
        <v/>
      </c>
      <c r="C96" s="170" t="inlineStr">
        <is>
          <t>EUCADUR FRJ - 2,5MM</t>
        </is>
      </c>
      <c r="D96" s="169" t="n">
        <v>695</v>
      </c>
      <c r="E96" s="169" t="n">
        <v>330</v>
      </c>
      <c r="F96" s="169">
        <f>TEXT(TabelaSobras8[[#This Row],[Comprimento 
Sobras (mm)]],0) &amp; " X " &amp; TEXT(E96,0)</f>
        <v/>
      </c>
      <c r="G96" s="170">
        <f>(TabelaSobras8[[#This Row],[Comprimento 
Sobras (mm)]]*E96/1000000)</f>
        <v/>
      </c>
      <c r="H96" s="170" t="n">
        <v>300</v>
      </c>
      <c r="I96" s="170">
        <f>IF(TabelaSobras8[[#This Row],[Estoque]]&lt;=$V$2,$U$4,$U$5)</f>
        <v/>
      </c>
      <c r="J96" s="170">
        <f>TabelaSobras8[[#This Row],[Quantidade de Sobra INICIAL]]-K96</f>
        <v/>
      </c>
      <c r="K96" s="29">
        <f>TabelaSobras8[[#This Row],[Quantidade de Sobra INICIAL]]-TabelaSobras8[[#This Row],[Saída]]-TabelaSobras8[[#This Row],[Saída 2]]-P96</f>
        <v/>
      </c>
      <c r="L96" s="169" t="inlineStr">
        <is>
          <t>Líder</t>
        </is>
      </c>
      <c r="M96" s="169">
        <f>TabelaSobras8[[#This Row],[Estoque]]*5.8575</f>
        <v/>
      </c>
      <c r="N96" s="170" t="n">
        <v>300</v>
      </c>
      <c r="O96" s="170" t="n"/>
      <c r="P96" s="170" t="n"/>
      <c r="Q96" s="27" t="inlineStr">
        <is>
          <t>ENVIAR P/NESHER</t>
        </is>
      </c>
      <c r="R96" s="170" t="inlineStr">
        <is>
          <t>Yuri</t>
        </is>
      </c>
      <c r="S96" s="6" t="n">
        <v>45918</v>
      </c>
      <c r="T96" s="12">
        <f>INT(TODAY()-TabelaSobras8[[#This Row],[Data do
Registro inical]])</f>
        <v/>
      </c>
    </row>
    <row r="97" hidden="1">
      <c r="A97" s="170" t="inlineStr">
        <is>
          <t>L2505401</t>
        </is>
      </c>
      <c r="B97" s="170">
        <f>VLOOKUP(LEFT(A97,1),Tabela5[],2,0)</f>
        <v/>
      </c>
      <c r="C97" s="170" t="inlineStr">
        <is>
          <t>EUCADUR FRJ - 2,5MM</t>
        </is>
      </c>
      <c r="D97" s="169" t="n">
        <v>1195</v>
      </c>
      <c r="E97" s="169" t="n">
        <v>170</v>
      </c>
      <c r="F97" s="169">
        <f>TEXT(TabelaSobras8[[#This Row],[Comprimento 
Sobras (mm)]],0) &amp; " X " &amp; TEXT(E97,0)</f>
        <v/>
      </c>
      <c r="G97" s="170">
        <f>(TabelaSobras8[[#This Row],[Comprimento 
Sobras (mm)]]*E97/1000000)</f>
        <v/>
      </c>
      <c r="H97" s="170" t="n">
        <v>132</v>
      </c>
      <c r="I97" s="170">
        <f>IF(TabelaSobras8[[#This Row],[Estoque]]&lt;=$V$2,$U$4,$U$5)</f>
        <v/>
      </c>
      <c r="J97" s="170">
        <f>TabelaSobras8[[#This Row],[Quantidade de Sobra INICIAL]]-K97</f>
        <v/>
      </c>
      <c r="K97" s="29">
        <f>TabelaSobras8[[#This Row],[Quantidade de Sobra INICIAL]]-TabelaSobras8[[#This Row],[Saída]]-TabelaSobras8[[#This Row],[Saída 2]]-P97</f>
        <v/>
      </c>
      <c r="L97" s="169" t="inlineStr">
        <is>
          <t>Líder</t>
        </is>
      </c>
      <c r="M97" s="169">
        <f>TabelaSobras8[[#This Row],[Estoque]]*5.8575</f>
        <v/>
      </c>
      <c r="N97" s="170" t="n">
        <v>132</v>
      </c>
      <c r="O97" s="170" t="n"/>
      <c r="P97" s="170" t="n"/>
      <c r="Q97" s="27" t="inlineStr">
        <is>
          <t>ENVIAR P/NESHER</t>
        </is>
      </c>
      <c r="R97" s="170" t="inlineStr">
        <is>
          <t>Yuri</t>
        </is>
      </c>
      <c r="S97" s="6" t="n">
        <v>45918</v>
      </c>
      <c r="T97" s="12">
        <f>INT(TODAY()-TabelaSobras8[[#This Row],[Data do
Registro inical]])</f>
        <v/>
      </c>
    </row>
    <row r="98" hidden="1">
      <c r="A98" s="170" t="inlineStr">
        <is>
          <t>L2505804-03</t>
        </is>
      </c>
      <c r="B98" s="170">
        <f>VLOOKUP(LEFT(A98,1),Tabela5[],2,0)</f>
        <v/>
      </c>
      <c r="C98" s="170" t="inlineStr">
        <is>
          <t>EUCADUR NT - 2,5MM</t>
        </is>
      </c>
      <c r="D98" s="169" t="n">
        <v>987</v>
      </c>
      <c r="E98" s="169" t="n">
        <v>395</v>
      </c>
      <c r="F98" s="169">
        <f>TEXT(TabelaSobras8[[#This Row],[Comprimento 
Sobras (mm)]],0) &amp; " X " &amp; TEXT(E98,0)</f>
        <v/>
      </c>
      <c r="G98" s="170">
        <f>(TabelaSobras8[[#This Row],[Comprimento 
Sobras (mm)]]*E98/1000000)</f>
        <v/>
      </c>
      <c r="H98" s="170">
        <f>30+152</f>
        <v/>
      </c>
      <c r="I98" s="170">
        <f>IF(TabelaSobras8[[#This Row],[Estoque]]&lt;=$V$2,$U$4,$U$5)</f>
        <v/>
      </c>
      <c r="J98" s="170">
        <f>TabelaSobras8[[#This Row],[Quantidade de Sobra INICIAL]]-K98</f>
        <v/>
      </c>
      <c r="K98" s="29">
        <f>TabelaSobras8[[#This Row],[Quantidade de Sobra INICIAL]]-TabelaSobras8[[#This Row],[Saída]]-TabelaSobras8[[#This Row],[Saída 2]]-P98</f>
        <v/>
      </c>
      <c r="L98" s="169" t="inlineStr">
        <is>
          <t>Líder</t>
        </is>
      </c>
      <c r="M98" s="169">
        <f>TabelaSobras8[[#This Row],[Estoque]]*5.8575</f>
        <v/>
      </c>
      <c r="N98" s="170" t="n">
        <v>182</v>
      </c>
      <c r="O98" s="170" t="n"/>
      <c r="P98" s="170" t="n"/>
      <c r="Q98" s="170" t="inlineStr">
        <is>
          <t>L2506003</t>
        </is>
      </c>
      <c r="R98" s="170" t="inlineStr">
        <is>
          <t>Yuri</t>
        </is>
      </c>
      <c r="S98" s="6" t="n">
        <v>45932</v>
      </c>
      <c r="T98" s="12">
        <f>INT(TODAY()-TabelaSobras8[[#This Row],[Data do
Registro inical]])</f>
        <v/>
      </c>
    </row>
    <row r="99" hidden="1">
      <c r="A99" s="170" t="inlineStr">
        <is>
          <t>N</t>
        </is>
      </c>
      <c r="B99" s="170">
        <f>VLOOKUP(LEFT(A99,1),Tabela5[],2,0)</f>
        <v/>
      </c>
      <c r="C99" s="170" t="inlineStr">
        <is>
          <t>EUCADUR FRJ - 2,5MM</t>
        </is>
      </c>
      <c r="D99" s="169" t="n">
        <v>329</v>
      </c>
      <c r="E99" s="169" t="n">
        <v>398</v>
      </c>
      <c r="F99" s="169">
        <f>TEXT(TabelaSobras8[[#This Row],[Comprimento 
Sobras (mm)]],0) &amp; " X " &amp; TEXT(E99,0)</f>
        <v/>
      </c>
      <c r="G99" s="170">
        <f>(TabelaSobras8[[#This Row],[Comprimento 
Sobras (mm)]]*E99/1000000)</f>
        <v/>
      </c>
      <c r="H99" s="170" t="n">
        <v>1144</v>
      </c>
      <c r="I99" s="170">
        <f>IF(TabelaSobras8[[#This Row],[Estoque]]&lt;=$V$2,$U$4,$U$5)</f>
        <v/>
      </c>
      <c r="J99" s="170">
        <f>TabelaSobras8[[#This Row],[Quantidade de Sobra INICIAL]]-K99</f>
        <v/>
      </c>
      <c r="K99" s="29">
        <f>TabelaSobras8[[#This Row],[Quantidade de Sobra INICIAL]]-TabelaSobras8[[#This Row],[Saída]]-TabelaSobras8[[#This Row],[Saída 2]]-P99</f>
        <v/>
      </c>
      <c r="L99" s="169" t="inlineStr">
        <is>
          <t>Nesher</t>
        </is>
      </c>
      <c r="M99" s="169">
        <f>TabelaSobras8[[#This Row],[Estoque]]*5.8575</f>
        <v/>
      </c>
      <c r="N99" s="170" t="n">
        <v>1144</v>
      </c>
      <c r="O99" s="170" t="n"/>
      <c r="P99" s="170" t="n"/>
      <c r="Q99" s="170" t="inlineStr">
        <is>
          <t>N2508306,N2508310</t>
        </is>
      </c>
      <c r="R99" s="170" t="inlineStr">
        <is>
          <t>Yuri</t>
        </is>
      </c>
      <c r="S99" s="6" t="n">
        <v>45933</v>
      </c>
      <c r="T99" s="12">
        <f>INT(TODAY()-TabelaSobras8[[#This Row],[Data do
Registro inical]])</f>
        <v/>
      </c>
    </row>
    <row r="100" hidden="1">
      <c r="A100" s="170" t="inlineStr">
        <is>
          <t>N</t>
        </is>
      </c>
      <c r="B100" s="170">
        <f>VLOOKUP(LEFT(A100,1),Tabela5[],2,0)</f>
        <v/>
      </c>
      <c r="C100" s="170" t="inlineStr">
        <is>
          <t>EUCADUR FRJ - 2,5MM</t>
        </is>
      </c>
      <c r="D100" s="169" t="n"/>
      <c r="E100" s="169" t="n"/>
      <c r="F100" s="169">
        <f>TEXT(TabelaSobras8[[#This Row],[Comprimento 
Sobras (mm)]],0) &amp; " X " &amp; TEXT(E100,0)</f>
        <v/>
      </c>
      <c r="G100" s="170">
        <f>(TabelaSobras8[[#This Row],[Comprimento 
Sobras (mm)]]*E100/1000000)</f>
        <v/>
      </c>
      <c r="H100" s="170" t="n"/>
      <c r="I100" s="170">
        <f>IF(TabelaSobras8[[#This Row],[Estoque]]&lt;=$V$2,$U$4,$U$5)</f>
        <v/>
      </c>
      <c r="J100" s="170">
        <f>TabelaSobras8[[#This Row],[Quantidade de Sobra INICIAL]]-K100</f>
        <v/>
      </c>
      <c r="K100" s="29">
        <f>TabelaSobras8[[#This Row],[Quantidade de Sobra INICIAL]]-TabelaSobras8[[#This Row],[Saída]]-TabelaSobras8[[#This Row],[Saída 2]]-P100</f>
        <v/>
      </c>
      <c r="L100" s="169" t="n"/>
      <c r="M100" s="169">
        <f>TabelaSobras8[[#This Row],[Estoque]]*5.8575</f>
        <v/>
      </c>
      <c r="N100" s="170" t="n"/>
      <c r="O100" s="170" t="n"/>
      <c r="P100" s="170" t="n"/>
      <c r="Q100" s="170" t="n"/>
      <c r="R100" s="170" t="n"/>
      <c r="S100" s="6" t="n"/>
      <c r="T100" s="12">
        <f>INT(TODAY()-TabelaSobras8[[#This Row],[Data do
Registro inical]])</f>
        <v/>
      </c>
    </row>
    <row r="101" hidden="1">
      <c r="A101" s="170" t="inlineStr">
        <is>
          <t>N</t>
        </is>
      </c>
      <c r="B101" s="170">
        <f>VLOOKUP(LEFT(A101,1),Tabela5[],2,0)</f>
        <v/>
      </c>
      <c r="C101" s="170" t="n"/>
      <c r="D101" s="169" t="n"/>
      <c r="E101" s="169" t="n"/>
      <c r="F101" s="169">
        <f>TEXT(TabelaSobras8[[#This Row],[Comprimento 
Sobras (mm)]],0) &amp; " X " &amp; TEXT(E101,0)</f>
        <v/>
      </c>
      <c r="G101" s="170">
        <f>(TabelaSobras8[[#This Row],[Comprimento 
Sobras (mm)]]*E101/1000000)</f>
        <v/>
      </c>
      <c r="H101" s="170" t="n"/>
      <c r="I101" s="170">
        <f>IF(TabelaSobras8[[#This Row],[Estoque]]&lt;=$V$2,$U$4,$U$5)</f>
        <v/>
      </c>
      <c r="J101" s="170">
        <f>TabelaSobras8[[#This Row],[Quantidade de Sobra INICIAL]]-K101</f>
        <v/>
      </c>
      <c r="K101" s="29">
        <f>TabelaSobras8[[#This Row],[Quantidade de Sobra INICIAL]]-TabelaSobras8[[#This Row],[Saída]]-TabelaSobras8[[#This Row],[Saída 2]]-P101</f>
        <v/>
      </c>
      <c r="L101" s="169" t="n"/>
      <c r="M101" s="169">
        <f>TabelaSobras8[[#This Row],[Estoque]]*5.8575</f>
        <v/>
      </c>
      <c r="N101" s="170" t="n"/>
      <c r="O101" s="170" t="n"/>
      <c r="P101" s="170" t="n"/>
      <c r="Q101" s="170" t="n"/>
      <c r="R101" s="170" t="n"/>
      <c r="S101" s="6" t="n"/>
      <c r="T101" s="12">
        <f>INT(TODAY()-TabelaSobras8[[#This Row],[Data do
Registro inical]])</f>
        <v/>
      </c>
    </row>
    <row r="102" hidden="1">
      <c r="A102" s="170" t="inlineStr">
        <is>
          <t>N</t>
        </is>
      </c>
      <c r="B102" s="170">
        <f>VLOOKUP(LEFT(A102,1),Tabela5[],2,0)</f>
        <v/>
      </c>
      <c r="C102" s="170" t="inlineStr">
        <is>
          <t>EUCADUR FRJ - 2,5MM</t>
        </is>
      </c>
      <c r="D102" s="169" t="n">
        <v>1195</v>
      </c>
      <c r="E102" s="169" t="n">
        <v>170</v>
      </c>
      <c r="F102" s="169">
        <f>TEXT(TabelaSobras8[[#This Row],[Comprimento 
Sobras (mm)]],0) &amp; " X " &amp; TEXT(E102,0)</f>
        <v/>
      </c>
      <c r="G102" s="170">
        <f>(TabelaSobras8[[#This Row],[Comprimento 
Sobras (mm)]]*E102/1000000)</f>
        <v/>
      </c>
      <c r="H102" s="170" t="n">
        <v>96</v>
      </c>
      <c r="I102" s="170">
        <f>IF(TabelaSobras8[[#This Row],[Estoque]]&lt;=$V$2,$U$4,$U$5)</f>
        <v/>
      </c>
      <c r="J102" s="170">
        <f>TabelaSobras8[[#This Row],[Quantidade de Sobra INICIAL]]-K102</f>
        <v/>
      </c>
      <c r="K102" s="29">
        <f>TabelaSobras8[[#This Row],[Quantidade de Sobra INICIAL]]-TabelaSobras8[[#This Row],[Saída]]-TabelaSobras8[[#This Row],[Saída 2]]-P102</f>
        <v/>
      </c>
      <c r="L102" s="169" t="inlineStr">
        <is>
          <t>Nesher</t>
        </is>
      </c>
      <c r="M102" s="169">
        <f>TabelaSobras8[[#This Row],[Estoque]]*5.8575</f>
        <v/>
      </c>
      <c r="N102" s="170" t="n">
        <v>96</v>
      </c>
      <c r="O102" s="170" t="n"/>
      <c r="P102" s="170" t="n"/>
      <c r="Q102" s="170" t="inlineStr">
        <is>
          <t>N2508406</t>
        </is>
      </c>
      <c r="R102" s="170" t="inlineStr">
        <is>
          <t>Yuri</t>
        </is>
      </c>
      <c r="S102" s="6" t="n">
        <v>45933</v>
      </c>
      <c r="T102" s="12">
        <f>INT(TODAY()-TabelaSobras8[[#This Row],[Data do
Registro inical]])</f>
        <v/>
      </c>
    </row>
    <row r="103" hidden="1">
      <c r="A103" s="170" t="inlineStr">
        <is>
          <t>N</t>
        </is>
      </c>
      <c r="B103" s="170">
        <f>VLOOKUP(LEFT(A103,1),Tabela5[],2,0)</f>
        <v/>
      </c>
      <c r="C103" s="170" t="inlineStr">
        <is>
          <t>EUCADUR FRJ - 2,5MM</t>
        </is>
      </c>
      <c r="D103" s="169" t="n">
        <v>729</v>
      </c>
      <c r="E103" s="169" t="n">
        <v>398</v>
      </c>
      <c r="F103" s="169">
        <f>TEXT(TabelaSobras8[[#This Row],[Comprimento 
Sobras (mm)]],0) &amp; " X " &amp; TEXT(E103,0)</f>
        <v/>
      </c>
      <c r="G103" s="170">
        <f>(TabelaSobras8[[#This Row],[Comprimento 
Sobras (mm)]]*E103/1000000)</f>
        <v/>
      </c>
      <c r="H103" s="170" t="n">
        <v>145</v>
      </c>
      <c r="I103" s="170">
        <f>IF(TabelaSobras8[[#This Row],[Estoque]]&lt;=$V$2,$U$4,$U$5)</f>
        <v/>
      </c>
      <c r="J103" s="170">
        <f>TabelaSobras8[[#This Row],[Quantidade de Sobra INICIAL]]-K103</f>
        <v/>
      </c>
      <c r="K103" s="29">
        <f>TabelaSobras8[[#This Row],[Quantidade de Sobra INICIAL]]-TabelaSobras8[[#This Row],[Saída]]-TabelaSobras8[[#This Row],[Saída 2]]-P103</f>
        <v/>
      </c>
      <c r="L103" s="169" t="inlineStr">
        <is>
          <t>Nesher</t>
        </is>
      </c>
      <c r="M103" s="169">
        <f>TabelaSobras8[[#This Row],[Estoque]]*5.8575</f>
        <v/>
      </c>
      <c r="N103" s="170" t="n">
        <v>145</v>
      </c>
      <c r="O103" s="170" t="n"/>
      <c r="P103" s="170" t="n"/>
      <c r="Q103" s="170" t="inlineStr">
        <is>
          <t>N2508306,N2508308</t>
        </is>
      </c>
      <c r="R103" s="170" t="inlineStr">
        <is>
          <t>Yuri</t>
        </is>
      </c>
      <c r="S103" s="6" t="n">
        <v>45933</v>
      </c>
      <c r="T103" s="12">
        <f>INT(TODAY()-TabelaSobras8[[#This Row],[Data do
Registro inical]])</f>
        <v/>
      </c>
    </row>
    <row r="104" hidden="1">
      <c r="A104" s="170" t="inlineStr">
        <is>
          <t>N</t>
        </is>
      </c>
      <c r="B104" s="170">
        <f>VLOOKUP(LEFT(A104,1),Tabela5[],2,0)</f>
        <v/>
      </c>
      <c r="C104" s="170" t="inlineStr">
        <is>
          <t>EUCADUR FRJ - 2,5MM</t>
        </is>
      </c>
      <c r="D104" s="169" t="n">
        <v>1195</v>
      </c>
      <c r="E104" s="169" t="n">
        <v>330</v>
      </c>
      <c r="F104" s="169">
        <f>TEXT(TabelaSobras8[[#This Row],[Comprimento 
Sobras (mm)]],0) &amp; " X " &amp; TEXT(E104,0)</f>
        <v/>
      </c>
      <c r="G104" s="170">
        <f>(TabelaSobras8[[#This Row],[Comprimento 
Sobras (mm)]]*E104/1000000)</f>
        <v/>
      </c>
      <c r="H104" s="170" t="n">
        <v>38</v>
      </c>
      <c r="I104" s="170">
        <f>IF(TabelaSobras8[[#This Row],[Estoque]]&lt;=$V$2,$U$4,$U$5)</f>
        <v/>
      </c>
      <c r="J104" s="170">
        <f>TabelaSobras8[[#This Row],[Quantidade de Sobra INICIAL]]-K104</f>
        <v/>
      </c>
      <c r="K104" s="29">
        <f>TabelaSobras8[[#This Row],[Quantidade de Sobra INICIAL]]-TabelaSobras8[[#This Row],[Saída]]-TabelaSobras8[[#This Row],[Saída 2]]-P104</f>
        <v/>
      </c>
      <c r="L104" s="169" t="inlineStr">
        <is>
          <t>Nesher</t>
        </is>
      </c>
      <c r="M104" s="169">
        <f>TabelaSobras8[[#This Row],[Estoque]]*5.8575</f>
        <v/>
      </c>
      <c r="N104" s="170" t="n">
        <v>38</v>
      </c>
      <c r="O104" s="170" t="n"/>
      <c r="P104" s="170" t="n"/>
      <c r="Q104" s="170" t="n"/>
      <c r="R104" s="170" t="inlineStr">
        <is>
          <t>Yuri</t>
        </is>
      </c>
      <c r="S104" s="6" t="n">
        <v>45933</v>
      </c>
      <c r="T104" s="12">
        <f>INT(TODAY()-TabelaSobras8[[#This Row],[Data do
Registro inical]])</f>
        <v/>
      </c>
    </row>
    <row r="105" hidden="1">
      <c r="A105" s="170" t="inlineStr">
        <is>
          <t>N</t>
        </is>
      </c>
      <c r="B105" s="170">
        <f>VLOOKUP(LEFT(A105,1),Tabela5[],2,0)</f>
        <v/>
      </c>
      <c r="C105" s="170" t="inlineStr">
        <is>
          <t>EUCADUR NT - 2,5MM</t>
        </is>
      </c>
      <c r="D105" s="169" t="n">
        <v>1195</v>
      </c>
      <c r="E105" s="169" t="n">
        <v>382</v>
      </c>
      <c r="F105" s="169">
        <f>TEXT(TabelaSobras8[[#This Row],[Comprimento 
Sobras (mm)]],0) &amp; " X " &amp; TEXT(E105,0)</f>
        <v/>
      </c>
      <c r="G105" s="170">
        <f>(TabelaSobras8[[#This Row],[Comprimento 
Sobras (mm)]]*E105/1000000)</f>
        <v/>
      </c>
      <c r="H105" s="170" t="n">
        <v>520</v>
      </c>
      <c r="I105" s="170">
        <f>IF(TabelaSobras8[[#This Row],[Estoque]]&lt;=$V$2,$U$4,$U$5)</f>
        <v/>
      </c>
      <c r="J105" s="170">
        <f>TabelaSobras8[[#This Row],[Quantidade de Sobra INICIAL]]-K105</f>
        <v/>
      </c>
      <c r="K105" s="29">
        <f>TabelaSobras8[[#This Row],[Quantidade de Sobra INICIAL]]-TabelaSobras8[[#This Row],[Saída]]-TabelaSobras8[[#This Row],[Saída 2]]-P105</f>
        <v/>
      </c>
      <c r="L105" s="169" t="inlineStr">
        <is>
          <t>Nesher</t>
        </is>
      </c>
      <c r="M105" s="169">
        <f>TabelaSobras8[[#This Row],[Estoque]]*5.8575</f>
        <v/>
      </c>
      <c r="N105" s="170" t="n">
        <v>520</v>
      </c>
      <c r="O105" s="170" t="n"/>
      <c r="P105" s="170" t="n"/>
      <c r="Q105" s="170" t="inlineStr">
        <is>
          <t>RECORTADO NO I25041</t>
        </is>
      </c>
      <c r="R105" s="170" t="inlineStr">
        <is>
          <t>Yuri</t>
        </is>
      </c>
      <c r="S105" s="6" t="n">
        <v>45925</v>
      </c>
      <c r="T105" s="12">
        <f>INT(TODAY()-TabelaSobras8[[#This Row],[Data do
Registro inical]])</f>
        <v/>
      </c>
    </row>
    <row r="106" hidden="1">
      <c r="A106" s="170" t="inlineStr">
        <is>
          <t>N25083</t>
        </is>
      </c>
      <c r="B106" s="170">
        <f>VLOOKUP(LEFT(A106,1),Tabela5[],2,0)</f>
        <v/>
      </c>
      <c r="C106" s="170" t="inlineStr">
        <is>
          <t>EUCADUR FRJ - 2,5MM</t>
        </is>
      </c>
      <c r="D106" s="169" t="n">
        <v>695</v>
      </c>
      <c r="E106" s="169" t="n">
        <v>330</v>
      </c>
      <c r="F106" s="169">
        <f>TEXT(TabelaSobras8[[#This Row],[Comprimento 
Sobras (mm)]],0) &amp; " X " &amp; TEXT(E106,0)</f>
        <v/>
      </c>
      <c r="G106" s="170">
        <f>(TabelaSobras8[[#This Row],[Comprimento 
Sobras (mm)]]*E106/1000000)</f>
        <v/>
      </c>
      <c r="H106" s="170" t="n">
        <v>19</v>
      </c>
      <c r="I106" s="170">
        <f>IF(TabelaSobras8[[#This Row],[Estoque]]&lt;=$V$2,$U$4,$U$5)</f>
        <v/>
      </c>
      <c r="J106" s="170">
        <f>TabelaSobras8[[#This Row],[Quantidade de Sobra INICIAL]]-K106</f>
        <v/>
      </c>
      <c r="K106" s="29">
        <f>TabelaSobras8[[#This Row],[Quantidade de Sobra INICIAL]]-TabelaSobras8[[#This Row],[Saída]]-TabelaSobras8[[#This Row],[Saída 2]]-P106</f>
        <v/>
      </c>
      <c r="L106" s="169" t="inlineStr">
        <is>
          <t>Nesher</t>
        </is>
      </c>
      <c r="M106" s="169">
        <f>TabelaSobras8[[#This Row],[Estoque]]*5.8575</f>
        <v/>
      </c>
      <c r="N106" s="170" t="n">
        <v>19</v>
      </c>
      <c r="O106" s="170" t="n"/>
      <c r="P106" s="170" t="n"/>
      <c r="Q106" s="27" t="inlineStr">
        <is>
          <t>N25087</t>
        </is>
      </c>
      <c r="R106" s="170" t="inlineStr">
        <is>
          <t>Yuri</t>
        </is>
      </c>
      <c r="S106" s="6" t="n">
        <v>45936</v>
      </c>
      <c r="T106" s="12">
        <f>INT(TODAY()-TabelaSobras8[[#This Row],[Data do
Registro inical]])</f>
        <v/>
      </c>
    </row>
    <row r="107" hidden="1">
      <c r="A107" s="170" t="inlineStr">
        <is>
          <t>L</t>
        </is>
      </c>
      <c r="B107" s="170">
        <f>VLOOKUP(LEFT(A107,1),Tabela5[],2,0)</f>
        <v/>
      </c>
      <c r="C107" s="170" t="inlineStr">
        <is>
          <t>EUCADUR NT - 2,5MM</t>
        </is>
      </c>
      <c r="D107" s="169" t="n">
        <v>540</v>
      </c>
      <c r="E107" s="169" t="n">
        <v>398</v>
      </c>
      <c r="F107" s="169">
        <f>TEXT(TabelaSobras8[[#This Row],[Comprimento 
Sobras (mm)]],0) &amp; " X " &amp; TEXT(E107,0)</f>
        <v/>
      </c>
      <c r="G107" s="170">
        <f>(TabelaSobras8[[#This Row],[Comprimento 
Sobras (mm)]]*E107/1000000)</f>
        <v/>
      </c>
      <c r="H107" s="170" t="n">
        <v>1000</v>
      </c>
      <c r="I107" s="170">
        <f>IF(TabelaSobras8[[#This Row],[Estoque]]&lt;=$V$2,$U$4,$U$5)</f>
        <v/>
      </c>
      <c r="J107" s="170">
        <f>TabelaSobras8[[#This Row],[Quantidade de Sobra INICIAL]]-K107</f>
        <v/>
      </c>
      <c r="K107" s="29">
        <f>TabelaSobras8[[#This Row],[Quantidade de Sobra INICIAL]]-TabelaSobras8[[#This Row],[Saída]]-TabelaSobras8[[#This Row],[Saída 2]]-P107</f>
        <v/>
      </c>
      <c r="L107" s="169" t="inlineStr">
        <is>
          <t>Líder</t>
        </is>
      </c>
      <c r="M107" s="169">
        <f>TabelaSobras8[[#This Row],[Estoque]]*5.8575</f>
        <v/>
      </c>
      <c r="N107" s="170" t="n">
        <v>394</v>
      </c>
      <c r="O107" s="170" t="n">
        <v>606</v>
      </c>
      <c r="P107" s="170" t="n"/>
      <c r="Q107" s="170" t="inlineStr">
        <is>
          <t>L7313</t>
        </is>
      </c>
      <c r="R107" s="170" t="inlineStr">
        <is>
          <t>Yuri</t>
        </is>
      </c>
      <c r="S107" s="6" t="n">
        <v>45930</v>
      </c>
      <c r="T107" s="12">
        <f>INT(TODAY()-TabelaSobras8[[#This Row],[Data do
Registro inical]])</f>
        <v/>
      </c>
    </row>
    <row r="108" hidden="1">
      <c r="A108" s="170" t="inlineStr">
        <is>
          <t>l2505805</t>
        </is>
      </c>
      <c r="B108" s="170">
        <f>VLOOKUP(LEFT(A108,1),Tabela5[],2,0)</f>
        <v/>
      </c>
      <c r="C108" s="170" t="inlineStr">
        <is>
          <t>EUCADUR FRJ - 2,5MM</t>
        </is>
      </c>
      <c r="D108" s="169" t="n">
        <v>1195</v>
      </c>
      <c r="E108" s="169" t="n">
        <v>170</v>
      </c>
      <c r="F108" s="169">
        <f>TEXT(TabelaSobras8[[#This Row],[Comprimento 
Sobras (mm)]],0) &amp; " X " &amp; TEXT(E108,0)</f>
        <v/>
      </c>
      <c r="G108" s="170">
        <f>(TabelaSobras8[[#This Row],[Comprimento 
Sobras (mm)]]*E108/1000000)</f>
        <v/>
      </c>
      <c r="H108" s="170" t="n">
        <v>100</v>
      </c>
      <c r="I108" s="170">
        <f>IF(TabelaSobras8[[#This Row],[Estoque]]&lt;=$V$2,$U$4,$U$5)</f>
        <v/>
      </c>
      <c r="J108" s="170">
        <f>TabelaSobras8[[#This Row],[Quantidade de Sobra INICIAL]]-K108</f>
        <v/>
      </c>
      <c r="K108" s="29">
        <f>TabelaSobras8[[#This Row],[Quantidade de Sobra INICIAL]]-TabelaSobras8[[#This Row],[Saída]]-TabelaSobras8[[#This Row],[Saída 2]]-P108</f>
        <v/>
      </c>
      <c r="L108" s="169" t="inlineStr">
        <is>
          <t>Nesher</t>
        </is>
      </c>
      <c r="M108" s="169">
        <f>TabelaSobras8[[#This Row],[Estoque]]*5.8575</f>
        <v/>
      </c>
      <c r="N108" s="170" t="n">
        <v>100</v>
      </c>
      <c r="O108" s="170" t="n"/>
      <c r="P108" s="170" t="n"/>
      <c r="Q108" s="27" t="inlineStr">
        <is>
          <t>N2508406</t>
        </is>
      </c>
      <c r="R108" s="170" t="inlineStr">
        <is>
          <t>Yuri</t>
        </is>
      </c>
      <c r="S108" s="6" t="n">
        <v>45937</v>
      </c>
      <c r="T108" s="12">
        <f>INT(TODAY()-TabelaSobras8[[#This Row],[Data do
Registro inical]])</f>
        <v/>
      </c>
    </row>
    <row r="109" hidden="1">
      <c r="A109" s="170" t="inlineStr">
        <is>
          <t>l2505805</t>
        </is>
      </c>
      <c r="B109" s="170">
        <f>VLOOKUP(LEFT(A109,1),Tabela5[],2,0)</f>
        <v/>
      </c>
      <c r="C109" s="170" t="inlineStr">
        <is>
          <t>EUCADUR FRJ - 2,5MM</t>
        </is>
      </c>
      <c r="D109" s="169" t="n">
        <v>695</v>
      </c>
      <c r="E109" s="169" t="n">
        <v>330</v>
      </c>
      <c r="F109" s="169">
        <f>TEXT(TabelaSobras8[[#This Row],[Comprimento 
Sobras (mm)]],0) &amp; " X " &amp; TEXT(E109,0)</f>
        <v/>
      </c>
      <c r="G109" s="170">
        <f>(TabelaSobras8[[#This Row],[Comprimento 
Sobras (mm)]]*E109/1000000)</f>
        <v/>
      </c>
      <c r="H109" s="170" t="n">
        <v>450</v>
      </c>
      <c r="I109" s="170">
        <f>IF(TabelaSobras8[[#This Row],[Estoque]]&lt;=$V$2,$U$4,$U$5)</f>
        <v/>
      </c>
      <c r="J109" s="170">
        <f>TabelaSobras8[[#This Row],[Quantidade de Sobra INICIAL]]-K109</f>
        <v/>
      </c>
      <c r="K109" s="29">
        <f>TabelaSobras8[[#This Row],[Quantidade de Sobra INICIAL]]-TabelaSobras8[[#This Row],[Saída]]-TabelaSobras8[[#This Row],[Saída 2]]-P109</f>
        <v/>
      </c>
      <c r="L109" s="169" t="inlineStr">
        <is>
          <t>Nesher</t>
        </is>
      </c>
      <c r="M109" s="169">
        <f>TabelaSobras8[[#This Row],[Estoque]]*5.8575</f>
        <v/>
      </c>
      <c r="N109" s="170" t="n">
        <v>450</v>
      </c>
      <c r="O109" s="170" t="n"/>
      <c r="P109" s="170" t="n"/>
      <c r="Q109" s="27" t="inlineStr">
        <is>
          <t>N25087</t>
        </is>
      </c>
      <c r="R109" s="170" t="inlineStr">
        <is>
          <t>Yuri</t>
        </is>
      </c>
      <c r="S109" s="6" t="n">
        <v>45937</v>
      </c>
      <c r="T109" s="12">
        <f>INT(TODAY()-TabelaSobras8[[#This Row],[Data do
Registro inical]])</f>
        <v/>
      </c>
    </row>
    <row r="110" hidden="1">
      <c r="A110" s="170" t="inlineStr">
        <is>
          <t>L2506001-03</t>
        </is>
      </c>
      <c r="B110" s="170">
        <f>VLOOKUP(LEFT(A110,1),Tabela5[],2,0)</f>
        <v/>
      </c>
      <c r="C110" s="170" t="inlineStr">
        <is>
          <t>EUCADUR NT - 2,5MM</t>
        </is>
      </c>
      <c r="D110" s="169" t="n">
        <v>462</v>
      </c>
      <c r="E110" s="169" t="n">
        <v>398</v>
      </c>
      <c r="F110" s="169">
        <f>TEXT(TabelaSobras8[[#This Row],[Comprimento 
Sobras (mm)]],0) &amp; " X " &amp; TEXT(E110,0)</f>
        <v/>
      </c>
      <c r="G110" s="170">
        <f>(TabelaSobras8[[#This Row],[Comprimento 
Sobras (mm)]]*E110/1000000)</f>
        <v/>
      </c>
      <c r="H110" s="170" t="n">
        <v>1590</v>
      </c>
      <c r="I110" s="170">
        <f>IF(TabelaSobras8[[#This Row],[Estoque]]&lt;=$V$2,$U$4,$U$5)</f>
        <v/>
      </c>
      <c r="J110" s="170">
        <f>TabelaSobras8[[#This Row],[Quantidade de Sobra INICIAL]]-K110</f>
        <v/>
      </c>
      <c r="K110" s="29">
        <f>TabelaSobras8[[#This Row],[Quantidade de Sobra INICIAL]]-TabelaSobras8[[#This Row],[Saída]]-TabelaSobras8[[#This Row],[Saída 2]]-P110</f>
        <v/>
      </c>
      <c r="L110" s="169" t="inlineStr">
        <is>
          <t>Líder</t>
        </is>
      </c>
      <c r="M110" s="169">
        <f>TabelaSobras8[[#This Row],[Estoque]]*5.8575</f>
        <v/>
      </c>
      <c r="N110" s="170" t="n">
        <v>250</v>
      </c>
      <c r="O110" s="170" t="n">
        <v>1200</v>
      </c>
      <c r="P110" s="170" t="n">
        <v>140</v>
      </c>
      <c r="Q110" s="170" t="inlineStr">
        <is>
          <t>L25061</t>
        </is>
      </c>
      <c r="R110" s="170" t="inlineStr">
        <is>
          <t>Yuri</t>
        </is>
      </c>
      <c r="S110" s="6" t="n">
        <v>45945</v>
      </c>
      <c r="T110" s="12">
        <f>INT(TODAY()-TabelaSobras8[[#This Row],[Data do
Registro inical]])</f>
        <v/>
      </c>
    </row>
    <row r="111" hidden="1">
      <c r="A111" s="170" t="inlineStr">
        <is>
          <t>L2506001-03</t>
        </is>
      </c>
      <c r="B111" s="170">
        <f>VLOOKUP(LEFT(A111,1),Tabela5[],2,0)</f>
        <v/>
      </c>
      <c r="C111" s="170" t="inlineStr">
        <is>
          <t>EUCADUR NT - 2,5MM</t>
        </is>
      </c>
      <c r="D111" s="169" t="n">
        <v>500</v>
      </c>
      <c r="E111" s="169" t="n">
        <v>790</v>
      </c>
      <c r="F111" s="169">
        <f>TEXT(TabelaSobras8[[#This Row],[Comprimento 
Sobras (mm)]],0) &amp; " X " &amp; TEXT(E111,0)</f>
        <v/>
      </c>
      <c r="G111" s="170">
        <f>(TabelaSobras8[[#This Row],[Comprimento 
Sobras (mm)]]*E111/1000000)</f>
        <v/>
      </c>
      <c r="H111" s="170" t="n">
        <v>300</v>
      </c>
      <c r="I111" s="170">
        <f>IF(TabelaSobras8[[#This Row],[Estoque]]&lt;=$V$2,$U$4,$U$5)</f>
        <v/>
      </c>
      <c r="J111" s="170">
        <f>TabelaSobras8[[#This Row],[Quantidade de Sobra INICIAL]]-K111</f>
        <v/>
      </c>
      <c r="K111" s="29">
        <f>TabelaSobras8[[#This Row],[Quantidade de Sobra INICIAL]]-TabelaSobras8[[#This Row],[Saída]]-TabelaSobras8[[#This Row],[Saída 2]]-P111</f>
        <v/>
      </c>
      <c r="L111" s="169" t="inlineStr">
        <is>
          <t>Líder</t>
        </is>
      </c>
      <c r="M111" s="169">
        <f>TabelaSobras8[[#This Row],[Estoque]]*5.8575</f>
        <v/>
      </c>
      <c r="N111" s="170" t="n">
        <v>300</v>
      </c>
      <c r="O111" s="170" t="n"/>
      <c r="P111" s="170" t="n"/>
      <c r="Q111" s="27" t="inlineStr">
        <is>
          <t>L2506102</t>
        </is>
      </c>
      <c r="R111" s="170" t="inlineStr">
        <is>
          <t>Yuri</t>
        </is>
      </c>
      <c r="S111" s="6" t="n">
        <v>45945</v>
      </c>
      <c r="T111" s="12">
        <f>INT(TODAY()-TabelaSobras8[[#This Row],[Data do
Registro inical]])</f>
        <v/>
      </c>
    </row>
    <row r="112" hidden="1">
      <c r="A112" s="170" t="inlineStr">
        <is>
          <t>M25045</t>
        </is>
      </c>
      <c r="B112" s="170">
        <f>VLOOKUP(LEFT(A112,1),Tabela5[],2,0)</f>
        <v/>
      </c>
      <c r="C112" s="170" t="inlineStr">
        <is>
          <t>EUCADUR NT - 2,5MM</t>
        </is>
      </c>
      <c r="D112" s="169" t="n">
        <v>695</v>
      </c>
      <c r="E112" s="169" t="n">
        <v>317</v>
      </c>
      <c r="F112" s="169">
        <f>TEXT(TabelaSobras8[[#This Row],[Comprimento 
Sobras (mm)]],0) &amp; " X " &amp; TEXT(E112,0)</f>
        <v/>
      </c>
      <c r="G112" s="170">
        <f>(TabelaSobras8[[#This Row],[Comprimento 
Sobras (mm)]]*E112/1000000)</f>
        <v/>
      </c>
      <c r="H112" s="170" t="n">
        <v>255</v>
      </c>
      <c r="I112" s="170">
        <f>IF(TabelaSobras8[[#This Row],[Estoque]]&lt;=$V$2,$U$4,$U$5)</f>
        <v/>
      </c>
      <c r="J112" s="170">
        <f>TabelaSobras8[[#This Row],[Quantidade de Sobra INICIAL]]-K112</f>
        <v/>
      </c>
      <c r="K112" s="29">
        <f>TabelaSobras8[[#This Row],[Quantidade de Sobra INICIAL]]-TabelaSobras8[[#This Row],[Saída]]-TabelaSobras8[[#This Row],[Saída 2]]-P112</f>
        <v/>
      </c>
      <c r="L112" s="169" t="inlineStr">
        <is>
          <t>Nesher</t>
        </is>
      </c>
      <c r="M112" s="169">
        <f>TabelaSobras8[[#This Row],[Estoque]]*5.8575</f>
        <v/>
      </c>
      <c r="N112" s="170" t="n">
        <v>255</v>
      </c>
      <c r="O112" s="170" t="n"/>
      <c r="P112" s="170" t="n"/>
      <c r="Q112" s="49" t="inlineStr">
        <is>
          <t>N25086</t>
        </is>
      </c>
      <c r="R112" s="170" t="inlineStr">
        <is>
          <t>Yuri</t>
        </is>
      </c>
      <c r="S112" s="6" t="n">
        <v>45945</v>
      </c>
      <c r="T112" s="12">
        <f>INT(TODAY()-TabelaSobras8[[#This Row],[Data do
Registro inical]])</f>
        <v/>
      </c>
    </row>
    <row r="113" hidden="1">
      <c r="A113" s="170" t="inlineStr">
        <is>
          <t>M25045</t>
        </is>
      </c>
      <c r="B113" s="170">
        <f>VLOOKUP(LEFT(A113,1),Tabela5[],2,0)</f>
        <v/>
      </c>
      <c r="C113" s="170" t="inlineStr">
        <is>
          <t>EUCADUR NT - 2,5MM</t>
        </is>
      </c>
      <c r="D113" s="169" t="n">
        <v>695</v>
      </c>
      <c r="E113" s="169" t="n">
        <v>195</v>
      </c>
      <c r="F113" s="169">
        <f>TEXT(TabelaSobras8[[#This Row],[Comprimento 
Sobras (mm)]],0) &amp; " X " &amp; TEXT(E113,0)</f>
        <v/>
      </c>
      <c r="G113" s="170">
        <f>(TabelaSobras8[[#This Row],[Comprimento 
Sobras (mm)]]*E113/1000000)</f>
        <v/>
      </c>
      <c r="H113" s="170" t="n">
        <v>87</v>
      </c>
      <c r="I113" s="170">
        <f>IF(TabelaSobras8[[#This Row],[Estoque]]&lt;=$V$2,$U$4,$U$5)</f>
        <v/>
      </c>
      <c r="J113" s="170">
        <f>TabelaSobras8[[#This Row],[Quantidade de Sobra INICIAL]]-K113</f>
        <v/>
      </c>
      <c r="K113" s="29">
        <f>TabelaSobras8[[#This Row],[Quantidade de Sobra INICIAL]]-TabelaSobras8[[#This Row],[Saída]]-TabelaSobras8[[#This Row],[Saída 2]]-P113</f>
        <v/>
      </c>
      <c r="L113" s="169" t="inlineStr">
        <is>
          <t>Nesher</t>
        </is>
      </c>
      <c r="M113" s="169">
        <f>TabelaSobras8[[#This Row],[Estoque]]*5.8575</f>
        <v/>
      </c>
      <c r="N113" s="170" t="n">
        <v>87</v>
      </c>
      <c r="O113" s="170" t="n"/>
      <c r="P113" s="170" t="n"/>
      <c r="Q113" s="49" t="inlineStr">
        <is>
          <t>N25086</t>
        </is>
      </c>
      <c r="R113" s="170" t="inlineStr">
        <is>
          <t>Yuri</t>
        </is>
      </c>
      <c r="S113" s="6" t="n">
        <v>45945</v>
      </c>
      <c r="T113" s="12">
        <f>INT(TODAY()-TabelaSobras8[[#This Row],[Data do
Registro inical]])</f>
        <v/>
      </c>
    </row>
    <row r="114" hidden="1">
      <c r="A114" s="170" t="inlineStr">
        <is>
          <t>M25045</t>
        </is>
      </c>
      <c r="B114" s="170">
        <f>VLOOKUP(LEFT(A114,1),Tabela5[],2,0)</f>
        <v/>
      </c>
      <c r="C114" s="170" t="inlineStr">
        <is>
          <t>EUCADUR NT - 2,5MM</t>
        </is>
      </c>
      <c r="D114" s="169" t="n">
        <v>695</v>
      </c>
      <c r="E114" s="169" t="n">
        <v>381</v>
      </c>
      <c r="F114" s="169">
        <f>TEXT(TabelaSobras8[[#This Row],[Comprimento 
Sobras (mm)]],0) &amp; " X " &amp; TEXT(E114,0)</f>
        <v/>
      </c>
      <c r="G114" s="170">
        <f>(TabelaSobras8[[#This Row],[Comprimento 
Sobras (mm)]]*E114/1000000)</f>
        <v/>
      </c>
      <c r="H114" s="170" t="n">
        <v>90</v>
      </c>
      <c r="I114" s="170">
        <f>IF(TabelaSobras8[[#This Row],[Estoque]]&lt;=$V$2,$U$4,$U$5)</f>
        <v/>
      </c>
      <c r="J114" s="170">
        <f>TabelaSobras8[[#This Row],[Quantidade de Sobra INICIAL]]-K114</f>
        <v/>
      </c>
      <c r="K114" s="29">
        <f>TabelaSobras8[[#This Row],[Quantidade de Sobra INICIAL]]-TabelaSobras8[[#This Row],[Saída]]-TabelaSobras8[[#This Row],[Saída 2]]-P114</f>
        <v/>
      </c>
      <c r="L114" s="169" t="inlineStr">
        <is>
          <t>Nesher</t>
        </is>
      </c>
      <c r="M114" s="169">
        <f>TabelaSobras8[[#This Row],[Estoque]]*5.8575</f>
        <v/>
      </c>
      <c r="N114" s="170" t="n">
        <v>90</v>
      </c>
      <c r="O114" s="170" t="n"/>
      <c r="P114" s="170" t="n"/>
      <c r="Q114" s="49" t="inlineStr">
        <is>
          <t>N25086</t>
        </is>
      </c>
      <c r="R114" s="170" t="inlineStr">
        <is>
          <t>Yuri</t>
        </is>
      </c>
      <c r="S114" s="6" t="n">
        <v>45945</v>
      </c>
      <c r="T114" s="12">
        <f>INT(TODAY()-TabelaSobras8[[#This Row],[Data do
Registro inical]])</f>
        <v/>
      </c>
    </row>
    <row r="115" hidden="1">
      <c r="A115" s="170" t="inlineStr">
        <is>
          <t>M25045</t>
        </is>
      </c>
      <c r="B115" s="170">
        <f>VLOOKUP(LEFT(A115,1),Tabela5[],2,0)</f>
        <v/>
      </c>
      <c r="C115" s="170" t="inlineStr">
        <is>
          <t>EUCADUR NT - 2,5MM</t>
        </is>
      </c>
      <c r="D115" s="169" t="n">
        <v>597</v>
      </c>
      <c r="E115" s="169" t="n">
        <v>398</v>
      </c>
      <c r="F115" s="169">
        <f>TEXT(TabelaSobras8[[#This Row],[Comprimento 
Sobras (mm)]],0) &amp; " X " &amp; TEXT(E115,0)</f>
        <v/>
      </c>
      <c r="G115" s="170">
        <f>(TabelaSobras8[[#This Row],[Comprimento 
Sobras (mm)]]*E115/1000000)</f>
        <v/>
      </c>
      <c r="H115" s="170" t="n">
        <v>150</v>
      </c>
      <c r="I115" s="170">
        <f>IF(TabelaSobras8[[#This Row],[Estoque]]&lt;=$V$2,$U$4,$U$5)</f>
        <v/>
      </c>
      <c r="J115" s="170">
        <f>TabelaSobras8[[#This Row],[Quantidade de Sobra INICIAL]]-K115</f>
        <v/>
      </c>
      <c r="K115" s="29">
        <f>TabelaSobras8[[#This Row],[Quantidade de Sobra INICIAL]]-TabelaSobras8[[#This Row],[Saída]]-TabelaSobras8[[#This Row],[Saída 2]]-P115</f>
        <v/>
      </c>
      <c r="L115" s="169" t="inlineStr">
        <is>
          <t>Nesher</t>
        </is>
      </c>
      <c r="M115" s="169">
        <f>TabelaSobras8[[#This Row],[Estoque]]*5.8575</f>
        <v/>
      </c>
      <c r="N115" s="170" t="n">
        <v>150</v>
      </c>
      <c r="O115" s="170" t="n"/>
      <c r="P115" s="170" t="n"/>
      <c r="Q115" s="49" t="inlineStr">
        <is>
          <t>N25086</t>
        </is>
      </c>
      <c r="R115" s="170" t="inlineStr">
        <is>
          <t>Yuri</t>
        </is>
      </c>
      <c r="S115" s="6" t="n">
        <v>45945</v>
      </c>
      <c r="T115" s="12">
        <f>INT(TODAY()-TabelaSobras8[[#This Row],[Data do
Registro inical]])</f>
        <v/>
      </c>
    </row>
    <row r="116" hidden="1">
      <c r="A116" s="170" t="inlineStr">
        <is>
          <t>l</t>
        </is>
      </c>
      <c r="B116" s="170">
        <f>VLOOKUP(LEFT(A116,1),Tabela5[],2,0)</f>
        <v/>
      </c>
      <c r="C116" s="170" t="inlineStr">
        <is>
          <t>EUCADUR NT - 2,5MM</t>
        </is>
      </c>
      <c r="D116" s="169" t="n">
        <v>540</v>
      </c>
      <c r="E116" s="169" t="n">
        <v>398</v>
      </c>
      <c r="F116" s="169">
        <f>TEXT(TabelaSobras8[[#This Row],[Comprimento 
Sobras (mm)]],0) &amp; " X " &amp; TEXT(E116,0)</f>
        <v/>
      </c>
      <c r="G116" s="170">
        <f>(TabelaSobras8[[#This Row],[Comprimento 
Sobras (mm)]]*E116/1000000)</f>
        <v/>
      </c>
      <c r="H116" s="170" t="n">
        <v>80</v>
      </c>
      <c r="I116" s="170">
        <f>IF(TabelaSobras8[[#This Row],[Estoque]]&lt;=$V$2,$U$4,$U$5)</f>
        <v/>
      </c>
      <c r="J116" s="170">
        <f>TabelaSobras8[[#This Row],[Quantidade de Sobra INICIAL]]-K116</f>
        <v/>
      </c>
      <c r="K116" s="29">
        <f>TabelaSobras8[[#This Row],[Quantidade de Sobra INICIAL]]-TabelaSobras8[[#This Row],[Saída]]-TabelaSobras8[[#This Row],[Saída 2]]-P116</f>
        <v/>
      </c>
      <c r="L116" s="169" t="inlineStr">
        <is>
          <t>Líder</t>
        </is>
      </c>
      <c r="M116" s="169">
        <f>TabelaSobras8[[#This Row],[Estoque]]*5.8575</f>
        <v/>
      </c>
      <c r="N116" s="170" t="n">
        <v>80</v>
      </c>
      <c r="O116" s="170" t="n"/>
      <c r="P116" s="170" t="n"/>
      <c r="Q116" s="170" t="n"/>
      <c r="R116" s="170" t="n"/>
      <c r="S116" s="6" t="n"/>
      <c r="T116" s="12">
        <f>INT(TODAY()-TabelaSobras8[[#This Row],[Data do
Registro inical]])</f>
        <v/>
      </c>
    </row>
    <row r="117" hidden="1">
      <c r="A117" s="170" t="inlineStr">
        <is>
          <t>l</t>
        </is>
      </c>
      <c r="B117" s="170">
        <f>VLOOKUP(LEFT(A117,1),Tabela5[],2,0)</f>
        <v/>
      </c>
      <c r="C117" s="170" t="inlineStr">
        <is>
          <t>EUCADUR FRJ - 2,5MM</t>
        </is>
      </c>
      <c r="D117" s="169" t="n">
        <v>540</v>
      </c>
      <c r="E117" s="169" t="n">
        <v>398</v>
      </c>
      <c r="F117" s="169">
        <f>TEXT(TabelaSobras8[[#This Row],[Comprimento 
Sobras (mm)]],0) &amp; " X " &amp; TEXT(E117,0)</f>
        <v/>
      </c>
      <c r="G117" s="170">
        <f>(TabelaSobras8[[#This Row],[Comprimento 
Sobras (mm)]]*E117/1000000)</f>
        <v/>
      </c>
      <c r="H117" s="170" t="n">
        <v>400</v>
      </c>
      <c r="I117" s="170">
        <f>IF(TabelaSobras8[[#This Row],[Estoque]]&lt;=$V$2,$U$4,$U$5)</f>
        <v/>
      </c>
      <c r="J117" s="170">
        <f>TabelaSobras8[[#This Row],[Quantidade de Sobra INICIAL]]-K117</f>
        <v/>
      </c>
      <c r="K117" s="29">
        <f>TabelaSobras8[[#This Row],[Quantidade de Sobra INICIAL]]-TabelaSobras8[[#This Row],[Saída]]-TabelaSobras8[[#This Row],[Saída 2]]-P117</f>
        <v/>
      </c>
      <c r="L117" s="169" t="inlineStr">
        <is>
          <t>Líder</t>
        </is>
      </c>
      <c r="M117" s="169">
        <f>TabelaSobras8[[#This Row],[Estoque]]*5.8575</f>
        <v/>
      </c>
      <c r="N117" s="170" t="n">
        <v>400</v>
      </c>
      <c r="O117" s="170" t="n"/>
      <c r="P117" s="170" t="n"/>
      <c r="Q117" s="170" t="n"/>
      <c r="R117" s="170" t="inlineStr">
        <is>
          <t>Yuri</t>
        </is>
      </c>
      <c r="S117" s="6" t="n">
        <v>45960</v>
      </c>
      <c r="T117" s="12">
        <f>INT(TODAY()-TabelaSobras8[[#This Row],[Data do
Registro inical]])</f>
        <v/>
      </c>
    </row>
    <row r="118" hidden="1">
      <c r="A118" s="170" t="inlineStr">
        <is>
          <t>M</t>
        </is>
      </c>
      <c r="B118" s="170">
        <f>VLOOKUP(LEFT(A118,1),Tabela5[],2,0)</f>
        <v/>
      </c>
      <c r="C118" s="170" t="inlineStr">
        <is>
          <t>EUCADUR FRJ - 2,5MM</t>
        </is>
      </c>
      <c r="D118" s="169" t="n">
        <v>329</v>
      </c>
      <c r="E118" s="169" t="n">
        <v>398</v>
      </c>
      <c r="F118" s="169">
        <f>TEXT(TabelaSobras8[[#This Row],[Comprimento 
Sobras (mm)]],0) &amp; " X " &amp; TEXT(E118,0)</f>
        <v/>
      </c>
      <c r="G118" s="170">
        <f>(TabelaSobras8[[#This Row],[Comprimento 
Sobras (mm)]]*E118/1000000)</f>
        <v/>
      </c>
      <c r="H118" s="170">
        <f>230+104+19</f>
        <v/>
      </c>
      <c r="I118" s="170">
        <f>IF(TabelaSobras8[[#This Row],[Estoque]]&lt;=$V$2,$U$4,$U$5)</f>
        <v/>
      </c>
      <c r="J118" s="170">
        <f>TabelaSobras8[[#This Row],[Quantidade de Sobra INICIAL]]-K118</f>
        <v/>
      </c>
      <c r="K118" s="29">
        <f>TabelaSobras8[[#This Row],[Quantidade de Sobra INICIAL]]-TabelaSobras8[[#This Row],[Saída]]-TabelaSobras8[[#This Row],[Saída 2]]-P118</f>
        <v/>
      </c>
      <c r="L118" s="169" t="inlineStr">
        <is>
          <t>Nesher</t>
        </is>
      </c>
      <c r="M118" s="169">
        <f>TabelaSobras8[[#This Row],[Estoque]]*5.8575</f>
        <v/>
      </c>
      <c r="N118" s="170" t="n">
        <v>353</v>
      </c>
      <c r="O118" s="170" t="n"/>
      <c r="P118" s="170" t="n"/>
      <c r="Q118" s="27" t="inlineStr">
        <is>
          <t>N25087</t>
        </is>
      </c>
      <c r="R118" s="170" t="inlineStr">
        <is>
          <t>Yuri</t>
        </is>
      </c>
      <c r="S118" s="6" t="n">
        <v>45952</v>
      </c>
      <c r="T118" s="12">
        <f>INT(TODAY()-TabelaSobras8[[#This Row],[Data do
Registro inical]])</f>
        <v/>
      </c>
    </row>
    <row r="119" hidden="1">
      <c r="A119" s="170" t="inlineStr">
        <is>
          <t>N25085</t>
        </is>
      </c>
      <c r="B119" s="170">
        <f>VLOOKUP(LEFT(A119,1),Tabela5[],2,0)</f>
        <v/>
      </c>
      <c r="C119" s="170" t="inlineStr">
        <is>
          <t>EUCADUR FRJ - 2,5MM</t>
        </is>
      </c>
      <c r="D119" s="169" t="n">
        <v>695</v>
      </c>
      <c r="E119" s="169" t="n">
        <v>190</v>
      </c>
      <c r="F119" s="169">
        <f>TEXT(TabelaSobras8[[#This Row],[Comprimento 
Sobras (mm)]],0) &amp; " X " &amp; TEXT(E119,0)</f>
        <v/>
      </c>
      <c r="G119" s="170">
        <f>(TabelaSobras8[[#This Row],[Comprimento 
Sobras (mm)]]*E119/1000000)</f>
        <v/>
      </c>
      <c r="H119" s="170" t="n">
        <v>125</v>
      </c>
      <c r="I119" s="170">
        <f>IF(TabelaSobras8[[#This Row],[Estoque]]&lt;=$V$2,$U$4,$U$5)</f>
        <v/>
      </c>
      <c r="J119" s="170">
        <f>TabelaSobras8[[#This Row],[Quantidade de Sobra INICIAL]]-K119</f>
        <v/>
      </c>
      <c r="K119" s="29">
        <f>TabelaSobras8[[#This Row],[Quantidade de Sobra INICIAL]]-TabelaSobras8[[#This Row],[Saída]]-TabelaSobras8[[#This Row],[Saída 2]]-P119</f>
        <v/>
      </c>
      <c r="L119" s="169" t="inlineStr">
        <is>
          <t>Nesher</t>
        </is>
      </c>
      <c r="M119" s="169">
        <f>TabelaSobras8[[#This Row],[Estoque]]*5.8575</f>
        <v/>
      </c>
      <c r="N119" s="170" t="n">
        <v>125</v>
      </c>
      <c r="O119" s="170" t="n"/>
      <c r="P119" s="170" t="n"/>
      <c r="Q119" s="27" t="inlineStr">
        <is>
          <t>N25087</t>
        </is>
      </c>
      <c r="R119" s="170" t="inlineStr">
        <is>
          <t>Yuri</t>
        </is>
      </c>
      <c r="S119" s="6" t="n">
        <v>45954</v>
      </c>
      <c r="T119" s="12">
        <f>INT(TODAY()-TabelaSobras8[[#This Row],[Data do
Registro inical]])</f>
        <v/>
      </c>
    </row>
    <row r="120" hidden="1">
      <c r="A120" s="170" t="inlineStr">
        <is>
          <t>N25085</t>
        </is>
      </c>
      <c r="B120" s="170">
        <f>VLOOKUP(LEFT(A120,1),Tabela5[],2,0)</f>
        <v/>
      </c>
      <c r="C120" s="170" t="inlineStr">
        <is>
          <t>EUCADUR FRJ - 2,5MM</t>
        </is>
      </c>
      <c r="D120" s="169" t="n">
        <v>695</v>
      </c>
      <c r="E120" s="169" t="n">
        <v>312</v>
      </c>
      <c r="F120" s="169">
        <f>TEXT(TabelaSobras8[[#This Row],[Comprimento 
Sobras (mm)]],0) &amp; " X " &amp; TEXT(E120,0)</f>
        <v/>
      </c>
      <c r="G120" s="170">
        <f>(TabelaSobras8[[#This Row],[Comprimento 
Sobras (mm)]]*E120/1000000)</f>
        <v/>
      </c>
      <c r="H120" s="170" t="n">
        <v>504</v>
      </c>
      <c r="I120" s="170">
        <f>IF(TabelaSobras8[[#This Row],[Estoque]]&lt;=$V$2,$U$4,$U$5)</f>
        <v/>
      </c>
      <c r="J120" s="170">
        <f>TabelaSobras8[[#This Row],[Quantidade de Sobra INICIAL]]-K120</f>
        <v/>
      </c>
      <c r="K120" s="29">
        <f>TabelaSobras8[[#This Row],[Quantidade de Sobra INICIAL]]-TabelaSobras8[[#This Row],[Saída]]-TabelaSobras8[[#This Row],[Saída 2]]-P120</f>
        <v/>
      </c>
      <c r="L120" s="169" t="inlineStr">
        <is>
          <t>Nesher</t>
        </is>
      </c>
      <c r="M120" s="169">
        <f>TabelaSobras8[[#This Row],[Estoque]]*5.8575</f>
        <v/>
      </c>
      <c r="N120" s="170" t="n">
        <v>504</v>
      </c>
      <c r="O120" s="170" t="n"/>
      <c r="P120" s="170" t="n"/>
      <c r="Q120" s="27" t="inlineStr">
        <is>
          <t>N25087</t>
        </is>
      </c>
      <c r="R120" s="170" t="inlineStr">
        <is>
          <t>Yuri</t>
        </is>
      </c>
      <c r="S120" s="6" t="n">
        <v>45954</v>
      </c>
      <c r="T120" s="12">
        <f>INT(TODAY()-TabelaSobras8[[#This Row],[Data do
Registro inical]])</f>
        <v/>
      </c>
    </row>
    <row r="121" hidden="1">
      <c r="A121" s="170" t="inlineStr">
        <is>
          <t>N25085</t>
        </is>
      </c>
      <c r="B121" s="170">
        <f>VLOOKUP(LEFT(A121,1),Tabela5[],2,0)</f>
        <v/>
      </c>
      <c r="C121" s="170" t="inlineStr">
        <is>
          <t>EUCADUR FRJ - 2,5MM</t>
        </is>
      </c>
      <c r="D121" s="169" t="n">
        <v>729</v>
      </c>
      <c r="E121" s="169" t="n">
        <v>398</v>
      </c>
      <c r="F121" s="169">
        <f>TEXT(TabelaSobras8[[#This Row],[Comprimento 
Sobras (mm)]],0) &amp; " X " &amp; TEXT(E121,0)</f>
        <v/>
      </c>
      <c r="G121" s="170">
        <f>(TabelaSobras8[[#This Row],[Comprimento 
Sobras (mm)]]*E121/1000000)</f>
        <v/>
      </c>
      <c r="H121" s="170" t="n">
        <v>500</v>
      </c>
      <c r="I121" s="170">
        <f>IF(TabelaSobras8[[#This Row],[Estoque]]&lt;=$V$2,$U$4,$U$5)</f>
        <v/>
      </c>
      <c r="J121" s="170">
        <f>TabelaSobras8[[#This Row],[Quantidade de Sobra INICIAL]]-K121</f>
        <v/>
      </c>
      <c r="K121" s="29">
        <f>TabelaSobras8[[#This Row],[Quantidade de Sobra INICIAL]]-TabelaSobras8[[#This Row],[Saída]]-TabelaSobras8[[#This Row],[Saída 2]]-P121</f>
        <v/>
      </c>
      <c r="L121" s="169" t="inlineStr">
        <is>
          <t>Nesher</t>
        </is>
      </c>
      <c r="M121" s="169">
        <f>TabelaSobras8[[#This Row],[Estoque]]*5.8575</f>
        <v/>
      </c>
      <c r="N121" s="170" t="n">
        <v>500</v>
      </c>
      <c r="O121" s="170" t="n"/>
      <c r="P121" s="170" t="n"/>
      <c r="Q121" s="27" t="inlineStr">
        <is>
          <t>N25087</t>
        </is>
      </c>
      <c r="R121" s="170" t="inlineStr">
        <is>
          <t>Yuri</t>
        </is>
      </c>
      <c r="S121" s="6" t="n">
        <v>45954</v>
      </c>
      <c r="T121" s="12">
        <f>INT(TODAY()-TabelaSobras8[[#This Row],[Data do
Registro inical]])</f>
        <v/>
      </c>
    </row>
    <row r="122" hidden="1">
      <c r="A122" s="170" t="inlineStr">
        <is>
          <t>N25085</t>
        </is>
      </c>
      <c r="B122" s="170">
        <f>VLOOKUP(LEFT(A122,1),Tabela5[],2,0)</f>
        <v/>
      </c>
      <c r="C122" s="170" t="inlineStr">
        <is>
          <t>EUCADUR FRJ - 2,5MM</t>
        </is>
      </c>
      <c r="D122" s="169" t="n">
        <v>795</v>
      </c>
      <c r="E122" s="169" t="n">
        <v>363</v>
      </c>
      <c r="F122" s="169">
        <f>TEXT(TabelaSobras8[[#This Row],[Comprimento 
Sobras (mm)]],0) &amp; " X " &amp; TEXT(E122,0)</f>
        <v/>
      </c>
      <c r="G122" s="170">
        <f>(TabelaSobras8[[#This Row],[Comprimento 
Sobras (mm)]]*E122/1000000)</f>
        <v/>
      </c>
      <c r="H122" s="170" t="n">
        <v>16</v>
      </c>
      <c r="I122" s="170">
        <f>IF(TabelaSobras8[[#This Row],[Estoque]]&lt;=$V$2,$U$4,$U$5)</f>
        <v/>
      </c>
      <c r="J122" s="170">
        <f>TabelaSobras8[[#This Row],[Quantidade de Sobra INICIAL]]-K122</f>
        <v/>
      </c>
      <c r="K122" s="29">
        <f>TabelaSobras8[[#This Row],[Quantidade de Sobra INICIAL]]-TabelaSobras8[[#This Row],[Saída]]-TabelaSobras8[[#This Row],[Saída 2]]-P122</f>
        <v/>
      </c>
      <c r="L122" s="169" t="inlineStr">
        <is>
          <t>Nesher</t>
        </is>
      </c>
      <c r="M122" s="169">
        <f>TabelaSobras8[[#This Row],[Estoque]]*5.8575</f>
        <v/>
      </c>
      <c r="N122" s="170" t="n">
        <v>16</v>
      </c>
      <c r="O122" s="170" t="n"/>
      <c r="P122" s="170" t="n"/>
      <c r="Q122" s="27" t="inlineStr">
        <is>
          <t>N25087</t>
        </is>
      </c>
      <c r="R122" s="170" t="inlineStr">
        <is>
          <t>Yuri</t>
        </is>
      </c>
      <c r="S122" s="6" t="n">
        <v>45954</v>
      </c>
      <c r="T122" s="12">
        <f>INT(TODAY()-TabelaSobras8[[#This Row],[Data do
Registro inical]])</f>
        <v/>
      </c>
    </row>
    <row r="123" hidden="1">
      <c r="A123" s="170" t="inlineStr">
        <is>
          <t>N</t>
        </is>
      </c>
      <c r="B123" s="170">
        <f>VLOOKUP(LEFT(A123,1),Tabela5[],2,0)</f>
        <v/>
      </c>
      <c r="C123" s="170" t="inlineStr">
        <is>
          <t>EUCADUR FRJ - 2,5MM</t>
        </is>
      </c>
      <c r="D123" s="169" t="n">
        <v>695</v>
      </c>
      <c r="E123" s="169" t="n">
        <v>430</v>
      </c>
      <c r="F123" s="169">
        <f>TEXT(TabelaSobras8[[#This Row],[Comprimento 
Sobras (mm)]],0) &amp; " X " &amp; TEXT(E123,0)</f>
        <v/>
      </c>
      <c r="G123" s="170">
        <f>(TabelaSobras8[[#This Row],[Comprimento 
Sobras (mm)]]*E123/1000000)</f>
        <v/>
      </c>
      <c r="H123" s="170" t="n">
        <v>100</v>
      </c>
      <c r="I123" s="170">
        <f>IF(TabelaSobras8[[#This Row],[Estoque]]&lt;=$V$2,$U$4,$U$5)</f>
        <v/>
      </c>
      <c r="J123" s="170">
        <f>TabelaSobras8[[#This Row],[Quantidade de Sobra INICIAL]]-K123</f>
        <v/>
      </c>
      <c r="K123" s="29">
        <f>TabelaSobras8[[#This Row],[Quantidade de Sobra INICIAL]]-TabelaSobras8[[#This Row],[Saída]]-TabelaSobras8[[#This Row],[Saída 2]]-P123</f>
        <v/>
      </c>
      <c r="L123" s="169" t="inlineStr">
        <is>
          <t>Nesher</t>
        </is>
      </c>
      <c r="M123" s="169">
        <f>TabelaSobras8[[#This Row],[Estoque]]*5.8575</f>
        <v/>
      </c>
      <c r="N123" s="170" t="n">
        <v>100</v>
      </c>
      <c r="O123" s="170" t="n"/>
      <c r="P123" s="170" t="n"/>
      <c r="Q123" s="27" t="inlineStr">
        <is>
          <t>N25087</t>
        </is>
      </c>
      <c r="R123" s="170" t="inlineStr">
        <is>
          <t>Yuri</t>
        </is>
      </c>
      <c r="S123" s="6" t="n">
        <v>45957</v>
      </c>
      <c r="T123" s="12">
        <f>INT(TODAY()-TabelaSobras8[[#This Row],[Data do
Registro inical]])</f>
        <v/>
      </c>
    </row>
    <row r="124" hidden="1">
      <c r="A124" s="170" t="inlineStr">
        <is>
          <t>N</t>
        </is>
      </c>
      <c r="B124" s="170">
        <f>VLOOKUP(LEFT(A124,1),Tabela5[],2,0)</f>
        <v/>
      </c>
      <c r="C124" s="170" t="inlineStr">
        <is>
          <t>EUCADUR NT - 2,5MM</t>
        </is>
      </c>
      <c r="D124" s="169" t="n">
        <v>1195</v>
      </c>
      <c r="E124" s="169" t="n">
        <v>382</v>
      </c>
      <c r="F124" s="169">
        <f>TEXT(TabelaSobras8[[#This Row],[Comprimento 
Sobras (mm)]],0) &amp; " X " &amp; TEXT(E124,0)</f>
        <v/>
      </c>
      <c r="G124" s="170">
        <f>(TabelaSobras8[[#This Row],[Comprimento 
Sobras (mm)]]*E124/1000000)</f>
        <v/>
      </c>
      <c r="H124" s="170" t="n">
        <v>91</v>
      </c>
      <c r="I124" s="170">
        <f>IF(TabelaSobras8[[#This Row],[Estoque]]&lt;=$V$2,$U$4,$U$5)</f>
        <v/>
      </c>
      <c r="J124" s="170">
        <f>TabelaSobras8[[#This Row],[Quantidade de Sobra INICIAL]]-K124</f>
        <v/>
      </c>
      <c r="K124" s="29">
        <f>TabelaSobras8[[#This Row],[Quantidade de Sobra INICIAL]]-TabelaSobras8[[#This Row],[Saída]]-TabelaSobras8[[#This Row],[Saída 2]]-P124</f>
        <v/>
      </c>
      <c r="L124" s="169" t="inlineStr">
        <is>
          <t>Nesher</t>
        </is>
      </c>
      <c r="M124" s="169">
        <f>TabelaSobras8[[#This Row],[Estoque]]*5.8575</f>
        <v/>
      </c>
      <c r="N124" s="170" t="n">
        <v>91</v>
      </c>
      <c r="O124" s="170" t="n"/>
      <c r="P124" s="170" t="n"/>
      <c r="Q124" s="170" t="inlineStr">
        <is>
          <t>REC N25093</t>
        </is>
      </c>
      <c r="R124" s="170" t="inlineStr">
        <is>
          <t>Yuri</t>
        </is>
      </c>
      <c r="S124" s="6" t="n">
        <v>45957</v>
      </c>
      <c r="T124" s="12">
        <f>INT(TODAY()-TabelaSobras8[[#This Row],[Data do
Registro inical]])</f>
        <v/>
      </c>
    </row>
    <row r="125" hidden="1">
      <c r="A125" s="170" t="inlineStr">
        <is>
          <t>N***</t>
        </is>
      </c>
      <c r="B125" s="170">
        <f>VLOOKUP(LEFT(A125,1),Tabela5[],2,0)</f>
        <v/>
      </c>
      <c r="C125" s="170" t="inlineStr">
        <is>
          <t>EUCADUR NT - 2,5MM</t>
        </is>
      </c>
      <c r="D125" s="169" t="n">
        <v>695</v>
      </c>
      <c r="E125" s="169" t="n">
        <v>317</v>
      </c>
      <c r="F125" s="169">
        <f>TEXT(TabelaSobras8[[#This Row],[Comprimento 
Sobras (mm)]],0) &amp; " X " &amp; TEXT(E125,0)</f>
        <v/>
      </c>
      <c r="G125" s="170">
        <f>(TabelaSobras8[[#This Row],[Comprimento 
Sobras (mm)]]*E125/1000000)</f>
        <v/>
      </c>
      <c r="H125" s="170">
        <f>500+12</f>
        <v/>
      </c>
      <c r="I125" s="170">
        <f>IF(TabelaSobras8[[#This Row],[Estoque]]&lt;=$V$2,$U$4,$U$5)</f>
        <v/>
      </c>
      <c r="J125" s="170">
        <f>TabelaSobras8[[#This Row],[Quantidade de Sobra INICIAL]]-K125</f>
        <v/>
      </c>
      <c r="K125" s="29">
        <f>TabelaSobras8[[#This Row],[Quantidade de Sobra INICIAL]]-TabelaSobras8[[#This Row],[Saída]]-TabelaSobras8[[#This Row],[Saída 2]]-P125</f>
        <v/>
      </c>
      <c r="L125" s="169" t="inlineStr">
        <is>
          <t>Nesher</t>
        </is>
      </c>
      <c r="M125" s="169">
        <f>TabelaSobras8[[#This Row],[Estoque]]*5.8575</f>
        <v/>
      </c>
      <c r="N125" s="170" t="n">
        <v>250</v>
      </c>
      <c r="O125" s="170" t="n">
        <v>262</v>
      </c>
      <c r="P125" s="170" t="n"/>
      <c r="Q125" s="170" t="inlineStr">
        <is>
          <t>N25088</t>
        </is>
      </c>
      <c r="R125" s="170" t="inlineStr">
        <is>
          <t>Yuri</t>
        </is>
      </c>
      <c r="S125" s="6" t="n">
        <v>45962</v>
      </c>
      <c r="T125" s="12">
        <f>INT(TODAY()-TabelaSobras8[[#This Row],[Data do
Registro inical]])</f>
        <v/>
      </c>
    </row>
    <row r="126" hidden="1">
      <c r="A126" s="169" t="inlineStr">
        <is>
          <t>M</t>
        </is>
      </c>
      <c r="B126" s="169">
        <f>VLOOKUP(LEFT(A126,1),Tabela5[],2,0)</f>
        <v/>
      </c>
      <c r="C126" s="169" t="inlineStr">
        <is>
          <t>EUCADUR FRJ - 2,5MM</t>
        </is>
      </c>
      <c r="D126" s="169" t="n">
        <v>1190</v>
      </c>
      <c r="E126" s="169" t="n">
        <v>312</v>
      </c>
      <c r="F126" s="169">
        <f>TEXT(TabelaSobras8[[#This Row],[Comprimento 
Sobras (mm)]],0) &amp; " X " &amp; TEXT(E126,0)</f>
        <v/>
      </c>
      <c r="G126" s="170">
        <f>(TabelaSobras8[[#This Row],[Comprimento 
Sobras (mm)]]*E126/1000000)</f>
        <v/>
      </c>
      <c r="H126" s="169" t="n">
        <v>74</v>
      </c>
      <c r="I126" s="170">
        <f>IF(TabelaSobras8[[#This Row],[Estoque]]&lt;=$V$2,$U$4,$U$5)</f>
        <v/>
      </c>
      <c r="J126" s="170">
        <f>TabelaSobras8[[#This Row],[Quantidade de Sobra INICIAL]]-K126</f>
        <v/>
      </c>
      <c r="K126" s="29">
        <f>TabelaSobras8[[#This Row],[Quantidade de Sobra INICIAL]]-TabelaSobras8[[#This Row],[Saída]]-TabelaSobras8[[#This Row],[Saída 2]]-P126</f>
        <v/>
      </c>
      <c r="L126" s="169" t="inlineStr">
        <is>
          <t>Nesher</t>
        </is>
      </c>
      <c r="M126" s="169">
        <f>TabelaSobras8[[#This Row],[Estoque]]*5.8575</f>
        <v/>
      </c>
      <c r="N126" s="170" t="n">
        <v>74</v>
      </c>
      <c r="O126" s="170" t="n"/>
      <c r="P126" s="170" t="n"/>
      <c r="Q126" s="170" t="inlineStr">
        <is>
          <t>I2600105,I2600106</t>
        </is>
      </c>
      <c r="R126" s="170" t="inlineStr">
        <is>
          <t>Yuri</t>
        </is>
      </c>
      <c r="S126" s="6" t="n">
        <v>45968</v>
      </c>
      <c r="T126" s="12">
        <f>INT(TODAY()-TabelaSobras8[[#This Row],[Data do
Registro inical]])</f>
        <v/>
      </c>
    </row>
    <row r="127" hidden="1">
      <c r="A127" s="170" t="inlineStr">
        <is>
          <t>M</t>
        </is>
      </c>
      <c r="B127" s="170">
        <f>VLOOKUP(LEFT(A127,1),Tabela5[],2,0)</f>
        <v/>
      </c>
      <c r="C127" s="170" t="inlineStr">
        <is>
          <t>EUCADUR FRJ - 2,5MM</t>
        </is>
      </c>
      <c r="D127" s="169" t="n">
        <v>1195</v>
      </c>
      <c r="E127" s="169" t="n">
        <v>170</v>
      </c>
      <c r="F127" s="169">
        <f>TEXT(TabelaSobras8[[#This Row],[Comprimento 
Sobras (mm)]],0) &amp; " X " &amp; TEXT(E127,0)</f>
        <v/>
      </c>
      <c r="G127" s="170">
        <f>(TabelaSobras8[[#This Row],[Comprimento 
Sobras (mm)]]*E127/1000000)</f>
        <v/>
      </c>
      <c r="H127" s="170" t="n">
        <v>10</v>
      </c>
      <c r="I127" s="170">
        <f>IF(TabelaSobras8[[#This Row],[Estoque]]&lt;=$V$2,$U$4,$U$5)</f>
        <v/>
      </c>
      <c r="J127" s="170">
        <f>TabelaSobras8[[#This Row],[Quantidade de Sobra INICIAL]]-K127</f>
        <v/>
      </c>
      <c r="K127" s="29">
        <f>TabelaSobras8[[#This Row],[Quantidade de Sobra INICIAL]]-TabelaSobras8[[#This Row],[Saída]]-TabelaSobras8[[#This Row],[Saída 2]]-P127</f>
        <v/>
      </c>
      <c r="L127" s="169" t="inlineStr">
        <is>
          <t>Nesher</t>
        </is>
      </c>
      <c r="M127" s="169">
        <f>TabelaSobras8[[#This Row],[Estoque]]*5.8575</f>
        <v/>
      </c>
      <c r="N127" s="170" t="n">
        <v>10</v>
      </c>
      <c r="O127" s="170" t="n"/>
      <c r="P127" s="170" t="n"/>
      <c r="Q127" s="170" t="inlineStr">
        <is>
          <t>N25090</t>
        </is>
      </c>
      <c r="R127" s="170" t="inlineStr">
        <is>
          <t>Yuri</t>
        </is>
      </c>
      <c r="S127" s="6" t="n">
        <v>45968</v>
      </c>
      <c r="T127" s="12">
        <f>INT(TODAY()-TabelaSobras8[[#This Row],[Data do
Registro inical]])</f>
        <v/>
      </c>
    </row>
    <row r="128" hidden="1">
      <c r="A128" s="170" t="inlineStr">
        <is>
          <t>M</t>
        </is>
      </c>
      <c r="B128" s="170">
        <f>VLOOKUP(LEFT(A128,1),Tabela5[],2,0)</f>
        <v/>
      </c>
      <c r="C128" s="170" t="inlineStr">
        <is>
          <t>EUCADUR FRJ - 2,5MM</t>
        </is>
      </c>
      <c r="D128" s="169" t="n">
        <v>329</v>
      </c>
      <c r="E128" s="169" t="n">
        <v>398</v>
      </c>
      <c r="F128" s="169">
        <f>TEXT(TabelaSobras8[[#This Row],[Comprimento 
Sobras (mm)]],0) &amp; " X " &amp; TEXT(E128,0)</f>
        <v/>
      </c>
      <c r="G128" s="170">
        <f>(TabelaSobras8[[#This Row],[Comprimento 
Sobras (mm)]]*E128/1000000)</f>
        <v/>
      </c>
      <c r="H128" s="170">
        <f>370+280</f>
        <v/>
      </c>
      <c r="I128" s="170">
        <f>IF(TabelaSobras8[[#This Row],[Estoque]]&lt;=$V$2,$U$4,$U$5)</f>
        <v/>
      </c>
      <c r="J128" s="170">
        <f>TabelaSobras8[[#This Row],[Quantidade de Sobra INICIAL]]-K128</f>
        <v/>
      </c>
      <c r="K128" s="29">
        <f>TabelaSobras8[[#This Row],[Quantidade de Sobra INICIAL]]-TabelaSobras8[[#This Row],[Saída]]-TabelaSobras8[[#This Row],[Saída 2]]-P128</f>
        <v/>
      </c>
      <c r="L128" s="169" t="inlineStr">
        <is>
          <t>Nesher</t>
        </is>
      </c>
      <c r="M128" s="169">
        <f>TabelaSobras8[[#This Row],[Estoque]]*5.8575</f>
        <v/>
      </c>
      <c r="N128" s="170" t="n">
        <v>385</v>
      </c>
      <c r="O128" s="170" t="n">
        <v>265</v>
      </c>
      <c r="P128" s="170" t="n"/>
      <c r="Q128" s="170" t="inlineStr">
        <is>
          <t>N2509007 | N2509101</t>
        </is>
      </c>
      <c r="R128" s="170" t="inlineStr">
        <is>
          <t>Yuri</t>
        </is>
      </c>
      <c r="S128" s="6" t="n">
        <v>45968</v>
      </c>
      <c r="T128" s="12">
        <f>INT(TODAY()-TabelaSobras8[[#This Row],[Data do
Registro inical]])</f>
        <v/>
      </c>
    </row>
    <row r="129" hidden="1">
      <c r="A129" s="170" t="inlineStr">
        <is>
          <t>L</t>
        </is>
      </c>
      <c r="B129" s="170">
        <f>VLOOKUP(LEFT(A129,1),Tabela5[],2,0)</f>
        <v/>
      </c>
      <c r="C129" s="170" t="inlineStr">
        <is>
          <t>EUCADUR NT - 2,5MM</t>
        </is>
      </c>
      <c r="D129" s="169" t="n">
        <v>735</v>
      </c>
      <c r="E129" s="169" t="n">
        <v>600</v>
      </c>
      <c r="F129" s="169">
        <f>TEXT(TabelaSobras8[[#This Row],[Comprimento 
Sobras (mm)]],0) &amp; " X " &amp; TEXT(E129,0)</f>
        <v/>
      </c>
      <c r="G129" s="170">
        <f>(TabelaSobras8[[#This Row],[Comprimento 
Sobras (mm)]]*E129/1000000)</f>
        <v/>
      </c>
      <c r="H129" s="170" t="n">
        <v>24</v>
      </c>
      <c r="I129" s="170">
        <f>IF(TabelaSobras8[[#This Row],[Estoque]]&lt;=$V$2,$U$4,$U$5)</f>
        <v/>
      </c>
      <c r="J129" s="170">
        <f>TabelaSobras8[[#This Row],[Quantidade de Sobra INICIAL]]-K129</f>
        <v/>
      </c>
      <c r="K129" s="29">
        <f>TabelaSobras8[[#This Row],[Quantidade de Sobra INICIAL]]-TabelaSobras8[[#This Row],[Saída]]-TabelaSobras8[[#This Row],[Saída 2]]-P129</f>
        <v/>
      </c>
      <c r="L129" s="169" t="inlineStr">
        <is>
          <t>Líder</t>
        </is>
      </c>
      <c r="M129" s="169">
        <f>TabelaSobras8[[#This Row],[Estoque]]*5.8575</f>
        <v/>
      </c>
      <c r="N129" s="170" t="n">
        <v>24</v>
      </c>
      <c r="O129" s="170" t="n"/>
      <c r="P129" s="170" t="n"/>
      <c r="Q129" s="170" t="inlineStr">
        <is>
          <t>L2507001</t>
        </is>
      </c>
      <c r="R129" s="170" t="inlineStr">
        <is>
          <t>Yuri</t>
        </is>
      </c>
      <c r="S129" s="6" t="n">
        <v>45973</v>
      </c>
      <c r="T129" s="12">
        <f>INT(TODAY()-TabelaSobras8[[#This Row],[Data do
Registro inical]])</f>
        <v/>
      </c>
    </row>
    <row r="130" hidden="1">
      <c r="A130" s="170" t="inlineStr">
        <is>
          <t>L</t>
        </is>
      </c>
      <c r="B130" s="170">
        <f>VLOOKUP(LEFT(A130,1),Tabela5[],2,0)</f>
        <v/>
      </c>
      <c r="C130" s="170" t="inlineStr">
        <is>
          <t>EUCADUR NT - 2,5MM</t>
        </is>
      </c>
      <c r="D130" s="169" t="n">
        <v>445</v>
      </c>
      <c r="E130" s="169" t="n">
        <v>790</v>
      </c>
      <c r="F130" s="169">
        <f>TEXT(TabelaSobras8[[#This Row],[Comprimento 
Sobras (mm)]],0) &amp; " X " &amp; TEXT(E130,0)</f>
        <v/>
      </c>
      <c r="G130" s="170">
        <f>(TabelaSobras8[[#This Row],[Comprimento 
Sobras (mm)]]*E130/1000000)</f>
        <v/>
      </c>
      <c r="H130" s="170" t="n">
        <v>50</v>
      </c>
      <c r="I130" s="170">
        <f>IF(TabelaSobras8[[#This Row],[Estoque]]&lt;=$V$2,$U$4,$U$5)</f>
        <v/>
      </c>
      <c r="J130" s="170">
        <f>TabelaSobras8[[#This Row],[Quantidade de Sobra INICIAL]]-K130</f>
        <v/>
      </c>
      <c r="K130" s="29">
        <f>TabelaSobras8[[#This Row],[Quantidade de Sobra INICIAL]]-TabelaSobras8[[#This Row],[Saída]]-TabelaSobras8[[#This Row],[Saída 2]]-P130</f>
        <v/>
      </c>
      <c r="L130" s="169" t="inlineStr">
        <is>
          <t>Líder</t>
        </is>
      </c>
      <c r="M130" s="169">
        <f>TabelaSobras8[[#This Row],[Estoque]]*5.8575</f>
        <v/>
      </c>
      <c r="N130" s="170" t="n">
        <v>50</v>
      </c>
      <c r="O130" s="170" t="n"/>
      <c r="P130" s="170" t="n"/>
      <c r="Q130" s="170" t="inlineStr">
        <is>
          <t>L2507001</t>
        </is>
      </c>
      <c r="R130" s="170" t="inlineStr">
        <is>
          <t>Yuri</t>
        </is>
      </c>
      <c r="S130" s="6" t="n">
        <v>45973</v>
      </c>
      <c r="T130" s="12">
        <f>INT(TODAY()-TabelaSobras8[[#This Row],[Data do
Registro inical]])</f>
        <v/>
      </c>
    </row>
    <row r="131" hidden="1">
      <c r="A131" s="170" t="inlineStr">
        <is>
          <t>L</t>
        </is>
      </c>
      <c r="B131" s="170">
        <f>VLOOKUP(LEFT(A131,1),Tabela5[],2,0)</f>
        <v/>
      </c>
      <c r="C131" s="170" t="inlineStr">
        <is>
          <t>EUCADUR FRJ - 2,5MM</t>
        </is>
      </c>
      <c r="D131" s="169" t="n">
        <v>329</v>
      </c>
      <c r="E131" s="169" t="n">
        <v>398</v>
      </c>
      <c r="F131" s="169">
        <f>TEXT(TabelaSobras8[[#This Row],[Comprimento 
Sobras (mm)]],0) &amp; " X " &amp; TEXT(E131,0)</f>
        <v/>
      </c>
      <c r="G131" s="170">
        <f>(TabelaSobras8[[#This Row],[Comprimento 
Sobras (mm)]]*E131/1000000)</f>
        <v/>
      </c>
      <c r="H131" s="170" t="n"/>
      <c r="I131" s="170">
        <f>IF(TabelaSobras8[[#This Row],[Estoque]]&lt;=$V$2,$U$4,$U$5)</f>
        <v/>
      </c>
      <c r="J131" s="170">
        <f>TabelaSobras8[[#This Row],[Quantidade de Sobra INICIAL]]-K131</f>
        <v/>
      </c>
      <c r="K131" s="29">
        <f>TabelaSobras8[[#This Row],[Quantidade de Sobra INICIAL]]-TabelaSobras8[[#This Row],[Saída]]-TabelaSobras8[[#This Row],[Saída 2]]-P131</f>
        <v/>
      </c>
      <c r="L131" s="169" t="inlineStr">
        <is>
          <t>Nesher</t>
        </is>
      </c>
      <c r="M131" s="169">
        <f>TabelaSobras8[[#This Row],[Estoque]]*5.8575</f>
        <v/>
      </c>
      <c r="N131" s="170" t="n"/>
      <c r="O131" s="170" t="n"/>
      <c r="P131" s="170" t="n"/>
      <c r="Q131" s="170" t="inlineStr">
        <is>
          <t>N2509101</t>
        </is>
      </c>
      <c r="R131" s="170" t="inlineStr">
        <is>
          <t>Yuri</t>
        </is>
      </c>
      <c r="S131" s="6" t="n">
        <v>45973</v>
      </c>
      <c r="T131" s="12">
        <f>INT(TODAY()-TabelaSobras8[[#This Row],[Data do
Registro inical]])</f>
        <v/>
      </c>
    </row>
    <row r="132" hidden="1" ht="28.8" customHeight="1">
      <c r="A132" s="8" t="inlineStr">
        <is>
          <t>LÍDER | N2601403</t>
        </is>
      </c>
      <c r="B132" s="170">
        <f>VLOOKUP(LEFT(A132,1),Tabela5[],2,0)</f>
        <v/>
      </c>
      <c r="C132" s="170" t="inlineStr">
        <is>
          <t>EUCADUR FRJ - 2,5MM</t>
        </is>
      </c>
      <c r="D132" s="169" t="n">
        <v>329</v>
      </c>
      <c r="E132" s="169" t="n">
        <v>398</v>
      </c>
      <c r="F132" s="169">
        <f>TEXT(TabelaSobras8[[#This Row],[Comprimento 
Sobras (mm)]],0) &amp; " X " &amp; TEXT(E132,0)</f>
        <v/>
      </c>
      <c r="G132" s="170">
        <f>(TabelaSobras8[[#This Row],[Comprimento 
Sobras (mm)]]*E132/1000000)</f>
        <v/>
      </c>
      <c r="H132" s="170">
        <f>2280+625</f>
        <v/>
      </c>
      <c r="I132" s="170">
        <f>IF(TabelaSobras8[[#This Row],[Estoque]]&lt;=$V$2,$U$4,$U$5)</f>
        <v/>
      </c>
      <c r="J132" s="170">
        <f>TabelaSobras8[[#This Row],[Quantidade de Sobra INICIAL]]-K132</f>
        <v/>
      </c>
      <c r="K132" s="29">
        <f>TabelaSobras8[[#This Row],[Quantidade de Sobra INICIAL]]-TabelaSobras8[[#This Row],[Saída]]-TabelaSobras8[[#This Row],[Saída 2]]-P132</f>
        <v/>
      </c>
      <c r="L132" s="169" t="inlineStr">
        <is>
          <t>Nesher</t>
        </is>
      </c>
      <c r="M132" s="169">
        <f>TabelaSobras8[[#This Row],[Estoque]]*5.8575</f>
        <v/>
      </c>
      <c r="N132" s="170">
        <f>335+356+1334</f>
        <v/>
      </c>
      <c r="O132" s="170" t="n">
        <v>880</v>
      </c>
      <c r="P132" s="170" t="n"/>
      <c r="Q132" s="8" t="inlineStr">
        <is>
          <t>N2509101|I2600202,I2600203|I2600603</t>
        </is>
      </c>
      <c r="R132" s="170" t="inlineStr">
        <is>
          <t>Yuri</t>
        </is>
      </c>
      <c r="S132" s="6" t="n">
        <v>45973</v>
      </c>
      <c r="T132" s="12">
        <f>INT(TODAY()-TabelaSobras8[[#This Row],[Data do
Registro inical]])</f>
        <v/>
      </c>
    </row>
    <row r="133" hidden="1">
      <c r="A133" s="170" t="inlineStr">
        <is>
          <t>N25079</t>
        </is>
      </c>
      <c r="B133" s="170">
        <f>VLOOKUP(LEFT(A133,1),Tabela5[],2,0)</f>
        <v/>
      </c>
      <c r="C133" s="170" t="inlineStr">
        <is>
          <t>EUCADUR NT - 2,5MM</t>
        </is>
      </c>
      <c r="D133" s="169" t="n">
        <v>987</v>
      </c>
      <c r="E133" s="169" t="n">
        <v>268</v>
      </c>
      <c r="F133" s="169">
        <f>TEXT(TabelaSobras8[[#This Row],[Comprimento 
Sobras (mm)]],0) &amp; " X " &amp; TEXT(E133,0)</f>
        <v/>
      </c>
      <c r="G133" s="170">
        <f>(TabelaSobras8[[#This Row],[Comprimento 
Sobras (mm)]]*E133/1000000)</f>
        <v/>
      </c>
      <c r="H133" s="170" t="n">
        <v>325</v>
      </c>
      <c r="I133" s="170">
        <f>IF(TabelaSobras8[[#This Row],[Estoque]]&lt;=$V$2,$U$4,$U$5)</f>
        <v/>
      </c>
      <c r="J133" s="170">
        <f>TabelaSobras8[[#This Row],[Quantidade de Sobra INICIAL]]-K133</f>
        <v/>
      </c>
      <c r="K133" s="29">
        <f>TabelaSobras8[[#This Row],[Quantidade de Sobra INICIAL]]-TabelaSobras8[[#This Row],[Saída]]-TabelaSobras8[[#This Row],[Saída 2]]-P133</f>
        <v/>
      </c>
      <c r="L133" s="169" t="inlineStr">
        <is>
          <t>Nesher</t>
        </is>
      </c>
      <c r="M133" s="169">
        <f>TabelaSobras8[[#This Row],[Estoque]]*5.8575</f>
        <v/>
      </c>
      <c r="N133" s="170" t="n">
        <v>325</v>
      </c>
      <c r="O133" s="170" t="n"/>
      <c r="P133" s="170" t="n"/>
      <c r="Q133" s="170" t="inlineStr">
        <is>
          <t>N26009</t>
        </is>
      </c>
      <c r="R133" s="170" t="inlineStr">
        <is>
          <t>Yuri</t>
        </is>
      </c>
      <c r="S133" s="6" t="n">
        <v>45917</v>
      </c>
      <c r="T133" s="12">
        <f>INT(TODAY()-TabelaSobras8[[#This Row],[Data do
Registro inical]])</f>
        <v/>
      </c>
    </row>
    <row r="134" hidden="1">
      <c r="A134" s="170" t="inlineStr">
        <is>
          <t>L</t>
        </is>
      </c>
      <c r="B134" s="170">
        <f>VLOOKUP(LEFT(A134,1),Tabela5[],2,0)</f>
        <v/>
      </c>
      <c r="C134" s="170" t="inlineStr">
        <is>
          <t>EUCADUR NT - 2,5MM</t>
        </is>
      </c>
      <c r="D134" s="169" t="n">
        <v>729</v>
      </c>
      <c r="E134" s="169" t="n">
        <v>398</v>
      </c>
      <c r="F134" s="169">
        <f>TEXT(TabelaSobras8[[#This Row],[Comprimento 
Sobras (mm)]],0) &amp; " X " &amp; TEXT(E134,0)</f>
        <v/>
      </c>
      <c r="G134" s="170">
        <f>(TabelaSobras8[[#This Row],[Comprimento 
Sobras (mm)]]*E134/1000000)</f>
        <v/>
      </c>
      <c r="H134" s="170" t="n">
        <v>410</v>
      </c>
      <c r="I134" s="170">
        <f>IF(TabelaSobras8[[#This Row],[Estoque]]&lt;=$V$2,$U$4,$U$5)</f>
        <v/>
      </c>
      <c r="J134" s="170">
        <f>TabelaSobras8[[#This Row],[Quantidade de Sobra INICIAL]]-K134</f>
        <v/>
      </c>
      <c r="K134" s="29">
        <f>TabelaSobras8[[#This Row],[Quantidade de Sobra INICIAL]]-TabelaSobras8[[#This Row],[Saída]]-TabelaSobras8[[#This Row],[Saída 2]]-P134</f>
        <v/>
      </c>
      <c r="L134" s="169" t="inlineStr">
        <is>
          <t>Nesher</t>
        </is>
      </c>
      <c r="M134" s="169">
        <f>TabelaSobras8[[#This Row],[Estoque]]*5.8575</f>
        <v/>
      </c>
      <c r="N134" s="170" t="n">
        <v>300</v>
      </c>
      <c r="O134" s="170" t="n">
        <v>110</v>
      </c>
      <c r="P134" s="170" t="n"/>
      <c r="Q134" s="170" t="inlineStr">
        <is>
          <t>REC N25092 | N25094</t>
        </is>
      </c>
      <c r="R134" s="170" t="inlineStr">
        <is>
          <t>Yuri</t>
        </is>
      </c>
      <c r="S134" s="6" t="n">
        <v>45981</v>
      </c>
      <c r="T134" s="12">
        <f>INT(TODAY()-TabelaSobras8[[#This Row],[Data do
Registro inical]])</f>
        <v/>
      </c>
    </row>
    <row r="135" hidden="1">
      <c r="A135" s="170" t="inlineStr">
        <is>
          <t>N25093</t>
        </is>
      </c>
      <c r="B135" s="170">
        <f>VLOOKUP(LEFT(A135,1),Tabela5[],2,0)</f>
        <v/>
      </c>
      <c r="C135" s="170" t="inlineStr">
        <is>
          <t>EUCADUR FRJ - 2,5MM</t>
        </is>
      </c>
      <c r="D135" s="169" t="n">
        <v>329</v>
      </c>
      <c r="E135" s="169" t="n">
        <v>398</v>
      </c>
      <c r="F135" s="169">
        <f>TEXT(TabelaSobras8[[#This Row],[Comprimento 
Sobras (mm)]],0) &amp; " X " &amp; TEXT(E135,0)</f>
        <v/>
      </c>
      <c r="G135" s="170">
        <f>(TabelaSobras8[[#This Row],[Comprimento 
Sobras (mm)]]*E135/1000000)</f>
        <v/>
      </c>
      <c r="H135" s="170" t="n">
        <v>466</v>
      </c>
      <c r="I135" s="170">
        <f>IF(TabelaSobras8[[#This Row],[Estoque]]&lt;=$V$2,$U$4,$U$5)</f>
        <v/>
      </c>
      <c r="J135" s="170">
        <f>TabelaSobras8[[#This Row],[Quantidade de Sobra INICIAL]]-K135</f>
        <v/>
      </c>
      <c r="K135" s="29">
        <f>TabelaSobras8[[#This Row],[Quantidade de Sobra INICIAL]]-TabelaSobras8[[#This Row],[Saída]]-TabelaSobras8[[#This Row],[Saída 2]]-P135</f>
        <v/>
      </c>
      <c r="L135" s="169" t="inlineStr">
        <is>
          <t>Nesher</t>
        </is>
      </c>
      <c r="M135" s="169">
        <f>TabelaSobras8[[#This Row],[Estoque]]*5.8575</f>
        <v/>
      </c>
      <c r="N135" s="170" t="n">
        <v>466</v>
      </c>
      <c r="O135" s="170" t="n"/>
      <c r="P135" s="170" t="n"/>
      <c r="Q135" s="170" t="inlineStr">
        <is>
          <t>I2600202,I2600203</t>
        </is>
      </c>
      <c r="R135" s="170" t="inlineStr">
        <is>
          <t>Yuri</t>
        </is>
      </c>
      <c r="S135" s="6" t="n">
        <v>45981</v>
      </c>
      <c r="T135" s="12">
        <f>INT(TODAY()-TabelaSobras8[[#This Row],[Data do
Registro inical]])</f>
        <v/>
      </c>
    </row>
    <row r="136" hidden="1">
      <c r="A136" s="170" t="inlineStr">
        <is>
          <t>L</t>
        </is>
      </c>
      <c r="B136" s="170">
        <f>VLOOKUP(LEFT(A136,1),Tabela5[],2,0)</f>
        <v/>
      </c>
      <c r="C136" s="170" t="inlineStr">
        <is>
          <t>EUCADUR NT - 2,5MM</t>
        </is>
      </c>
      <c r="D136" s="169" t="n">
        <v>695</v>
      </c>
      <c r="E136" s="169" t="n">
        <v>317</v>
      </c>
      <c r="F136" s="169">
        <f>TEXT(TabelaSobras8[[#This Row],[Comprimento 
Sobras (mm)]],0) &amp; " X " &amp; TEXT(E136,0)</f>
        <v/>
      </c>
      <c r="G136" s="170">
        <f>(TabelaSobras8[[#This Row],[Comprimento 
Sobras (mm)]]*E136/1000000)</f>
        <v/>
      </c>
      <c r="H136" s="170" t="n">
        <v>520</v>
      </c>
      <c r="I136" s="170">
        <f>IF(TabelaSobras8[[#This Row],[Estoque]]&lt;=$V$2,$U$4,$U$5)</f>
        <v/>
      </c>
      <c r="J136" s="170">
        <f>TabelaSobras8[[#This Row],[Quantidade de Sobra INICIAL]]-K136</f>
        <v/>
      </c>
      <c r="K136" s="29">
        <f>TabelaSobras8[[#This Row],[Quantidade de Sobra INICIAL]]-TabelaSobras8[[#This Row],[Saída]]-TabelaSobras8[[#This Row],[Saída 2]]-P136</f>
        <v/>
      </c>
      <c r="L136" s="169" t="inlineStr">
        <is>
          <t>Nesher</t>
        </is>
      </c>
      <c r="M136" s="169">
        <f>TabelaSobras8[[#This Row],[Estoque]]*5.8575</f>
        <v/>
      </c>
      <c r="N136" s="170" t="n">
        <v>344</v>
      </c>
      <c r="O136" s="170">
        <f>50+75+51</f>
        <v/>
      </c>
      <c r="P136" s="170" t="n"/>
      <c r="Q136" s="170" t="inlineStr">
        <is>
          <t>N25095|N2600401|N26006</t>
        </is>
      </c>
      <c r="R136" s="170" t="inlineStr">
        <is>
          <t>Yuri</t>
        </is>
      </c>
      <c r="S136" s="6" t="n">
        <v>45981</v>
      </c>
      <c r="T136" s="12">
        <f>INT(TODAY()-TabelaSobras8[[#This Row],[Data do
Registro inical]])</f>
        <v/>
      </c>
    </row>
    <row r="137" hidden="1">
      <c r="A137" s="170" t="inlineStr">
        <is>
          <t>L25071</t>
        </is>
      </c>
      <c r="B137" s="170">
        <f>VLOOKUP(LEFT(A137,1),Tabela5[],2,0)</f>
        <v/>
      </c>
      <c r="C137" s="170" t="inlineStr">
        <is>
          <t>EUCADUR NT - 2,5MM</t>
        </is>
      </c>
      <c r="D137" s="169" t="n">
        <v>1593</v>
      </c>
      <c r="E137" s="169" t="n">
        <v>368</v>
      </c>
      <c r="F137" s="169">
        <f>TEXT(TabelaSobras8[[#This Row],[Comprimento 
Sobras (mm)]],0) &amp; " X " &amp; TEXT(E137,0)</f>
        <v/>
      </c>
      <c r="G137" s="170">
        <f>(TabelaSobras8[[#This Row],[Comprimento 
Sobras (mm)]]*E137/1000000)</f>
        <v/>
      </c>
      <c r="H137" s="170" t="n">
        <v>300</v>
      </c>
      <c r="I137" s="170">
        <f>IF(TabelaSobras8[[#This Row],[Estoque]]&lt;=$V$2,$U$4,$U$5)</f>
        <v/>
      </c>
      <c r="J137" s="170">
        <f>TabelaSobras8[[#This Row],[Quantidade de Sobra INICIAL]]-K137</f>
        <v/>
      </c>
      <c r="K137" s="29">
        <f>TabelaSobras8[[#This Row],[Quantidade de Sobra INICIAL]]-TabelaSobras8[[#This Row],[Saída]]-TabelaSobras8[[#This Row],[Saída 2]]-P137</f>
        <v/>
      </c>
      <c r="L137" s="169" t="inlineStr">
        <is>
          <t>Líder</t>
        </is>
      </c>
      <c r="M137" s="169">
        <f>TabelaSobras8[[#This Row],[Estoque]]*5.8575</f>
        <v/>
      </c>
      <c r="N137" s="170" t="n">
        <v>300</v>
      </c>
      <c r="O137" s="170" t="n"/>
      <c r="P137" s="170" t="n"/>
      <c r="Q137" s="170" t="inlineStr">
        <is>
          <t>RECORTAR P 1593X329</t>
        </is>
      </c>
      <c r="R137" s="170" t="inlineStr">
        <is>
          <t>Yuri</t>
        </is>
      </c>
      <c r="S137" s="6" t="n">
        <v>45986</v>
      </c>
      <c r="T137" s="12">
        <f>INT(TODAY()-TabelaSobras8[[#This Row],[Data do
Registro inical]])</f>
        <v/>
      </c>
    </row>
    <row r="138" hidden="1">
      <c r="A138" s="170" t="inlineStr">
        <is>
          <t>L</t>
        </is>
      </c>
      <c r="B138" s="170">
        <f>VLOOKUP(LEFT(A138,1),Tabela5[],2,0)</f>
        <v/>
      </c>
      <c r="C138" s="170" t="inlineStr">
        <is>
          <t>EUCADUR NT - 2,5MM</t>
        </is>
      </c>
      <c r="D138" s="169" t="n">
        <v>600</v>
      </c>
      <c r="E138" s="169" t="n">
        <v>790</v>
      </c>
      <c r="F138" s="169">
        <f>TEXT(TabelaSobras8[[#This Row],[Comprimento 
Sobras (mm)]],0) &amp; " X " &amp; TEXT(E138,0)</f>
        <v/>
      </c>
      <c r="G138" s="170">
        <f>(TabelaSobras8[[#This Row],[Comprimento 
Sobras (mm)]]*E138/1000000)</f>
        <v/>
      </c>
      <c r="H138" s="170" t="n">
        <v>70</v>
      </c>
      <c r="I138" s="170">
        <f>IF(TabelaSobras8[[#This Row],[Estoque]]&lt;=$V$2,$U$4,$U$5)</f>
        <v/>
      </c>
      <c r="J138" s="170">
        <f>TabelaSobras8[[#This Row],[Quantidade de Sobra INICIAL]]-K138</f>
        <v/>
      </c>
      <c r="K138" s="29">
        <f>TabelaSobras8[[#This Row],[Quantidade de Sobra INICIAL]]-TabelaSobras8[[#This Row],[Saída]]-TabelaSobras8[[#This Row],[Saída 2]]-P138</f>
        <v/>
      </c>
      <c r="L138" s="169" t="inlineStr">
        <is>
          <t>Líder</t>
        </is>
      </c>
      <c r="M138" s="169">
        <f>TabelaSobras8[[#This Row],[Estoque]]*5.8575</f>
        <v/>
      </c>
      <c r="N138" s="170" t="n">
        <v>70</v>
      </c>
      <c r="O138" s="170" t="n"/>
      <c r="P138" s="170" t="n"/>
      <c r="Q138" s="170" t="inlineStr">
        <is>
          <t>L2600103</t>
        </is>
      </c>
      <c r="R138" s="170" t="inlineStr">
        <is>
          <t>Yuri</t>
        </is>
      </c>
      <c r="S138" s="6" t="n">
        <v>45973</v>
      </c>
      <c r="T138" s="12">
        <f>INT(TODAY()-TabelaSobras8[[#This Row],[Data do
Registro inical]])</f>
        <v/>
      </c>
    </row>
    <row r="139" hidden="1">
      <c r="A139" s="170" t="inlineStr">
        <is>
          <t>N</t>
        </is>
      </c>
      <c r="B139" s="170">
        <f>VLOOKUP(LEFT(A139,1),Tabela5[],2,0)</f>
        <v/>
      </c>
      <c r="C139" s="170" t="n"/>
      <c r="D139" s="169" t="n"/>
      <c r="E139" s="169" t="n"/>
      <c r="F139" s="169">
        <f>TEXT(TabelaSobras8[[#This Row],[Comprimento 
Sobras (mm)]],0) &amp; " X " &amp; TEXT(E139,0)</f>
        <v/>
      </c>
      <c r="G139" s="170">
        <f>(TabelaSobras8[[#This Row],[Comprimento 
Sobras (mm)]]*E139/1000000)</f>
        <v/>
      </c>
      <c r="H139" s="170" t="n"/>
      <c r="I139" s="170">
        <f>IF(TabelaSobras8[[#This Row],[Estoque]]&lt;=$V$2,$U$4,$U$5)</f>
        <v/>
      </c>
      <c r="J139" s="170">
        <f>TabelaSobras8[[#This Row],[Quantidade de Sobra INICIAL]]-K139</f>
        <v/>
      </c>
      <c r="K139" s="29">
        <f>TabelaSobras8[[#This Row],[Quantidade de Sobra INICIAL]]-TabelaSobras8[[#This Row],[Saída]]-TabelaSobras8[[#This Row],[Saída 2]]-P139</f>
        <v/>
      </c>
      <c r="L139" s="169" t="n"/>
      <c r="M139" s="169">
        <f>TabelaSobras8[[#This Row],[Estoque]]*5.8575</f>
        <v/>
      </c>
      <c r="N139" s="170" t="n"/>
      <c r="O139" s="170" t="n"/>
      <c r="P139" s="170" t="n"/>
      <c r="Q139" s="170" t="n"/>
      <c r="R139" s="170" t="n"/>
      <c r="S139" s="6" t="n"/>
      <c r="T139" s="12">
        <f>INT(TODAY()-TabelaSobras8[[#This Row],[Data do
Registro inical]])</f>
        <v/>
      </c>
    </row>
    <row r="140" hidden="1">
      <c r="A140" s="170" t="inlineStr">
        <is>
          <t>N</t>
        </is>
      </c>
      <c r="B140" s="170">
        <f>VLOOKUP(LEFT(A140,1),Tabela5[],2,0)</f>
        <v/>
      </c>
      <c r="C140" s="170" t="inlineStr">
        <is>
          <t>EUCADUR FRJ - 2,5MM</t>
        </is>
      </c>
      <c r="D140" s="169" t="n">
        <v>695</v>
      </c>
      <c r="E140" s="169" t="n">
        <v>330</v>
      </c>
      <c r="F140" s="169">
        <f>TEXT(TabelaSobras8[[#This Row],[Comprimento 
Sobras (mm)]],0) &amp; " X " &amp; TEXT(E140,0)</f>
        <v/>
      </c>
      <c r="G140" s="170">
        <f>(TabelaSobras8[[#This Row],[Comprimento 
Sobras (mm)]]*E140/1000000)</f>
        <v/>
      </c>
      <c r="H140" s="170">
        <f>475+130+75</f>
        <v/>
      </c>
      <c r="I140" s="170">
        <f>IF(TabelaSobras8[[#This Row],[Estoque]]&lt;=$V$2,$U$4,$U$5)</f>
        <v/>
      </c>
      <c r="J140" s="170">
        <f>TabelaSobras8[[#This Row],[Quantidade de Sobra INICIAL]]-K140</f>
        <v/>
      </c>
      <c r="K140" s="29">
        <f>TabelaSobras8[[#This Row],[Quantidade de Sobra INICIAL]]-TabelaSobras8[[#This Row],[Saída]]-TabelaSobras8[[#This Row],[Saída 2]]-P140</f>
        <v/>
      </c>
      <c r="L140" s="169" t="inlineStr">
        <is>
          <t>Nesher</t>
        </is>
      </c>
      <c r="M140" s="169">
        <f>TabelaSobras8[[#This Row],[Estoque]]*5.8575</f>
        <v/>
      </c>
      <c r="N140" s="170" t="n">
        <v>230</v>
      </c>
      <c r="O140" s="170" t="n">
        <v>450</v>
      </c>
      <c r="P140" s="170" t="n"/>
      <c r="Q140" s="170" t="inlineStr">
        <is>
          <t>I2600107|I2600602</t>
        </is>
      </c>
      <c r="R140" s="170" t="inlineStr">
        <is>
          <t>Yuri</t>
        </is>
      </c>
      <c r="S140" s="6" t="n">
        <v>45993</v>
      </c>
      <c r="T140" s="12">
        <f>INT(TODAY()-TabelaSobras8[[#This Row],[Data do
Registro inical]])</f>
        <v/>
      </c>
    </row>
    <row r="141" hidden="1">
      <c r="A141" s="170" t="inlineStr">
        <is>
          <t>L</t>
        </is>
      </c>
      <c r="B141" s="170">
        <f>VLOOKUP(LEFT(A141,1),Tabela5[],2,0)</f>
        <v/>
      </c>
      <c r="C141" s="170" t="inlineStr">
        <is>
          <t>EUCADUR NT - 2,5MM</t>
        </is>
      </c>
      <c r="D141" s="169" t="n">
        <v>528</v>
      </c>
      <c r="E141" s="169" t="n">
        <v>398</v>
      </c>
      <c r="F141" s="169">
        <f>TEXT(TabelaSobras8[[#This Row],[Comprimento 
Sobras (mm)]],0) &amp; " X " &amp; TEXT(E141,0)</f>
        <v/>
      </c>
      <c r="G141" s="170">
        <f>(TabelaSobras8[[#This Row],[Comprimento 
Sobras (mm)]]*E141/1000000)</f>
        <v/>
      </c>
      <c r="H141" s="170" t="n">
        <v>300</v>
      </c>
      <c r="I141" s="170">
        <f>IF(TabelaSobras8[[#This Row],[Estoque]]&lt;=$V$2,$U$4,$U$5)</f>
        <v/>
      </c>
      <c r="J141" s="170">
        <f>TabelaSobras8[[#This Row],[Quantidade de Sobra INICIAL]]-K141</f>
        <v/>
      </c>
      <c r="K141" s="29">
        <f>TabelaSobras8[[#This Row],[Quantidade de Sobra INICIAL]]-TabelaSobras8[[#This Row],[Saída]]-TabelaSobras8[[#This Row],[Saída 2]]-P141</f>
        <v/>
      </c>
      <c r="L141" s="169" t="inlineStr">
        <is>
          <t>Nesher</t>
        </is>
      </c>
      <c r="M141" s="169">
        <f>TabelaSobras8[[#This Row],[Estoque]]*5.8575</f>
        <v/>
      </c>
      <c r="N141" s="170" t="n">
        <v>300</v>
      </c>
      <c r="O141" s="170" t="n"/>
      <c r="P141" s="170" t="n"/>
      <c r="Q141" s="42" t="inlineStr">
        <is>
          <t>N2509403-06</t>
        </is>
      </c>
      <c r="R141" s="170" t="inlineStr">
        <is>
          <t>Yuri</t>
        </is>
      </c>
      <c r="S141" s="6" t="n">
        <v>45995</v>
      </c>
      <c r="T141" s="12">
        <f>INT(TODAY()-TabelaSobras8[[#This Row],[Data do
Registro inical]])</f>
        <v/>
      </c>
    </row>
    <row r="142">
      <c r="A142" s="170" t="inlineStr">
        <is>
          <t>L</t>
        </is>
      </c>
      <c r="B142" s="170">
        <f>VLOOKUP(LEFT(A142,1),Tabela5[],2,0)</f>
        <v/>
      </c>
      <c r="C142" s="170" t="inlineStr">
        <is>
          <t>EUCADUR FRJ - 2,5MM</t>
        </is>
      </c>
      <c r="D142" s="169" t="n">
        <v>1195</v>
      </c>
      <c r="E142" s="169" t="n">
        <v>170</v>
      </c>
      <c r="F142" s="169">
        <f>TEXT(TabelaSobras8[[#This Row],[Comprimento 
Sobras (mm)]],0) &amp; " X " &amp; TEXT(E142,0)</f>
        <v/>
      </c>
      <c r="G142" s="170">
        <f>(TabelaSobras8[[#This Row],[Comprimento 
Sobras (mm)]]*E142/1000000)</f>
        <v/>
      </c>
      <c r="H142" s="170">
        <f>810+375+68</f>
        <v/>
      </c>
      <c r="I142" s="170">
        <f>IF(TabelaSobras8[[#This Row],[Estoque]]&lt;=$V$2,$U$4,$U$5)</f>
        <v/>
      </c>
      <c r="J142" s="170">
        <f>TabelaSobras8[[#This Row],[Quantidade de Sobra INICIAL]]-K142</f>
        <v/>
      </c>
      <c r="K142" s="29">
        <f>TabelaSobras8[[#This Row],[Quantidade de Sobra INICIAL]]-TabelaSobras8[[#This Row],[Saída]]-TabelaSobras8[[#This Row],[Saída 2]]-P142</f>
        <v/>
      </c>
      <c r="L142" s="169" t="inlineStr">
        <is>
          <t>Nesher</t>
        </is>
      </c>
      <c r="M142" s="169">
        <f>TabelaSobras8[[#This Row],[Estoque]]*5.8575</f>
        <v/>
      </c>
      <c r="N142" s="170" t="n">
        <v>400</v>
      </c>
      <c r="O142" s="170" t="n">
        <v>220</v>
      </c>
      <c r="P142" s="170" t="n"/>
      <c r="Q142" s="170" t="inlineStr">
        <is>
          <t>N26016</t>
        </is>
      </c>
      <c r="R142" s="170" t="inlineStr">
        <is>
          <t>Yuri</t>
        </is>
      </c>
      <c r="S142" s="6" t="n">
        <v>45995</v>
      </c>
      <c r="T142" s="12">
        <f>INT(TODAY()-TabelaSobras8[[#This Row],[Data do
Registro inical]])</f>
        <v/>
      </c>
    </row>
    <row r="143" hidden="1" ht="28.8" customHeight="1">
      <c r="A143" s="170" t="inlineStr">
        <is>
          <t>L</t>
        </is>
      </c>
      <c r="B143" s="170">
        <f>VLOOKUP(LEFT(A143,1),Tabela5[],2,0)</f>
        <v/>
      </c>
      <c r="C143" s="170" t="inlineStr">
        <is>
          <t>EUCADUR NT - 2,5MM</t>
        </is>
      </c>
      <c r="D143" s="169" t="n">
        <v>695</v>
      </c>
      <c r="E143" s="169" t="n">
        <v>509</v>
      </c>
      <c r="F143" s="169">
        <f>TEXT(TabelaSobras8[[#This Row],[Comprimento 
Sobras (mm)]],0) &amp; " X " &amp; TEXT(E143,0)</f>
        <v/>
      </c>
      <c r="G143" s="170">
        <f>(TabelaSobras8[[#This Row],[Comprimento 
Sobras (mm)]]*E143/1000000)</f>
        <v/>
      </c>
      <c r="H143" s="170" t="n">
        <v>690</v>
      </c>
      <c r="I143" s="170">
        <f>IF(TabelaSobras8[[#This Row],[Estoque]]&lt;=$V$2,$U$4,$U$5)</f>
        <v/>
      </c>
      <c r="J143" s="170">
        <f>TabelaSobras8[[#This Row],[Quantidade de Sobra INICIAL]]-K143</f>
        <v/>
      </c>
      <c r="K143" s="29">
        <f>TabelaSobras8[[#This Row],[Quantidade de Sobra INICIAL]]-TabelaSobras8[[#This Row],[Saída]]-TabelaSobras8[[#This Row],[Saída 2]]-P143</f>
        <v/>
      </c>
      <c r="L143" s="169" t="inlineStr">
        <is>
          <t>Nesher</t>
        </is>
      </c>
      <c r="M143" s="169">
        <f>TabelaSobras8[[#This Row],[Estoque]]*5.8575</f>
        <v/>
      </c>
      <c r="N143" s="170" t="n">
        <v>320</v>
      </c>
      <c r="O143" s="170" t="n">
        <v>370</v>
      </c>
      <c r="P143" s="170" t="n"/>
      <c r="Q143" s="8" t="inlineStr">
        <is>
          <t>370 para I2600504|M2600701</t>
        </is>
      </c>
      <c r="R143" s="170" t="inlineStr">
        <is>
          <t>Yuri</t>
        </is>
      </c>
      <c r="S143" s="6" t="n">
        <v>45981</v>
      </c>
      <c r="T143" s="12">
        <f>INT(TODAY()-TabelaSobras8[[#This Row],[Data do
Registro inical]])</f>
        <v/>
      </c>
    </row>
    <row r="144" hidden="1">
      <c r="A144" s="170" t="inlineStr">
        <is>
          <t>L</t>
        </is>
      </c>
      <c r="B144" s="170">
        <f>VLOOKUP(LEFT(A144,1),Tabela5[],2,0)</f>
        <v/>
      </c>
      <c r="C144" s="170" t="inlineStr">
        <is>
          <t>EUCADUR NT - 2,5MM</t>
        </is>
      </c>
      <c r="D144" s="169" t="n">
        <v>795</v>
      </c>
      <c r="E144" s="169" t="n">
        <v>317</v>
      </c>
      <c r="F144" s="169">
        <f>TEXT(TabelaSobras8[[#This Row],[Comprimento 
Sobras (mm)]],0) &amp; " X " &amp; TEXT(E144,0)</f>
        <v/>
      </c>
      <c r="G144" s="170">
        <f>(TabelaSobras8[[#This Row],[Comprimento 
Sobras (mm)]]*E144/1000000)</f>
        <v/>
      </c>
      <c r="H144" s="170" t="n">
        <v>289</v>
      </c>
      <c r="I144" s="170">
        <f>IF(TabelaSobras8[[#This Row],[Estoque]]&lt;=$V$2,$U$4,$U$5)</f>
        <v/>
      </c>
      <c r="J144" s="170">
        <f>TabelaSobras8[[#This Row],[Quantidade de Sobra INICIAL]]-K144</f>
        <v/>
      </c>
      <c r="K144" s="29">
        <f>TabelaSobras8[[#This Row],[Quantidade de Sobra INICIAL]]-TabelaSobras8[[#This Row],[Saída]]-TabelaSobras8[[#This Row],[Saída 2]]-P144</f>
        <v/>
      </c>
      <c r="L144" s="169" t="inlineStr">
        <is>
          <t>Nesher</t>
        </is>
      </c>
      <c r="M144" s="169">
        <f>TabelaSobras8[[#This Row],[Estoque]]*5.8575</f>
        <v/>
      </c>
      <c r="N144" s="170" t="n">
        <v>236</v>
      </c>
      <c r="O144" s="170" t="n">
        <v>53</v>
      </c>
      <c r="P144" s="170" t="n"/>
      <c r="Q144" s="49" t="inlineStr">
        <is>
          <t>N2509501|N26017</t>
        </is>
      </c>
      <c r="R144" s="170" t="inlineStr">
        <is>
          <t>Yuri</t>
        </is>
      </c>
      <c r="S144" s="6" t="n">
        <v>46027</v>
      </c>
      <c r="T144" s="12">
        <f>INT(TODAY()-TabelaSobras8[[#This Row],[Data do
Registro inical]])</f>
        <v/>
      </c>
    </row>
    <row r="145" hidden="1">
      <c r="A145" s="170" t="inlineStr">
        <is>
          <t>L</t>
        </is>
      </c>
      <c r="B145" s="170">
        <f>VLOOKUP(LEFT(A145,1),Tabela5[],2,0)</f>
        <v/>
      </c>
      <c r="C145" s="170" t="inlineStr">
        <is>
          <t>EUCADUR NT - 2,5MM</t>
        </is>
      </c>
      <c r="D145" s="169" t="n">
        <v>695</v>
      </c>
      <c r="E145" s="169" t="n">
        <v>404</v>
      </c>
      <c r="F145" s="169">
        <f>TEXT(TabelaSobras8[[#This Row],[Comprimento 
Sobras (mm)]],0) &amp; " X " &amp; TEXT(E145,0)</f>
        <v/>
      </c>
      <c r="G145" s="170">
        <f>(TabelaSobras8[[#This Row],[Comprimento 
Sobras (mm)]]*E145/1000000)</f>
        <v/>
      </c>
      <c r="H145" s="170" t="n">
        <v>524</v>
      </c>
      <c r="I145" s="170">
        <f>IF(TabelaSobras8[[#This Row],[Estoque]]&lt;=$V$2,$U$4,$U$5)</f>
        <v/>
      </c>
      <c r="J145" s="170">
        <f>TabelaSobras8[[#This Row],[Quantidade de Sobra INICIAL]]-K145</f>
        <v/>
      </c>
      <c r="K145" s="29">
        <f>TabelaSobras8[[#This Row],[Quantidade de Sobra INICIAL]]-TabelaSobras8[[#This Row],[Saída]]-TabelaSobras8[[#This Row],[Saída 2]]-P145</f>
        <v/>
      </c>
      <c r="L145" s="169" t="inlineStr">
        <is>
          <t>Nesher</t>
        </is>
      </c>
      <c r="M145" s="169">
        <f>TabelaSobras8[[#This Row],[Estoque]]*5.8575</f>
        <v/>
      </c>
      <c r="N145" s="170" t="n">
        <v>524</v>
      </c>
      <c r="O145" s="170" t="n"/>
      <c r="P145" s="170" t="n"/>
      <c r="Q145" s="170" t="inlineStr">
        <is>
          <t>I2600703</t>
        </is>
      </c>
      <c r="R145" s="170" t="inlineStr">
        <is>
          <t>Yuri</t>
        </is>
      </c>
      <c r="S145" s="6" t="n">
        <v>46027</v>
      </c>
      <c r="T145" s="12">
        <f>INT(TODAY()-TabelaSobras8[[#This Row],[Data do
Registro inical]])</f>
        <v/>
      </c>
    </row>
    <row r="146" hidden="1">
      <c r="A146" s="170" t="inlineStr">
        <is>
          <t>L</t>
        </is>
      </c>
      <c r="B146" s="170">
        <f>VLOOKUP(LEFT(A146,1),Tabela5[],2,0)</f>
        <v/>
      </c>
      <c r="C146" s="170" t="inlineStr">
        <is>
          <t>EUCADUR NT - 2,5MM</t>
        </is>
      </c>
      <c r="D146" s="169" t="n">
        <v>520</v>
      </c>
      <c r="E146" s="169" t="n">
        <v>398</v>
      </c>
      <c r="F146" s="169">
        <f>TEXT(TabelaSobras8[[#This Row],[Comprimento 
Sobras (mm)]],0) &amp; " X " &amp; TEXT(E146,0)</f>
        <v/>
      </c>
      <c r="G146" s="170">
        <f>(TabelaSobras8[[#This Row],[Comprimento 
Sobras (mm)]]*E146/1000000)</f>
        <v/>
      </c>
      <c r="H146" s="170" t="n">
        <v>16</v>
      </c>
      <c r="I146" s="170">
        <f>IF(TabelaSobras8[[#This Row],[Estoque]]&lt;=$V$2,$U$4,$U$5)</f>
        <v/>
      </c>
      <c r="J146" s="170">
        <f>TabelaSobras8[[#This Row],[Quantidade de Sobra INICIAL]]-K146</f>
        <v/>
      </c>
      <c r="K146" s="29">
        <f>TabelaSobras8[[#This Row],[Quantidade de Sobra INICIAL]]-TabelaSobras8[[#This Row],[Saída]]-TabelaSobras8[[#This Row],[Saída 2]]-P146</f>
        <v/>
      </c>
      <c r="L146" s="169" t="inlineStr">
        <is>
          <t>Nesher</t>
        </is>
      </c>
      <c r="M146" s="169">
        <f>TabelaSobras8[[#This Row],[Estoque]]*5.8575</f>
        <v/>
      </c>
      <c r="N146" s="170" t="n">
        <v>16</v>
      </c>
      <c r="O146" s="170" t="n"/>
      <c r="P146" s="170" t="n"/>
      <c r="Q146" s="170" t="inlineStr">
        <is>
          <t>N2509502</t>
        </is>
      </c>
      <c r="R146" s="170" t="inlineStr">
        <is>
          <t>Yuri</t>
        </is>
      </c>
      <c r="S146" s="6" t="n">
        <v>46027</v>
      </c>
      <c r="T146" s="12">
        <f>INT(TODAY()-TabelaSobras8[[#This Row],[Data do
Registro inical]])</f>
        <v/>
      </c>
    </row>
    <row r="147" hidden="1">
      <c r="A147" s="170" t="inlineStr">
        <is>
          <t>N</t>
        </is>
      </c>
      <c r="B147" s="170">
        <f>VLOOKUP(LEFT(A147,1),Tabela5[],2,0)</f>
        <v/>
      </c>
      <c r="C147" s="170" t="inlineStr">
        <is>
          <t>EUCADUR FRJ - 2,5MM</t>
        </is>
      </c>
      <c r="D147" s="169" t="n">
        <v>695</v>
      </c>
      <c r="E147" s="169" t="n">
        <v>285</v>
      </c>
      <c r="F147" s="169">
        <f>TEXT(TabelaSobras8[[#This Row],[Comprimento 
Sobras (mm)]],0) &amp; " X " &amp; TEXT(E147,0)</f>
        <v/>
      </c>
      <c r="G147" s="170">
        <f>(TabelaSobras8[[#This Row],[Comprimento 
Sobras (mm)]]*E147/1000000)</f>
        <v/>
      </c>
      <c r="H147" s="170" t="n">
        <v>132</v>
      </c>
      <c r="I147" s="170">
        <f>IF(TabelaSobras8[[#This Row],[Estoque]]&lt;=$V$2,$U$4,$U$5)</f>
        <v/>
      </c>
      <c r="J147" s="170">
        <f>TabelaSobras8[[#This Row],[Quantidade de Sobra INICIAL]]-K147</f>
        <v/>
      </c>
      <c r="K147" s="29">
        <f>TabelaSobras8[[#This Row],[Quantidade de Sobra INICIAL]]-TabelaSobras8[[#This Row],[Saída]]-TabelaSobras8[[#This Row],[Saída 2]]-P147</f>
        <v/>
      </c>
      <c r="L147" s="169" t="inlineStr">
        <is>
          <t>Nesher</t>
        </is>
      </c>
      <c r="M147" s="169">
        <f>TabelaSobras8[[#This Row],[Estoque]]*5.8575</f>
        <v/>
      </c>
      <c r="N147" s="170" t="n">
        <v>132</v>
      </c>
      <c r="O147" s="170" t="n"/>
      <c r="P147" s="170" t="n"/>
      <c r="Q147" s="170" t="inlineStr">
        <is>
          <t>N26016</t>
        </is>
      </c>
      <c r="R147" s="170" t="inlineStr">
        <is>
          <t>Yuri</t>
        </is>
      </c>
      <c r="S147" s="6" t="n">
        <v>46027</v>
      </c>
      <c r="T147" s="12">
        <f>INT(TODAY()-TabelaSobras8[[#This Row],[Data do
Registro inical]])</f>
        <v/>
      </c>
    </row>
    <row r="148" hidden="1">
      <c r="A148" s="170" t="inlineStr">
        <is>
          <t>L</t>
        </is>
      </c>
      <c r="B148" s="170">
        <f>VLOOKUP(LEFT(A148,1),Tabela5[],2,0)</f>
        <v/>
      </c>
      <c r="C148" s="170" t="inlineStr">
        <is>
          <t>EUCADUR NT - 2,5MM</t>
        </is>
      </c>
      <c r="D148" s="169" t="n">
        <v>600</v>
      </c>
      <c r="E148" s="169" t="n">
        <v>400</v>
      </c>
      <c r="F148" s="169">
        <f>TEXT(TabelaSobras8[[#This Row],[Comprimento 
Sobras (mm)]],0) &amp; " X " &amp; TEXT(E148,0)</f>
        <v/>
      </c>
      <c r="G148" s="170">
        <f>(TabelaSobras8[[#This Row],[Comprimento 
Sobras (mm)]]*E148/1000000)</f>
        <v/>
      </c>
      <c r="H148" s="170" t="n">
        <v>50</v>
      </c>
      <c r="I148" s="170">
        <f>IF(TabelaSobras8[[#This Row],[Estoque]]&lt;=$V$2,$U$4,$U$5)</f>
        <v/>
      </c>
      <c r="J148" s="170">
        <f>TabelaSobras8[[#This Row],[Quantidade de Sobra INICIAL]]-K148</f>
        <v/>
      </c>
      <c r="K148" s="29">
        <f>TabelaSobras8[[#This Row],[Quantidade de Sobra INICIAL]]-TabelaSobras8[[#This Row],[Saída]]-TabelaSobras8[[#This Row],[Saída 2]]-P148</f>
        <v/>
      </c>
      <c r="L148" s="169" t="inlineStr">
        <is>
          <t>Líder</t>
        </is>
      </c>
      <c r="M148" s="169">
        <f>TabelaSobras8[[#This Row],[Estoque]]*5.8575</f>
        <v/>
      </c>
      <c r="N148" s="170" t="n">
        <v>50</v>
      </c>
      <c r="O148" s="170" t="n"/>
      <c r="P148" s="170" t="n"/>
      <c r="Q148" s="170" t="inlineStr">
        <is>
          <t>RECORTAR P/ 577X398 - U26001</t>
        </is>
      </c>
      <c r="R148" s="170" t="inlineStr">
        <is>
          <t>Yuri</t>
        </is>
      </c>
      <c r="S148" s="6" t="n">
        <v>46029</v>
      </c>
      <c r="T148" s="12">
        <f>INT(TODAY()-TabelaSobras8[[#This Row],[Data do
Registro inical]])</f>
        <v/>
      </c>
    </row>
    <row r="149" hidden="1">
      <c r="A149" s="170" t="inlineStr">
        <is>
          <t>L</t>
        </is>
      </c>
      <c r="B149" s="170">
        <f>VLOOKUP(LEFT(A149,1),Tabela5[],2,0)</f>
        <v/>
      </c>
      <c r="C149" s="170" t="inlineStr">
        <is>
          <t>EUCADUR NT - 2,5MM</t>
        </is>
      </c>
      <c r="D149" s="169" t="n">
        <v>987</v>
      </c>
      <c r="E149" s="169" t="n">
        <v>395</v>
      </c>
      <c r="F149" s="169">
        <f>TEXT(TabelaSobras8[[#This Row],[Comprimento 
Sobras (mm)]],0) &amp; " X " &amp; TEXT(E149,0)</f>
        <v/>
      </c>
      <c r="G149" s="170">
        <f>(TabelaSobras8[[#This Row],[Comprimento 
Sobras (mm)]]*E149/1000000)</f>
        <v/>
      </c>
      <c r="H149" s="170" t="n">
        <v>360</v>
      </c>
      <c r="I149" s="170">
        <f>IF(TabelaSobras8[[#This Row],[Estoque]]&lt;=$V$2,$U$4,$U$5)</f>
        <v/>
      </c>
      <c r="J149" s="170">
        <f>TabelaSobras8[[#This Row],[Quantidade de Sobra INICIAL]]-K149</f>
        <v/>
      </c>
      <c r="K149" s="29">
        <f>TabelaSobras8[[#This Row],[Quantidade de Sobra INICIAL]]-TabelaSobras8[[#This Row],[Saída]]-TabelaSobras8[[#This Row],[Saída 2]]-P149</f>
        <v/>
      </c>
      <c r="L149" s="169" t="inlineStr">
        <is>
          <t>Líder</t>
        </is>
      </c>
      <c r="M149" s="169">
        <f>TabelaSobras8[[#This Row],[Estoque]]*5.8575</f>
        <v/>
      </c>
      <c r="N149" s="170" t="n">
        <v>360</v>
      </c>
      <c r="O149" s="170" t="n"/>
      <c r="P149" s="170" t="n"/>
      <c r="Q149" s="170" t="inlineStr">
        <is>
          <t>L26001</t>
        </is>
      </c>
      <c r="R149" s="170" t="inlineStr">
        <is>
          <t>Yuri</t>
        </is>
      </c>
      <c r="S149" s="6" t="n">
        <v>46006</v>
      </c>
      <c r="T149" s="12">
        <f>INT(TODAY()-TabelaSobras8[[#This Row],[Data do
Registro inical]])</f>
        <v/>
      </c>
    </row>
    <row r="150" hidden="1">
      <c r="A150" s="170" t="inlineStr">
        <is>
          <t>N26002</t>
        </is>
      </c>
      <c r="B150" s="170">
        <f>VLOOKUP(LEFT(A150,1),Tabela5[],2,0)</f>
        <v/>
      </c>
      <c r="C150" s="170" t="inlineStr">
        <is>
          <t>EUCADUR NT - 2,5MM</t>
        </is>
      </c>
      <c r="D150" s="169" t="n">
        <v>695</v>
      </c>
      <c r="E150" s="169" t="n">
        <v>465</v>
      </c>
      <c r="F150" s="169">
        <f>TEXT(TabelaSobras8[[#This Row],[Comprimento 
Sobras (mm)]],0) &amp; " X " &amp; TEXT(E150,0)</f>
        <v/>
      </c>
      <c r="G150" s="170">
        <f>(TabelaSobras8[[#This Row],[Comprimento 
Sobras (mm)]]*E150/1000000)</f>
        <v/>
      </c>
      <c r="H150" s="170" t="n">
        <v>144</v>
      </c>
      <c r="I150" s="170">
        <f>IF(TabelaSobras8[[#This Row],[Estoque]]&lt;=$V$2,$U$4,$U$5)</f>
        <v/>
      </c>
      <c r="J150" s="170">
        <f>TabelaSobras8[[#This Row],[Quantidade de Sobra INICIAL]]-K150</f>
        <v/>
      </c>
      <c r="K150" s="29">
        <f>TabelaSobras8[[#This Row],[Quantidade de Sobra INICIAL]]-TabelaSobras8[[#This Row],[Saída]]-TabelaSobras8[[#This Row],[Saída 2]]-P150</f>
        <v/>
      </c>
      <c r="L150" s="169" t="inlineStr">
        <is>
          <t>Nesher</t>
        </is>
      </c>
      <c r="M150" s="169">
        <f>TabelaSobras8[[#This Row],[Estoque]]*5.8575</f>
        <v/>
      </c>
      <c r="N150" s="170" t="n">
        <v>144</v>
      </c>
      <c r="O150" s="170" t="n"/>
      <c r="P150" s="170" t="n"/>
      <c r="Q150" s="49" t="inlineStr">
        <is>
          <t>REC NO N26008</t>
        </is>
      </c>
      <c r="R150" s="170" t="inlineStr">
        <is>
          <t>Yuri</t>
        </is>
      </c>
      <c r="S150" s="6" t="n">
        <v>46041</v>
      </c>
      <c r="T150" s="12">
        <f>INT(TODAY()-TabelaSobras8[[#This Row],[Data do
Registro inical]])</f>
        <v/>
      </c>
    </row>
    <row r="151" hidden="1" ht="72" customHeight="1">
      <c r="A151" s="8" t="inlineStr">
        <is>
          <t>N2600206-07 REAL PREMIUM | N26014 |N26015 E 16 | N2601904-03 | I26007</t>
        </is>
      </c>
      <c r="B151" s="170">
        <f>VLOOKUP(LEFT(A151,1),Tabela5[],2,0)</f>
        <v/>
      </c>
      <c r="C151" s="170" t="inlineStr">
        <is>
          <t>EUCADUR NT - 2,5MM</t>
        </is>
      </c>
      <c r="D151" s="169" t="n">
        <v>795</v>
      </c>
      <c r="E151" s="169" t="n">
        <v>272</v>
      </c>
      <c r="F151" s="169">
        <f>TEXT(TabelaSobras8[[#This Row],[Comprimento 
Sobras (mm)]],0) &amp; " X " &amp; TEXT(E151,0)</f>
        <v/>
      </c>
      <c r="G151" s="170">
        <f>(TabelaSobras8[[#This Row],[Comprimento 
Sobras (mm)]]*E151/1000000)</f>
        <v/>
      </c>
      <c r="H151" s="170">
        <f>45+69+28+123+215+225</f>
        <v/>
      </c>
      <c r="I151" s="170">
        <f>IF(TabelaSobras8[[#This Row],[Estoque]]&lt;=$V$2,$U$4,$U$5)</f>
        <v/>
      </c>
      <c r="J151" s="170">
        <f>TabelaSobras8[[#This Row],[Quantidade de Sobra INICIAL]]-K151</f>
        <v/>
      </c>
      <c r="K151" s="29">
        <f>TabelaSobras8[[#This Row],[Quantidade de Sobra INICIAL]]-TabelaSobras8[[#This Row],[Saída]]-TabelaSobras8[[#This Row],[Saída 2]]-P151</f>
        <v/>
      </c>
      <c r="L151" s="169" t="inlineStr">
        <is>
          <t>Nesher</t>
        </is>
      </c>
      <c r="M151" s="169">
        <f>TabelaSobras8[[#This Row],[Estoque]]*5.8575</f>
        <v/>
      </c>
      <c r="N151" s="170" t="n">
        <v>705</v>
      </c>
      <c r="O151" s="170" t="n"/>
      <c r="P151" s="170" t="n"/>
      <c r="Q151" s="91" t="inlineStr">
        <is>
          <t>REAL PREMIUM
N2601806,N2601808</t>
        </is>
      </c>
      <c r="R151" s="170" t="inlineStr">
        <is>
          <t>Yuri</t>
        </is>
      </c>
      <c r="S151" s="6" t="n">
        <v>46048</v>
      </c>
      <c r="T151" s="12">
        <f>INT(TODAY()-TabelaSobras8[[#This Row],[Data do
Registro inical]])</f>
        <v/>
      </c>
    </row>
    <row r="152" hidden="1" ht="86.40000000000001" customHeight="1">
      <c r="A152" s="8" t="inlineStr">
        <is>
          <t>N2600206-07 REAL PREMIUM | N26014 | N2601603 | N26015 |N2601904-03</t>
        </is>
      </c>
      <c r="B152" s="170">
        <f>VLOOKUP(LEFT(A152,1),Tabela5[],2,0)</f>
        <v/>
      </c>
      <c r="C152" s="170" t="inlineStr">
        <is>
          <t>EUCADUR NT - 2,5MM</t>
        </is>
      </c>
      <c r="D152" s="169" t="n">
        <v>645</v>
      </c>
      <c r="E152" s="169" t="n">
        <v>272</v>
      </c>
      <c r="F152" s="169">
        <f>TEXT(TabelaSobras8[[#This Row],[Comprimento 
Sobras (mm)]],0) &amp; " X " &amp; TEXT(E152,0)</f>
        <v/>
      </c>
      <c r="G152" s="170">
        <f>(TabelaSobras8[[#This Row],[Comprimento 
Sobras (mm)]]*E152/1000000)</f>
        <v/>
      </c>
      <c r="H152" s="170">
        <f>715+109</f>
        <v/>
      </c>
      <c r="I152" s="170">
        <f>IF(TabelaSobras8[[#This Row],[Estoque]]&lt;=$V$2,$U$4,$U$5)</f>
        <v/>
      </c>
      <c r="J152" s="170">
        <f>TabelaSobras8[[#This Row],[Quantidade de Sobra INICIAL]]-K152</f>
        <v/>
      </c>
      <c r="K152" s="29">
        <f>TabelaSobras8[[#This Row],[Quantidade de Sobra INICIAL]]-TabelaSobras8[[#This Row],[Saída]]-TabelaSobras8[[#This Row],[Saída 2]]-P152</f>
        <v/>
      </c>
      <c r="L152" s="169" t="inlineStr">
        <is>
          <t>Nesher</t>
        </is>
      </c>
      <c r="M152" s="169">
        <f>TabelaSobras8[[#This Row],[Estoque]]*5.8575</f>
        <v/>
      </c>
      <c r="N152" s="170" t="n">
        <v>599</v>
      </c>
      <c r="O152" s="170" t="n">
        <v>225</v>
      </c>
      <c r="P152" s="170" t="n"/>
      <c r="Q152" s="91" t="inlineStr">
        <is>
          <t>REAL PREMIUM
N2601702,N2601704 | 225 para multilínea</t>
        </is>
      </c>
      <c r="R152" s="170" t="inlineStr">
        <is>
          <t>Yuri</t>
        </is>
      </c>
      <c r="S152" s="6" t="n">
        <v>46048</v>
      </c>
      <c r="T152" s="12">
        <f>INT(TODAY()-TabelaSobras8[[#This Row],[Data do
Registro inical]])</f>
        <v/>
      </c>
    </row>
    <row r="153" hidden="1" ht="28.8" customHeight="1">
      <c r="A153" s="8" t="inlineStr">
        <is>
          <t>N26002 | N26012 | N26013</t>
        </is>
      </c>
      <c r="B153" s="170">
        <f>VLOOKUP(LEFT(A153,1),Tabela5[],2,0)</f>
        <v/>
      </c>
      <c r="C153" s="170" t="inlineStr">
        <is>
          <t>EUCADUR NT - 2,5MM</t>
        </is>
      </c>
      <c r="D153" s="169" t="n">
        <v>462</v>
      </c>
      <c r="E153" s="169" t="n">
        <v>398</v>
      </c>
      <c r="F153" s="169">
        <f>TEXT(TabelaSobras8[[#This Row],[Comprimento 
Sobras (mm)]],0) &amp; " X " &amp; TEXT(E153,0)</f>
        <v/>
      </c>
      <c r="G153" s="170">
        <f>(TabelaSobras8[[#This Row],[Comprimento 
Sobras (mm)]]*E153/1000000)</f>
        <v/>
      </c>
      <c r="H153" s="170">
        <f>52+50+50+25</f>
        <v/>
      </c>
      <c r="I153" s="170">
        <f>IF(TabelaSobras8[[#This Row],[Estoque]]&lt;=$V$2,$U$4,$U$5)</f>
        <v/>
      </c>
      <c r="J153" s="170">
        <f>TabelaSobras8[[#This Row],[Quantidade de Sobra INICIAL]]-K153</f>
        <v/>
      </c>
      <c r="K153" s="29">
        <f>TabelaSobras8[[#This Row],[Quantidade de Sobra INICIAL]]-TabelaSobras8[[#This Row],[Saída]]-TabelaSobras8[[#This Row],[Saída 2]]-P153</f>
        <v/>
      </c>
      <c r="L153" s="169" t="inlineStr">
        <is>
          <t>Nesher</t>
        </is>
      </c>
      <c r="M153" s="169">
        <f>TabelaSobras8[[#This Row],[Estoque]]*5.8575</f>
        <v/>
      </c>
      <c r="N153" s="170" t="n">
        <v>177</v>
      </c>
      <c r="O153" s="170" t="n"/>
      <c r="P153" s="170" t="n"/>
      <c r="Q153" s="170" t="inlineStr">
        <is>
          <t>N2601603</t>
        </is>
      </c>
      <c r="R153" s="170" t="inlineStr">
        <is>
          <t>Yuri</t>
        </is>
      </c>
      <c r="S153" s="6" t="n">
        <v>46049</v>
      </c>
      <c r="T153" s="12">
        <f>INT(TODAY()-TabelaSobras8[[#This Row],[Data do
Registro inical]])</f>
        <v/>
      </c>
    </row>
    <row r="154" hidden="1">
      <c r="A154" s="170" t="inlineStr">
        <is>
          <t>N26012</t>
        </is>
      </c>
      <c r="B154" s="170">
        <f>VLOOKUP(LEFT(A154,1),Tabela5[],2,0)</f>
        <v/>
      </c>
      <c r="C154" s="170" t="inlineStr">
        <is>
          <t>EUCADUR NT - 2,5MM</t>
        </is>
      </c>
      <c r="D154" s="169" t="n">
        <v>729</v>
      </c>
      <c r="E154" s="169" t="n">
        <v>398</v>
      </c>
      <c r="F154" s="169">
        <f>TEXT(TabelaSobras8[[#This Row],[Comprimento 
Sobras (mm)]],0) &amp; " X " &amp; TEXT(E154,0)</f>
        <v/>
      </c>
      <c r="G154" s="170">
        <f>(TabelaSobras8[[#This Row],[Comprimento 
Sobras (mm)]]*E154/1000000)</f>
        <v/>
      </c>
      <c r="H154" s="170" t="n">
        <v>395</v>
      </c>
      <c r="I154" s="170">
        <f>IF(TabelaSobras8[[#This Row],[Estoque]]&lt;=$V$2,$U$4,$U$5)</f>
        <v/>
      </c>
      <c r="J154" s="170">
        <f>TabelaSobras8[[#This Row],[Quantidade de Sobra INICIAL]]-K154</f>
        <v/>
      </c>
      <c r="K154" s="29">
        <f>TabelaSobras8[[#This Row],[Quantidade de Sobra INICIAL]]-TabelaSobras8[[#This Row],[Saída]]-TabelaSobras8[[#This Row],[Saída 2]]-P154</f>
        <v/>
      </c>
      <c r="L154" s="169" t="inlineStr">
        <is>
          <t>Nesher</t>
        </is>
      </c>
      <c r="M154" s="169">
        <f>TabelaSobras8[[#This Row],[Estoque]]*5.8575</f>
        <v/>
      </c>
      <c r="N154" s="170">
        <f>100</f>
        <v/>
      </c>
      <c r="O154" s="170" t="n">
        <v>295</v>
      </c>
      <c r="P154" s="170" t="n"/>
      <c r="Q154" s="91" t="inlineStr">
        <is>
          <t>I2600503 | I2600701</t>
        </is>
      </c>
      <c r="R154" s="170" t="inlineStr">
        <is>
          <t>Yuri</t>
        </is>
      </c>
      <c r="S154" s="6" t="n">
        <v>46049</v>
      </c>
      <c r="T154" s="12">
        <f>INT(TODAY()-TabelaSobras8[[#This Row],[Data do
Registro inical]])</f>
        <v/>
      </c>
    </row>
    <row r="155" hidden="1" ht="28.8" customHeight="1">
      <c r="A155" s="8" t="inlineStr">
        <is>
          <t>N26010 - LOFT - ERRO DE CORTE</t>
        </is>
      </c>
      <c r="B155" s="170">
        <f>VLOOKUP(LEFT(A155,1),Tabela5[],2,0)</f>
        <v/>
      </c>
      <c r="C155" s="170" t="inlineStr">
        <is>
          <t>EUCADUR FRJ - 2,5MM</t>
        </is>
      </c>
      <c r="D155" s="169" t="n">
        <v>630</v>
      </c>
      <c r="E155" s="169" t="n">
        <v>1073</v>
      </c>
      <c r="F155" s="169">
        <f>TEXT(TabelaSobras8[[#This Row],[Comprimento 
Sobras (mm)]],0) &amp; " X " &amp; TEXT(E155,0)</f>
        <v/>
      </c>
      <c r="G155" s="170">
        <f>(TabelaSobras8[[#This Row],[Comprimento 
Sobras (mm)]]*E155/1000000)</f>
        <v/>
      </c>
      <c r="H155" s="170" t="n">
        <v>200</v>
      </c>
      <c r="I155" s="170">
        <f>IF(TabelaSobras8[[#This Row],[Estoque]]&lt;=$V$2,$U$4,$U$5)</f>
        <v/>
      </c>
      <c r="J155" s="170">
        <f>TabelaSobras8[[#This Row],[Quantidade de Sobra INICIAL]]-K155</f>
        <v/>
      </c>
      <c r="K155" s="29">
        <f>TabelaSobras8[[#This Row],[Quantidade de Sobra INICIAL]]-TabelaSobras8[[#This Row],[Saída]]-TabelaSobras8[[#This Row],[Saída 2]]-P155</f>
        <v/>
      </c>
      <c r="L155" s="169" t="inlineStr">
        <is>
          <t>Nesher</t>
        </is>
      </c>
      <c r="M155" s="169">
        <f>TabelaSobras8[[#This Row],[Estoque]]*5.8575</f>
        <v/>
      </c>
      <c r="N155" s="170" t="n">
        <v>200</v>
      </c>
      <c r="O155" s="170" t="n"/>
      <c r="P155" s="170" t="n"/>
      <c r="Q155" s="49" t="inlineStr">
        <is>
          <t>LOFT IMPERATRIZ</t>
        </is>
      </c>
      <c r="R155" s="170" t="inlineStr">
        <is>
          <t>Yuri</t>
        </is>
      </c>
      <c r="S155" s="6" t="n">
        <v>46049</v>
      </c>
      <c r="T155" s="12">
        <f>INT(TODAY()-TabelaSobras8[[#This Row],[Data do
Registro inical]])</f>
        <v/>
      </c>
    </row>
    <row r="156" hidden="1" ht="28.8" customHeight="1">
      <c r="A156" s="8" t="inlineStr">
        <is>
          <t>N26010 - LOFT - ERRO DE CORTE</t>
        </is>
      </c>
      <c r="B156" s="170">
        <f>VLOOKUP(LEFT(A156,1),Tabela5[],2,0)</f>
        <v/>
      </c>
      <c r="C156" s="170" t="inlineStr">
        <is>
          <t>EUCADUR FRJ - 2,5MM</t>
        </is>
      </c>
      <c r="D156" s="169" t="n">
        <v>540</v>
      </c>
      <c r="E156" s="169" t="n">
        <v>398</v>
      </c>
      <c r="F156" s="169">
        <f>TEXT(TabelaSobras8[[#This Row],[Comprimento 
Sobras (mm)]],0) &amp; " X " &amp; TEXT(E156,0)</f>
        <v/>
      </c>
      <c r="G156" s="170">
        <f>(TabelaSobras8[[#This Row],[Comprimento 
Sobras (mm)]]*E156/1000000)</f>
        <v/>
      </c>
      <c r="H156" s="170" t="n">
        <v>150</v>
      </c>
      <c r="I156" s="170">
        <f>IF(TabelaSobras8[[#This Row],[Estoque]]&lt;=$V$2,$U$4,$U$5)</f>
        <v/>
      </c>
      <c r="J156" s="170">
        <f>TabelaSobras8[[#This Row],[Quantidade de Sobra INICIAL]]-K156</f>
        <v/>
      </c>
      <c r="K156" s="29">
        <f>TabelaSobras8[[#This Row],[Quantidade de Sobra INICIAL]]-TabelaSobras8[[#This Row],[Saída]]-TabelaSobras8[[#This Row],[Saída 2]]-P156</f>
        <v/>
      </c>
      <c r="L156" s="169" t="inlineStr">
        <is>
          <t>Nesher</t>
        </is>
      </c>
      <c r="M156" s="169">
        <f>TabelaSobras8[[#This Row],[Estoque]]*5.8575</f>
        <v/>
      </c>
      <c r="N156" s="170" t="n">
        <v>150</v>
      </c>
      <c r="O156" s="170" t="n"/>
      <c r="P156" s="170" t="n"/>
      <c r="Q156" s="49" t="inlineStr">
        <is>
          <t>LOFT IMPERATRIZ</t>
        </is>
      </c>
      <c r="R156" s="170" t="inlineStr">
        <is>
          <t>Yuri</t>
        </is>
      </c>
      <c r="S156" s="6" t="n">
        <v>46049</v>
      </c>
      <c r="T156" s="12">
        <f>INT(TODAY()-TabelaSobras8[[#This Row],[Data do
Registro inical]])</f>
        <v/>
      </c>
    </row>
    <row r="157" hidden="1" ht="28.8" customHeight="1">
      <c r="A157" s="170" t="inlineStr">
        <is>
          <t>N26013</t>
        </is>
      </c>
      <c r="B157" s="170">
        <f>VLOOKUP(LEFT(A157,1),Tabela5[],2,0)</f>
        <v/>
      </c>
      <c r="C157" s="170" t="inlineStr">
        <is>
          <t>EUCADUR NT - 2,5MM</t>
        </is>
      </c>
      <c r="D157" s="169" t="n">
        <v>790</v>
      </c>
      <c r="E157" s="169" t="n">
        <v>500</v>
      </c>
      <c r="F157" s="169">
        <f>TEXT(TabelaSobras8[[#This Row],[Comprimento 
Sobras (mm)]],0) &amp; " X " &amp; TEXT(E157,0)</f>
        <v/>
      </c>
      <c r="G157" s="170">
        <f>(TabelaSobras8[[#This Row],[Comprimento 
Sobras (mm)]]*E157/1000000)</f>
        <v/>
      </c>
      <c r="H157" s="170" t="n">
        <v>300</v>
      </c>
      <c r="I157" s="170">
        <f>IF(TabelaSobras8[[#This Row],[Estoque]]&lt;=$V$2,$U$4,$U$5)</f>
        <v/>
      </c>
      <c r="J157" s="170">
        <f>TabelaSobras8[[#This Row],[Quantidade de Sobra INICIAL]]-K157</f>
        <v/>
      </c>
      <c r="K157" s="29">
        <f>TabelaSobras8[[#This Row],[Quantidade de Sobra INICIAL]]-TabelaSobras8[[#This Row],[Saída]]-TabelaSobras8[[#This Row],[Saída 2]]-P157</f>
        <v/>
      </c>
      <c r="L157" s="169" t="inlineStr">
        <is>
          <t>Nesher</t>
        </is>
      </c>
      <c r="M157" s="169">
        <f>TabelaSobras8[[#This Row],[Estoque]]*5.8575</f>
        <v/>
      </c>
      <c r="N157" s="170" t="n">
        <v>300</v>
      </c>
      <c r="O157" s="170" t="n"/>
      <c r="P157" s="170" t="n"/>
      <c r="Q157" s="91" t="inlineStr">
        <is>
          <t>KIT NOBREZA 2100
N2601804</t>
        </is>
      </c>
      <c r="R157" s="170" t="inlineStr">
        <is>
          <t>Yuri</t>
        </is>
      </c>
      <c r="S157" s="6" t="n">
        <v>46052</v>
      </c>
      <c r="T157" s="12">
        <f>INT(TODAY()-TabelaSobras8[[#This Row],[Data do
Registro inical]])</f>
        <v/>
      </c>
    </row>
    <row r="158" hidden="1" ht="28.8" customHeight="1">
      <c r="A158" s="8" t="inlineStr">
        <is>
          <t>N26014|I26007</t>
        </is>
      </c>
      <c r="B158" s="170">
        <f>VLOOKUP(LEFT(A158,1),Tabela5[],2,0)</f>
        <v/>
      </c>
      <c r="C158" s="170" t="inlineStr">
        <is>
          <t>EUCADUR NT - 2,5MM</t>
        </is>
      </c>
      <c r="D158" s="169" t="n">
        <v>695</v>
      </c>
      <c r="E158" s="169" t="n">
        <v>359</v>
      </c>
      <c r="F158" s="169">
        <f>TEXT(TabelaSobras8[[#This Row],[Comprimento 
Sobras (mm)]],0) &amp; " X " &amp; TEXT(E158,0)</f>
        <v/>
      </c>
      <c r="G158" s="170">
        <f>(TabelaSobras8[[#This Row],[Comprimento 
Sobras (mm)]]*E158/1000000)</f>
        <v/>
      </c>
      <c r="H158" s="170">
        <f>360+40</f>
        <v/>
      </c>
      <c r="I158" s="170">
        <f>IF(TabelaSobras8[[#This Row],[Estoque]]&lt;=$V$2,$U$4,$U$5)</f>
        <v/>
      </c>
      <c r="J158" s="170">
        <f>TabelaSobras8[[#This Row],[Quantidade de Sobra INICIAL]]-K158</f>
        <v/>
      </c>
      <c r="K158" s="29">
        <f>TabelaSobras8[[#This Row],[Quantidade de Sobra INICIAL]]-TabelaSobras8[[#This Row],[Saída]]-TabelaSobras8[[#This Row],[Saída 2]]-P158</f>
        <v/>
      </c>
      <c r="L158" s="169" t="inlineStr">
        <is>
          <t>Nesher</t>
        </is>
      </c>
      <c r="M158" s="169">
        <f>TabelaSobras8[[#This Row],[Estoque]]*5.8575</f>
        <v/>
      </c>
      <c r="N158" s="170" t="n">
        <v>158</v>
      </c>
      <c r="O158" s="170" t="n">
        <v>242</v>
      </c>
      <c r="P158" s="170" t="n"/>
      <c r="Q158" s="91" t="inlineStr">
        <is>
          <t>CRISTALEIRA
N2601707,N2601801</t>
        </is>
      </c>
      <c r="R158" s="170" t="inlineStr">
        <is>
          <t>Yuri</t>
        </is>
      </c>
      <c r="S158" s="6" t="n">
        <v>46054</v>
      </c>
      <c r="T158" s="12">
        <f>INT(TODAY()-TabelaSobras8[[#This Row],[Data do
Registro inical]])</f>
        <v/>
      </c>
    </row>
    <row r="159" hidden="1" ht="28.8" customHeight="1">
      <c r="A159" s="8" t="inlineStr">
        <is>
          <t>N26014|I26007</t>
        </is>
      </c>
      <c r="B159" s="170">
        <f>VLOOKUP(LEFT(A159,1),Tabela5[],2,0)</f>
        <v/>
      </c>
      <c r="C159" s="170" t="inlineStr">
        <is>
          <t>EUCADUR NT - 2,5MM</t>
        </is>
      </c>
      <c r="D159" s="169" t="n">
        <v>795</v>
      </c>
      <c r="E159" s="169" t="n">
        <v>523</v>
      </c>
      <c r="F159" s="169">
        <f>TEXT(TabelaSobras8[[#This Row],[Comprimento 
Sobras (mm)]],0) &amp; " X " &amp; TEXT(E159,0)</f>
        <v/>
      </c>
      <c r="G159" s="170">
        <f>(TabelaSobras8[[#This Row],[Comprimento 
Sobras (mm)]]*E159/1000000)</f>
        <v/>
      </c>
      <c r="H159" s="170">
        <f>300+200</f>
        <v/>
      </c>
      <c r="I159" s="170">
        <f>IF(TabelaSobras8[[#This Row],[Estoque]]&lt;=$V$2,$U$4,$U$5)</f>
        <v/>
      </c>
      <c r="J159" s="170">
        <f>TabelaSobras8[[#This Row],[Quantidade de Sobra INICIAL]]-K159</f>
        <v/>
      </c>
      <c r="K159" s="29">
        <f>TabelaSobras8[[#This Row],[Quantidade de Sobra INICIAL]]-TabelaSobras8[[#This Row],[Saída]]-TabelaSobras8[[#This Row],[Saída 2]]-P159</f>
        <v/>
      </c>
      <c r="L159" s="169" t="inlineStr">
        <is>
          <t>Nesher</t>
        </is>
      </c>
      <c r="M159" s="169">
        <f>TabelaSobras8[[#This Row],[Estoque]]*5.8575</f>
        <v/>
      </c>
      <c r="N159" s="170" t="n">
        <v>500</v>
      </c>
      <c r="O159" s="170" t="n"/>
      <c r="P159" s="170" t="n"/>
      <c r="Q159" s="91" t="inlineStr">
        <is>
          <t>REAL PREMIUM
N2601806,N2601808</t>
        </is>
      </c>
      <c r="R159" s="170" t="inlineStr">
        <is>
          <t>Yuri</t>
        </is>
      </c>
      <c r="S159" s="6" t="n">
        <v>46054</v>
      </c>
      <c r="T159" s="12">
        <f>INT(TODAY()-TabelaSobras8[[#This Row],[Data do
Registro inical]])</f>
        <v/>
      </c>
    </row>
    <row r="160" hidden="1">
      <c r="A160" s="170" t="inlineStr">
        <is>
          <t>N2601403</t>
        </is>
      </c>
      <c r="B160" s="170">
        <f>VLOOKUP(LEFT(A160,1),Tabela5[],2,0)</f>
        <v/>
      </c>
      <c r="C160" s="170" t="inlineStr">
        <is>
          <t>EUCADUR FRJ - 2,5MM</t>
        </is>
      </c>
      <c r="D160" s="169" t="n">
        <v>1195</v>
      </c>
      <c r="E160" s="169" t="n">
        <v>595</v>
      </c>
      <c r="F160" s="169">
        <f>TEXT(TabelaSobras8[[#This Row],[Comprimento 
Sobras (mm)]],0) &amp; " X " &amp; TEXT(E160,0)</f>
        <v/>
      </c>
      <c r="G160" s="170">
        <f>(TabelaSobras8[[#This Row],[Comprimento 
Sobras (mm)]]*E160/1000000)</f>
        <v/>
      </c>
      <c r="H160" s="170" t="n">
        <v>200</v>
      </c>
      <c r="I160" s="170">
        <f>IF(TabelaSobras8[[#This Row],[Estoque]]&lt;=$V$2,$U$4,$U$5)</f>
        <v/>
      </c>
      <c r="J160" s="170">
        <f>TabelaSobras8[[#This Row],[Quantidade de Sobra INICIAL]]-K160</f>
        <v/>
      </c>
      <c r="K160" s="29">
        <f>TabelaSobras8[[#This Row],[Quantidade de Sobra INICIAL]]-TabelaSobras8[[#This Row],[Saída]]-TabelaSobras8[[#This Row],[Saída 2]]-P160</f>
        <v/>
      </c>
      <c r="L160" s="169" t="inlineStr">
        <is>
          <t>Nesher</t>
        </is>
      </c>
      <c r="M160" s="169">
        <f>TabelaSobras8[[#This Row],[Estoque]]*5.8575</f>
        <v/>
      </c>
      <c r="N160" s="170" t="n">
        <v>200</v>
      </c>
      <c r="O160" s="170" t="n"/>
      <c r="P160" s="170" t="n"/>
      <c r="Q160" s="49" t="inlineStr">
        <is>
          <t>N26016</t>
        </is>
      </c>
      <c r="R160" s="170" t="inlineStr">
        <is>
          <t>Yuri</t>
        </is>
      </c>
      <c r="S160" s="6" t="n">
        <v>46055</v>
      </c>
      <c r="T160" s="12">
        <f>INT(TODAY()-TabelaSobras8[[#This Row],[Data do
Registro inical]])</f>
        <v/>
      </c>
    </row>
    <row r="161" hidden="1">
      <c r="A161" s="170" t="inlineStr">
        <is>
          <t>N2601404</t>
        </is>
      </c>
      <c r="B161" s="170">
        <f>VLOOKUP(LEFT(A161,1),Tabela5[],2,0)</f>
        <v/>
      </c>
      <c r="C161" s="170" t="inlineStr">
        <is>
          <t>EUCADUR BR - 2,5MM</t>
        </is>
      </c>
      <c r="D161" s="169" t="n">
        <v>334</v>
      </c>
      <c r="E161" s="169" t="n">
        <v>398</v>
      </c>
      <c r="F161" s="169">
        <f>TEXT(TabelaSobras8[[#This Row],[Comprimento 
Sobras (mm)]],0) &amp; " X " &amp; TEXT(E161,0)</f>
        <v/>
      </c>
      <c r="G161" s="170">
        <f>(TabelaSobras8[[#This Row],[Comprimento 
Sobras (mm)]]*E161/1000000)</f>
        <v/>
      </c>
      <c r="H161" s="170" t="n">
        <v>267</v>
      </c>
      <c r="I161" s="170">
        <f>IF(TabelaSobras8[[#This Row],[Estoque]]&lt;=$V$2,$U$4,$U$5)</f>
        <v/>
      </c>
      <c r="J161" s="170">
        <f>TabelaSobras8[[#This Row],[Quantidade de Sobra INICIAL]]-K161</f>
        <v/>
      </c>
      <c r="K161" s="29">
        <f>TabelaSobras8[[#This Row],[Quantidade de Sobra INICIAL]]-TabelaSobras8[[#This Row],[Saída]]-TabelaSobras8[[#This Row],[Saída 2]]-P161</f>
        <v/>
      </c>
      <c r="L161" s="169" t="inlineStr">
        <is>
          <t>Nesher</t>
        </is>
      </c>
      <c r="M161" s="169">
        <f>TabelaSobras8[[#This Row],[Estoque]]*5.8575</f>
        <v/>
      </c>
      <c r="N161" s="170" t="n">
        <v>267</v>
      </c>
      <c r="O161" s="170" t="n"/>
      <c r="P161" s="170" t="n"/>
      <c r="Q161" s="49" t="inlineStr">
        <is>
          <t>MULTIUSO N2602705</t>
        </is>
      </c>
      <c r="R161" s="170" t="inlineStr">
        <is>
          <t>Yuri</t>
        </is>
      </c>
      <c r="S161" s="6" t="n">
        <v>46055</v>
      </c>
      <c r="T161" s="12">
        <f>INT(TODAY()-TabelaSobras8[[#This Row],[Data do
Registro inical]])</f>
        <v/>
      </c>
    </row>
    <row r="162" hidden="1">
      <c r="A162" s="8" t="inlineStr">
        <is>
          <t>N26010|N26017</t>
        </is>
      </c>
      <c r="B162" s="170">
        <f>VLOOKUP(LEFT(A162,1),Tabela5[],2,0)</f>
        <v/>
      </c>
      <c r="C162" s="170" t="inlineStr">
        <is>
          <t>EUCADUR NT - 2,5MM</t>
        </is>
      </c>
      <c r="D162" s="169" t="n">
        <v>695</v>
      </c>
      <c r="E162" s="169" t="n">
        <v>195</v>
      </c>
      <c r="F162" s="169">
        <f>TEXT(TabelaSobras8[[#This Row],[Comprimento 
Sobras (mm)]],0) &amp; " X " &amp; TEXT(E162,0)</f>
        <v/>
      </c>
      <c r="G162" s="170">
        <f>(TabelaSobras8[[#This Row],[Comprimento 
Sobras (mm)]]*E162/1000000)</f>
        <v/>
      </c>
      <c r="H162" s="170">
        <f>39+39</f>
        <v/>
      </c>
      <c r="I162" s="170">
        <f>IF(TabelaSobras8[[#This Row],[Estoque]]&lt;=$V$2,$U$4,$U$5)</f>
        <v/>
      </c>
      <c r="J162" s="170">
        <f>TabelaSobras8[[#This Row],[Quantidade de Sobra INICIAL]]-K162</f>
        <v/>
      </c>
      <c r="K162" s="29">
        <f>TabelaSobras8[[#This Row],[Quantidade de Sobra INICIAL]]-TabelaSobras8[[#This Row],[Saída]]-TabelaSobras8[[#This Row],[Saída 2]]-P162</f>
        <v/>
      </c>
      <c r="L162" s="169" t="inlineStr">
        <is>
          <t>Nesher</t>
        </is>
      </c>
      <c r="M162" s="169">
        <f>TabelaSobras8[[#This Row],[Estoque]]*5.8575</f>
        <v/>
      </c>
      <c r="N162" s="170" t="n">
        <v>78</v>
      </c>
      <c r="O162" s="170" t="n"/>
      <c r="P162" s="170" t="n"/>
      <c r="Q162" s="170" t="inlineStr">
        <is>
          <t>N2601901</t>
        </is>
      </c>
      <c r="R162" s="170" t="inlineStr">
        <is>
          <t>Yuri</t>
        </is>
      </c>
      <c r="S162" s="6" t="n">
        <v>46056</v>
      </c>
      <c r="T162" s="12">
        <f>INT(TODAY()-TabelaSobras8[[#This Row],[Data do
Registro inical]])</f>
        <v/>
      </c>
    </row>
    <row r="163" hidden="1">
      <c r="A163" s="8" t="inlineStr">
        <is>
          <t>N26010|N26005</t>
        </is>
      </c>
      <c r="B163" s="170">
        <f>VLOOKUP(LEFT(A163,1),Tabela5[],2,0)</f>
        <v/>
      </c>
      <c r="C163" s="170" t="inlineStr">
        <is>
          <t>EUCADUR NT - 2,5MM</t>
        </is>
      </c>
      <c r="D163" s="169" t="n">
        <v>695</v>
      </c>
      <c r="E163" s="169" t="n">
        <v>317</v>
      </c>
      <c r="F163" s="169">
        <f>TEXT(TabelaSobras8[[#This Row],[Comprimento 
Sobras (mm)]],0) &amp; " X " &amp; TEXT(E163,0)</f>
        <v/>
      </c>
      <c r="G163" s="170">
        <f>(TabelaSobras8[[#This Row],[Comprimento 
Sobras (mm)]]*E163/1000000)</f>
        <v/>
      </c>
      <c r="H163" s="170">
        <f>111+18</f>
        <v/>
      </c>
      <c r="I163" s="170">
        <f>IF(TabelaSobras8[[#This Row],[Estoque]]&lt;=$V$2,$U$4,$U$5)</f>
        <v/>
      </c>
      <c r="J163" s="170">
        <f>TabelaSobras8[[#This Row],[Quantidade de Sobra INICIAL]]-K163</f>
        <v/>
      </c>
      <c r="K163" s="29">
        <f>TabelaSobras8[[#This Row],[Quantidade de Sobra INICIAL]]-TabelaSobras8[[#This Row],[Saída]]-TabelaSobras8[[#This Row],[Saída 2]]-P163</f>
        <v/>
      </c>
      <c r="L163" s="169" t="inlineStr">
        <is>
          <t>Nesher</t>
        </is>
      </c>
      <c r="M163" s="169">
        <f>TabelaSobras8[[#This Row],[Estoque]]*5.8575</f>
        <v/>
      </c>
      <c r="N163" s="170" t="n">
        <v>129</v>
      </c>
      <c r="O163" s="170" t="n"/>
      <c r="P163" s="170" t="n"/>
      <c r="Q163" s="170" t="inlineStr">
        <is>
          <t>N26018</t>
        </is>
      </c>
      <c r="R163" s="170" t="inlineStr">
        <is>
          <t>Yuri</t>
        </is>
      </c>
      <c r="S163" s="6" t="n">
        <v>46056</v>
      </c>
      <c r="T163" s="12">
        <f>INT(TODAY()-TabelaSobras8[[#This Row],[Data do
Registro inical]])</f>
        <v/>
      </c>
    </row>
    <row r="164" hidden="1">
      <c r="A164" s="170" t="inlineStr">
        <is>
          <t>N26010</t>
        </is>
      </c>
      <c r="B164" s="170">
        <f>VLOOKUP(LEFT(A164,1),Tabela5[],2,0)</f>
        <v/>
      </c>
      <c r="C164" s="170" t="inlineStr">
        <is>
          <t>EUCADUR NT - 2,5MM</t>
        </is>
      </c>
      <c r="D164" s="169" t="n">
        <v>540</v>
      </c>
      <c r="E164" s="169" t="n">
        <v>398</v>
      </c>
      <c r="F164" s="169">
        <f>TEXT(TabelaSobras8[[#This Row],[Comprimento 
Sobras (mm)]],0) &amp; " X " &amp; TEXT(E164,0)</f>
        <v/>
      </c>
      <c r="G164" s="170">
        <f>(TabelaSobras8[[#This Row],[Comprimento 
Sobras (mm)]]*E164/1000000)</f>
        <v/>
      </c>
      <c r="H164" s="170" t="n">
        <v>10</v>
      </c>
      <c r="I164" s="170">
        <f>IF(TabelaSobras8[[#This Row],[Estoque]]&lt;=$V$2,$U$4,$U$5)</f>
        <v/>
      </c>
      <c r="J164" s="170">
        <f>TabelaSobras8[[#This Row],[Quantidade de Sobra INICIAL]]-K164</f>
        <v/>
      </c>
      <c r="K164" s="29">
        <f>TabelaSobras8[[#This Row],[Quantidade de Sobra INICIAL]]-TabelaSobras8[[#This Row],[Saída]]-TabelaSobras8[[#This Row],[Saída 2]]-P164</f>
        <v/>
      </c>
      <c r="L164" s="169" t="inlineStr">
        <is>
          <t>Nesher</t>
        </is>
      </c>
      <c r="M164" s="169">
        <f>TabelaSobras8[[#This Row],[Estoque]]*5.8575</f>
        <v/>
      </c>
      <c r="N164" s="170" t="n">
        <v>10</v>
      </c>
      <c r="O164" s="170" t="n"/>
      <c r="P164" s="170" t="n"/>
      <c r="Q164" s="170" t="n"/>
      <c r="R164" s="170" t="inlineStr">
        <is>
          <t>Yuri</t>
        </is>
      </c>
      <c r="S164" s="6" t="n">
        <v>46056</v>
      </c>
      <c r="T164" s="12">
        <f>INT(TODAY()-TabelaSobras8[[#This Row],[Data do
Registro inical]])</f>
        <v/>
      </c>
    </row>
    <row r="165" hidden="1">
      <c r="A165" s="170" t="inlineStr">
        <is>
          <t>N26015</t>
        </is>
      </c>
      <c r="B165" s="170">
        <f>VLOOKUP(LEFT(A165,1),Tabela5[],2,0)</f>
        <v/>
      </c>
      <c r="C165" s="170" t="inlineStr">
        <is>
          <t>EUCADUR FRJ - 2,5MM</t>
        </is>
      </c>
      <c r="D165" s="169" t="n">
        <v>850</v>
      </c>
      <c r="E165" s="169" t="n">
        <v>630</v>
      </c>
      <c r="F165" s="169">
        <f>TEXT(TabelaSobras8[[#This Row],[Comprimento 
Sobras (mm)]],0) &amp; " X " &amp; TEXT(E165,0)</f>
        <v/>
      </c>
      <c r="G165" s="170">
        <f>(TabelaSobras8[[#This Row],[Comprimento 
Sobras (mm)]]*E165/1000000)</f>
        <v/>
      </c>
      <c r="H165" s="170" t="n">
        <v>240</v>
      </c>
      <c r="I165" s="170">
        <f>IF(TabelaSobras8[[#This Row],[Estoque]]&lt;=$V$2,$U$4,$U$5)</f>
        <v/>
      </c>
      <c r="J165" s="170">
        <f>TabelaSobras8[[#This Row],[Quantidade de Sobra INICIAL]]-K165</f>
        <v/>
      </c>
      <c r="K165" s="29">
        <f>TabelaSobras8[[#This Row],[Quantidade de Sobra INICIAL]]-TabelaSobras8[[#This Row],[Saída]]-TabelaSobras8[[#This Row],[Saída 2]]-P165</f>
        <v/>
      </c>
      <c r="L165" s="169" t="inlineStr">
        <is>
          <t>Nesher</t>
        </is>
      </c>
      <c r="M165" s="169">
        <f>TabelaSobras8[[#This Row],[Estoque]]*5.8575</f>
        <v/>
      </c>
      <c r="N165" s="170" t="n">
        <v>240</v>
      </c>
      <c r="O165" s="170" t="n"/>
      <c r="P165" s="170" t="n"/>
      <c r="Q165" s="49" t="inlineStr">
        <is>
          <t>LOFT IMPERATRIZ</t>
        </is>
      </c>
      <c r="R165" s="170" t="inlineStr">
        <is>
          <t>Yuri</t>
        </is>
      </c>
      <c r="S165" s="6" t="n">
        <v>46059</v>
      </c>
      <c r="T165" s="12">
        <f>INT(TODAY()-TabelaSobras8[[#This Row],[Data do
Registro inical]])</f>
        <v/>
      </c>
    </row>
    <row r="166" hidden="1">
      <c r="A166" s="170" t="inlineStr">
        <is>
          <t>N2601501</t>
        </is>
      </c>
      <c r="B166" s="170">
        <f>VLOOKUP(LEFT(A166,1),Tabela5[],2,0)</f>
        <v/>
      </c>
      <c r="C166" s="170" t="inlineStr">
        <is>
          <t>EUCADUR FRJ - 2,5MM</t>
        </is>
      </c>
      <c r="D166" s="169" t="n">
        <v>695</v>
      </c>
      <c r="E166" s="169" t="n">
        <v>190</v>
      </c>
      <c r="F166" s="169">
        <f>TEXT(TabelaSobras8[[#This Row],[Comprimento 
Sobras (mm)]],0) &amp; " X " &amp; TEXT(E166,0)</f>
        <v/>
      </c>
      <c r="G166" s="170">
        <f>(TabelaSobras8[[#This Row],[Comprimento 
Sobras (mm)]]*E166/1000000)</f>
        <v/>
      </c>
      <c r="H166" s="170" t="n"/>
      <c r="I166" s="170">
        <f>IF(TabelaSobras8[[#This Row],[Estoque]]&lt;=$V$2,$U$4,$U$5)</f>
        <v/>
      </c>
      <c r="J166" s="170">
        <f>TabelaSobras8[[#This Row],[Quantidade de Sobra INICIAL]]-K166</f>
        <v/>
      </c>
      <c r="K166" s="29">
        <f>TabelaSobras8[[#This Row],[Quantidade de Sobra INICIAL]]-TabelaSobras8[[#This Row],[Saída]]-TabelaSobras8[[#This Row],[Saída 2]]-P166</f>
        <v/>
      </c>
      <c r="L166" s="169" t="n"/>
      <c r="M166" s="169">
        <f>TabelaSobras8[[#This Row],[Estoque]]*5.8575</f>
        <v/>
      </c>
      <c r="N166" s="170" t="n"/>
      <c r="O166" s="170" t="n"/>
      <c r="P166" s="170" t="n"/>
      <c r="Q166" s="170" t="n"/>
      <c r="R166" s="170" t="n"/>
      <c r="S166" s="6" t="n"/>
      <c r="T166" s="12">
        <f>INT(TODAY()-TabelaSobras8[[#This Row],[Data do
Registro inical]])</f>
        <v/>
      </c>
    </row>
    <row r="167" hidden="1">
      <c r="A167" s="170" t="inlineStr">
        <is>
          <t>N26015</t>
        </is>
      </c>
      <c r="B167" s="170">
        <f>VLOOKUP(LEFT(A167,1),Tabela5[],2,0)</f>
        <v/>
      </c>
      <c r="C167" s="170" t="inlineStr">
        <is>
          <t>EUCADUR NT - 2,5MM</t>
        </is>
      </c>
      <c r="D167" s="169" t="n">
        <v>645</v>
      </c>
      <c r="E167" s="169" t="n">
        <v>418</v>
      </c>
      <c r="F167" s="169">
        <f>TEXT(TabelaSobras8[[#This Row],[Comprimento 
Sobras (mm)]],0) &amp; " X " &amp; TEXT(E167,0)</f>
        <v/>
      </c>
      <c r="G167" s="170">
        <f>(TabelaSobras8[[#This Row],[Comprimento 
Sobras (mm)]]*E167/1000000)</f>
        <v/>
      </c>
      <c r="H167" s="170" t="n">
        <v>750</v>
      </c>
      <c r="I167" s="170">
        <f>IF(TabelaSobras8[[#This Row],[Estoque]]&lt;=$V$2,$U$4,$U$5)</f>
        <v/>
      </c>
      <c r="J167" s="170">
        <f>TabelaSobras8[[#This Row],[Quantidade de Sobra INICIAL]]-K167</f>
        <v/>
      </c>
      <c r="K167" s="29">
        <f>TabelaSobras8[[#This Row],[Quantidade de Sobra INICIAL]]-TabelaSobras8[[#This Row],[Saída]]-TabelaSobras8[[#This Row],[Saída 2]]-P167</f>
        <v/>
      </c>
      <c r="L167" s="169" t="inlineStr">
        <is>
          <t>Nesher</t>
        </is>
      </c>
      <c r="M167" s="169">
        <f>TabelaSobras8[[#This Row],[Estoque]]*5.8575</f>
        <v/>
      </c>
      <c r="N167" s="170" t="n">
        <v>750</v>
      </c>
      <c r="O167" s="170" t="n"/>
      <c r="P167" s="170" t="n"/>
      <c r="Q167" s="49" t="inlineStr">
        <is>
          <t>N2601702</t>
        </is>
      </c>
      <c r="R167" s="170" t="inlineStr">
        <is>
          <t>Yuri</t>
        </is>
      </c>
      <c r="S167" s="6" t="n">
        <v>46059</v>
      </c>
      <c r="T167" s="12">
        <f>INT(TODAY()-TabelaSobras8[[#This Row],[Data do
Registro inical]])</f>
        <v/>
      </c>
    </row>
    <row r="168" hidden="1">
      <c r="A168" s="170" t="inlineStr">
        <is>
          <t>N26015</t>
        </is>
      </c>
      <c r="B168" s="170">
        <f>VLOOKUP(LEFT(A168,1),Tabela5[],2,0)</f>
        <v/>
      </c>
      <c r="C168" s="170" t="inlineStr">
        <is>
          <t>EUCADUR NT - 2,5MM</t>
        </is>
      </c>
      <c r="D168" s="169" t="n">
        <v>1195</v>
      </c>
      <c r="E168" s="169" t="n">
        <v>497</v>
      </c>
      <c r="F168" s="169">
        <f>TEXT(TabelaSobras8[[#This Row],[Comprimento 
Sobras (mm)]],0) &amp; " X " &amp; TEXT(E168,0)</f>
        <v/>
      </c>
      <c r="G168" s="170">
        <f>(TabelaSobras8[[#This Row],[Comprimento 
Sobras (mm)]]*E168/1000000)</f>
        <v/>
      </c>
      <c r="H168" s="170" t="n">
        <v>200</v>
      </c>
      <c r="I168" s="170">
        <f>IF(TabelaSobras8[[#This Row],[Estoque]]&lt;=$V$2,$U$4,$U$5)</f>
        <v/>
      </c>
      <c r="J168" s="170">
        <f>TabelaSobras8[[#This Row],[Quantidade de Sobra INICIAL]]-K168</f>
        <v/>
      </c>
      <c r="K168" s="29">
        <f>TabelaSobras8[[#This Row],[Quantidade de Sobra INICIAL]]-TabelaSobras8[[#This Row],[Saída]]-TabelaSobras8[[#This Row],[Saída 2]]-P168</f>
        <v/>
      </c>
      <c r="L168" s="169" t="inlineStr">
        <is>
          <t>Nesher</t>
        </is>
      </c>
      <c r="M168" s="169">
        <f>TabelaSobras8[[#This Row],[Estoque]]*5.8575</f>
        <v/>
      </c>
      <c r="N168" s="170" t="n">
        <v>200</v>
      </c>
      <c r="O168" s="170" t="n"/>
      <c r="P168" s="170" t="n"/>
      <c r="Q168" s="49" t="inlineStr">
        <is>
          <t>N2601902</t>
        </is>
      </c>
      <c r="R168" s="170" t="inlineStr">
        <is>
          <t>Yuri</t>
        </is>
      </c>
      <c r="S168" s="6" t="n">
        <v>46059</v>
      </c>
      <c r="T168" s="12">
        <f>INT(TODAY()-TabelaSobras8[[#This Row],[Data do
Registro inical]])</f>
        <v/>
      </c>
    </row>
    <row r="169" hidden="1">
      <c r="A169" s="170" t="inlineStr">
        <is>
          <t>N2601904-03</t>
        </is>
      </c>
      <c r="B169" s="170">
        <f>VLOOKUP(LEFT(A169,1),Tabela5[],2,0)</f>
        <v/>
      </c>
      <c r="C169" s="170" t="inlineStr">
        <is>
          <t>EUCADUR NT - 2,5MM</t>
        </is>
      </c>
      <c r="D169" s="169" t="n">
        <v>1195</v>
      </c>
      <c r="E169" s="169" t="n">
        <v>272</v>
      </c>
      <c r="F169" s="169">
        <f>TEXT(TabelaSobras8[[#This Row],[Comprimento 
Sobras (mm)]],0) &amp; " X " &amp; TEXT(E169,0)</f>
        <v/>
      </c>
      <c r="G169" s="170">
        <f>(TabelaSobras8[[#This Row],[Comprimento 
Sobras (mm)]]*E169/1000000)</f>
        <v/>
      </c>
      <c r="H169" s="170" t="n">
        <v>100</v>
      </c>
      <c r="I169" s="170">
        <f>IF(TabelaSobras8[[#This Row],[Estoque]]&lt;=$V$2,$U$4,$U$5)</f>
        <v/>
      </c>
      <c r="J169" s="170">
        <f>TabelaSobras8[[#This Row],[Quantidade de Sobra INICIAL]]-K169</f>
        <v/>
      </c>
      <c r="K169" s="29">
        <f>TabelaSobras8[[#This Row],[Quantidade de Sobra INICIAL]]-TabelaSobras8[[#This Row],[Saída]]-TabelaSobras8[[#This Row],[Saída 2]]-P169</f>
        <v/>
      </c>
      <c r="L169" s="169" t="inlineStr">
        <is>
          <t>Nesher</t>
        </is>
      </c>
      <c r="M169" s="169">
        <f>TabelaSobras8[[#This Row],[Estoque]]*5.8575</f>
        <v/>
      </c>
      <c r="N169" s="170" t="n">
        <v>100</v>
      </c>
      <c r="O169" s="170" t="n"/>
      <c r="P169" s="170" t="n"/>
      <c r="Q169" s="42" t="inlineStr">
        <is>
          <t>N2601805,N2601807</t>
        </is>
      </c>
      <c r="R169" s="170" t="inlineStr">
        <is>
          <t>Yuri</t>
        </is>
      </c>
      <c r="S169" s="6" t="n">
        <v>46059</v>
      </c>
      <c r="T169" s="12">
        <f>INT(TODAY()-TabelaSobras8[[#This Row],[Data do
Registro inical]])</f>
        <v/>
      </c>
    </row>
    <row r="170" hidden="1">
      <c r="A170" s="170" t="inlineStr">
        <is>
          <t>N</t>
        </is>
      </c>
      <c r="B170" s="170">
        <f>VLOOKUP(LEFT(A170,1),Tabela5[],2,0)</f>
        <v/>
      </c>
      <c r="C170" s="170" t="inlineStr">
        <is>
          <t>EUCADUR FRJ - 2,5MM</t>
        </is>
      </c>
      <c r="D170" s="169" t="n">
        <v>805</v>
      </c>
      <c r="E170" s="169" t="n">
        <v>330</v>
      </c>
      <c r="F170" s="169">
        <f>TEXT(TabelaSobras8[[#This Row],[Comprimento 
Sobras (mm)]],0) &amp; " X " &amp; TEXT(E170,0)</f>
        <v/>
      </c>
      <c r="G170" s="170">
        <f>(TabelaSobras8[[#This Row],[Comprimento 
Sobras (mm)]]*E170/1000000)</f>
        <v/>
      </c>
      <c r="H170" s="170" t="n">
        <v>377</v>
      </c>
      <c r="I170" s="170">
        <f>IF(TabelaSobras8[[#This Row],[Estoque]]&lt;=$V$2,$U$4,$U$5)</f>
        <v/>
      </c>
      <c r="J170" s="170">
        <f>TabelaSobras8[[#This Row],[Quantidade de Sobra INICIAL]]-K170</f>
        <v/>
      </c>
      <c r="K170" s="29">
        <f>TabelaSobras8[[#This Row],[Quantidade de Sobra INICIAL]]-TabelaSobras8[[#This Row],[Saída]]-TabelaSobras8[[#This Row],[Saída 2]]-P170</f>
        <v/>
      </c>
      <c r="L170" s="169" t="inlineStr">
        <is>
          <t>Nesher</t>
        </is>
      </c>
      <c r="M170" s="169">
        <f>TabelaSobras8[[#This Row],[Estoque]]*5.8575</f>
        <v/>
      </c>
      <c r="N170" s="170" t="n">
        <v>377</v>
      </c>
      <c r="O170" s="170" t="n"/>
      <c r="P170" s="170" t="n"/>
      <c r="Q170" s="170" t="inlineStr">
        <is>
          <t>N26016</t>
        </is>
      </c>
      <c r="R170" s="170" t="inlineStr">
        <is>
          <t>Yuri</t>
        </is>
      </c>
      <c r="S170" s="6" t="n">
        <v>46064</v>
      </c>
      <c r="T170" s="12">
        <f>INT(TODAY()-TabelaSobras8[[#This Row],[Data do
Registro inical]])</f>
        <v/>
      </c>
    </row>
    <row r="171" hidden="1">
      <c r="A171" s="170" t="inlineStr">
        <is>
          <t>N</t>
        </is>
      </c>
      <c r="B171" s="170">
        <f>VLOOKUP(LEFT(A171,1),Tabela5[],2,0)</f>
        <v/>
      </c>
      <c r="C171" s="170" t="inlineStr">
        <is>
          <t>EUCADUR FRJ - 2,5MM</t>
        </is>
      </c>
      <c r="D171" s="169" t="n">
        <v>1195</v>
      </c>
      <c r="E171" s="169" t="n">
        <v>330</v>
      </c>
      <c r="F171" s="169">
        <f>TEXT(TabelaSobras8[[#This Row],[Comprimento 
Sobras (mm)]],0) &amp; " X " &amp; TEXT(E171,0)</f>
        <v/>
      </c>
      <c r="G171" s="170">
        <f>(TabelaSobras8[[#This Row],[Comprimento 
Sobras (mm)]]*E171/1000000)</f>
        <v/>
      </c>
      <c r="H171" s="170" t="n">
        <v>200</v>
      </c>
      <c r="I171" s="170">
        <f>IF(TabelaSobras8[[#This Row],[Estoque]]&lt;=$V$2,$U$4,$U$5)</f>
        <v/>
      </c>
      <c r="J171" s="170">
        <f>TabelaSobras8[[#This Row],[Quantidade de Sobra INICIAL]]-K171</f>
        <v/>
      </c>
      <c r="K171" s="29">
        <f>TabelaSobras8[[#This Row],[Quantidade de Sobra INICIAL]]-TabelaSobras8[[#This Row],[Saída]]-TabelaSobras8[[#This Row],[Saída 2]]-P171</f>
        <v/>
      </c>
      <c r="L171" s="169" t="inlineStr">
        <is>
          <t>Nesher</t>
        </is>
      </c>
      <c r="M171" s="169">
        <f>TabelaSobras8[[#This Row],[Estoque]]*5.8575</f>
        <v/>
      </c>
      <c r="N171" s="170" t="n">
        <v>200</v>
      </c>
      <c r="O171" s="170" t="n"/>
      <c r="P171" s="170" t="n"/>
      <c r="Q171" s="170" t="inlineStr">
        <is>
          <t>I2600603</t>
        </is>
      </c>
      <c r="R171" s="170" t="inlineStr">
        <is>
          <t>Yuri</t>
        </is>
      </c>
      <c r="S171" s="6" t="n">
        <v>46064</v>
      </c>
      <c r="T171" s="12">
        <f>INT(TODAY()-TabelaSobras8[[#This Row],[Data do
Registro inical]])</f>
        <v/>
      </c>
    </row>
    <row r="172" hidden="1">
      <c r="A172" s="170" t="inlineStr">
        <is>
          <t>N</t>
        </is>
      </c>
      <c r="B172" s="170">
        <f>VLOOKUP(LEFT(A172,1),Tabela5[],2,0)</f>
        <v/>
      </c>
      <c r="C172" s="170" t="inlineStr">
        <is>
          <t>EUCADUR BR - 2,5MM</t>
        </is>
      </c>
      <c r="D172" s="169" t="n">
        <v>599</v>
      </c>
      <c r="E172" s="169" t="n">
        <v>398</v>
      </c>
      <c r="F172" s="169">
        <f>TEXT(TabelaSobras8[[#This Row],[Comprimento 
Sobras (mm)]],0) &amp; " X " &amp; TEXT(E172,0)</f>
        <v/>
      </c>
      <c r="G172" s="170">
        <f>(TabelaSobras8[[#This Row],[Comprimento 
Sobras (mm)]]*E172/1000000)</f>
        <v/>
      </c>
      <c r="H172" s="170" t="n">
        <v>200</v>
      </c>
      <c r="I172" s="170">
        <f>IF(TabelaSobras8[[#This Row],[Estoque]]&lt;=$V$2,$U$4,$U$5)</f>
        <v/>
      </c>
      <c r="J172" s="170">
        <f>TabelaSobras8[[#This Row],[Quantidade de Sobra INICIAL]]-K172</f>
        <v/>
      </c>
      <c r="K172" s="29">
        <f>TabelaSobras8[[#This Row],[Quantidade de Sobra INICIAL]]-TabelaSobras8[[#This Row],[Saída]]-TabelaSobras8[[#This Row],[Saída 2]]-P172</f>
        <v/>
      </c>
      <c r="L172" s="169" t="inlineStr">
        <is>
          <t>Nesher</t>
        </is>
      </c>
      <c r="M172" s="169">
        <f>TabelaSobras8[[#This Row],[Estoque]]*5.8575</f>
        <v/>
      </c>
      <c r="N172" s="170" t="n">
        <v>200</v>
      </c>
      <c r="O172" s="170" t="n"/>
      <c r="P172" s="170" t="n"/>
      <c r="Q172" s="49" t="inlineStr">
        <is>
          <t>MULTIUSO N2602705</t>
        </is>
      </c>
      <c r="R172" s="170" t="inlineStr">
        <is>
          <t>Yuri</t>
        </is>
      </c>
      <c r="S172" s="6" t="n">
        <v>46064</v>
      </c>
      <c r="T172" s="12">
        <f>INT(TODAY()-TabelaSobras8[[#This Row],[Data do
Registro inical]])</f>
        <v/>
      </c>
    </row>
    <row r="173" hidden="1">
      <c r="A173" s="170" t="inlineStr">
        <is>
          <t>N</t>
        </is>
      </c>
      <c r="B173" s="170">
        <f>VLOOKUP(LEFT(A173,1),Tabela5[],2,0)</f>
        <v/>
      </c>
      <c r="C173" s="170" t="inlineStr">
        <is>
          <t>EUCADUR FRJ - 2,5MM</t>
        </is>
      </c>
      <c r="D173" s="169" t="n">
        <v>695</v>
      </c>
      <c r="E173" s="169" t="n">
        <v>485</v>
      </c>
      <c r="F173" s="169">
        <f>TEXT(TabelaSobras8[[#This Row],[Comprimento 
Sobras (mm)]],0) &amp; " X " &amp; TEXT(E173,0)</f>
        <v/>
      </c>
      <c r="G173" s="170">
        <f>(TabelaSobras8[[#This Row],[Comprimento 
Sobras (mm)]]*E173/1000000)</f>
        <v/>
      </c>
      <c r="H173" s="170" t="n">
        <v>200</v>
      </c>
      <c r="I173" s="170">
        <f>IF(TabelaSobras8[[#This Row],[Estoque]]&lt;=$V$2,$U$4,$U$5)</f>
        <v/>
      </c>
      <c r="J173" s="170">
        <f>TabelaSobras8[[#This Row],[Quantidade de Sobra INICIAL]]-K173</f>
        <v/>
      </c>
      <c r="K173" s="29">
        <f>TabelaSobras8[[#This Row],[Quantidade de Sobra INICIAL]]-TabelaSobras8[[#This Row],[Saída]]-TabelaSobras8[[#This Row],[Saída 2]]-P173</f>
        <v/>
      </c>
      <c r="L173" s="169" t="inlineStr">
        <is>
          <t>Nesher</t>
        </is>
      </c>
      <c r="M173" s="169">
        <f>TabelaSobras8[[#This Row],[Estoque]]*5.8575</f>
        <v/>
      </c>
      <c r="N173" s="170" t="n">
        <v>200</v>
      </c>
      <c r="O173" s="170" t="n"/>
      <c r="P173" s="170" t="n"/>
      <c r="Q173" s="170" t="inlineStr">
        <is>
          <t>N26016</t>
        </is>
      </c>
      <c r="R173" s="170" t="inlineStr">
        <is>
          <t>Yuri</t>
        </is>
      </c>
      <c r="S173" s="6" t="n">
        <v>46064</v>
      </c>
      <c r="T173" s="12">
        <f>INT(TODAY()-TabelaSobras8[[#This Row],[Data do
Registro inical]])</f>
        <v/>
      </c>
    </row>
    <row r="174" hidden="1">
      <c r="A174" s="170" t="inlineStr">
        <is>
          <t>I26006</t>
        </is>
      </c>
      <c r="B174" s="170">
        <f>VLOOKUP(LEFT(A174,1),Tabela5[],2,0)</f>
        <v/>
      </c>
      <c r="C174" s="170" t="inlineStr">
        <is>
          <t>EUCADUR NT - 2,5MM</t>
        </is>
      </c>
      <c r="D174" s="169" t="n">
        <v>729</v>
      </c>
      <c r="E174" s="169" t="n">
        <v>398</v>
      </c>
      <c r="F174" s="169">
        <f>TEXT(TabelaSobras8[[#This Row],[Comprimento 
Sobras (mm)]],0) &amp; " X " &amp; TEXT(E174,0)</f>
        <v/>
      </c>
      <c r="G174" s="170">
        <f>(TabelaSobras8[[#This Row],[Comprimento 
Sobras (mm)]]*E174/1000000)</f>
        <v/>
      </c>
      <c r="H174" s="170" t="n">
        <v>375</v>
      </c>
      <c r="I174" s="170">
        <f>IF(TabelaSobras8[[#This Row],[Estoque]]&lt;=$V$2,$U$4,$U$5)</f>
        <v/>
      </c>
      <c r="J174" s="170">
        <f>TabelaSobras8[[#This Row],[Quantidade de Sobra INICIAL]]-K174</f>
        <v/>
      </c>
      <c r="K174" s="29">
        <f>TabelaSobras8[[#This Row],[Quantidade de Sobra INICIAL]]-TabelaSobras8[[#This Row],[Saída]]-TabelaSobras8[[#This Row],[Saída 2]]-P174</f>
        <v/>
      </c>
      <c r="L174" s="169" t="inlineStr">
        <is>
          <t>Nesher</t>
        </is>
      </c>
      <c r="M174" s="169">
        <f>TabelaSobras8[[#This Row],[Estoque]]*5.8575</f>
        <v/>
      </c>
      <c r="N174" s="170" t="n">
        <v>375</v>
      </c>
      <c r="O174" s="170" t="n"/>
      <c r="P174" s="170" t="n"/>
      <c r="Q174" s="42" t="inlineStr">
        <is>
          <t>REC 695X381 - N2601901</t>
        </is>
      </c>
      <c r="R174" s="170" t="inlineStr">
        <is>
          <t>Yuri</t>
        </is>
      </c>
      <c r="S174" s="6" t="n">
        <v>46066</v>
      </c>
      <c r="T174" s="12">
        <f>INT(TODAY()-TabelaSobras8[[#This Row],[Data do
Registro inical]])</f>
        <v/>
      </c>
    </row>
    <row r="175" hidden="1">
      <c r="A175" s="170" t="inlineStr">
        <is>
          <t>I26007</t>
        </is>
      </c>
      <c r="B175" s="170">
        <f>VLOOKUP(LEFT(A175,1),Tabela5[],2,0)</f>
        <v/>
      </c>
      <c r="C175" s="170" t="inlineStr">
        <is>
          <t>EUCADUR NT - 2,5MM</t>
        </is>
      </c>
      <c r="D175" s="169" t="n">
        <v>695</v>
      </c>
      <c r="E175" s="169" t="n">
        <v>465</v>
      </c>
      <c r="F175" s="169">
        <f>TEXT(TabelaSobras8[[#This Row],[Comprimento 
Sobras (mm)]],0) &amp; " X " &amp; TEXT(E175,0)</f>
        <v/>
      </c>
      <c r="G175" s="170">
        <f>(TabelaSobras8[[#This Row],[Comprimento 
Sobras (mm)]]*E175/1000000)</f>
        <v/>
      </c>
      <c r="H175" s="170" t="n">
        <v>212</v>
      </c>
      <c r="I175" s="170">
        <f>IF(TabelaSobras8[[#This Row],[Estoque]]&lt;=$V$2,$U$4,$U$5)</f>
        <v/>
      </c>
      <c r="J175" s="170">
        <f>TabelaSobras8[[#This Row],[Quantidade de Sobra INICIAL]]-K175</f>
        <v/>
      </c>
      <c r="K175" s="29">
        <f>TabelaSobras8[[#This Row],[Quantidade de Sobra INICIAL]]-TabelaSobras8[[#This Row],[Saída]]-TabelaSobras8[[#This Row],[Saída 2]]-P175</f>
        <v/>
      </c>
      <c r="L175" s="169" t="inlineStr">
        <is>
          <t>Nesher</t>
        </is>
      </c>
      <c r="M175" s="169">
        <f>TabelaSobras8[[#This Row],[Estoque]]*5.8575</f>
        <v/>
      </c>
      <c r="N175" s="170" t="n">
        <v>212</v>
      </c>
      <c r="O175" s="170" t="n"/>
      <c r="P175" s="170" t="n"/>
      <c r="Q175" s="170" t="inlineStr">
        <is>
          <t>REC 695X395 - N2601901</t>
        </is>
      </c>
      <c r="R175" s="170" t="inlineStr">
        <is>
          <t>Yuri</t>
        </is>
      </c>
      <c r="S175" s="6" t="n">
        <v>46066</v>
      </c>
      <c r="T175" s="12">
        <f>INT(TODAY()-TabelaSobras8[[#This Row],[Data do
Registro inical]])</f>
        <v/>
      </c>
    </row>
    <row r="176" hidden="1">
      <c r="A176" s="170" t="inlineStr">
        <is>
          <t>I26007</t>
        </is>
      </c>
      <c r="B176" s="170">
        <f>VLOOKUP(LEFT(A176,1),Tabela5[],2,0)</f>
        <v/>
      </c>
      <c r="C176" s="170" t="inlineStr">
        <is>
          <t>EUCADUR NT - 2,5MM</t>
        </is>
      </c>
      <c r="D176" s="169" t="n">
        <v>695</v>
      </c>
      <c r="E176" s="169" t="n">
        <v>381</v>
      </c>
      <c r="F176" s="169">
        <f>TEXT(TabelaSobras8[[#This Row],[Comprimento 
Sobras (mm)]],0) &amp; " X " &amp; TEXT(E176,0)</f>
        <v/>
      </c>
      <c r="G176" s="170">
        <f>(TabelaSobras8[[#This Row],[Comprimento 
Sobras (mm)]]*E176/1000000)</f>
        <v/>
      </c>
      <c r="H176" s="170" t="n">
        <v>318</v>
      </c>
      <c r="I176" s="170">
        <f>IF(TabelaSobras8[[#This Row],[Estoque]]&lt;=$V$2,$U$4,$U$5)</f>
        <v/>
      </c>
      <c r="J176" s="170">
        <f>TabelaSobras8[[#This Row],[Quantidade de Sobra INICIAL]]-K176</f>
        <v/>
      </c>
      <c r="K176" s="29">
        <f>TabelaSobras8[[#This Row],[Quantidade de Sobra INICIAL]]-TabelaSobras8[[#This Row],[Saída]]-TabelaSobras8[[#This Row],[Saída 2]]-P176</f>
        <v/>
      </c>
      <c r="L176" s="169" t="inlineStr">
        <is>
          <t>Nesher</t>
        </is>
      </c>
      <c r="M176" s="169">
        <f>TabelaSobras8[[#This Row],[Estoque]]*5.8575</f>
        <v/>
      </c>
      <c r="N176" s="170" t="n">
        <v>318</v>
      </c>
      <c r="O176" s="170" t="n"/>
      <c r="P176" s="170" t="n"/>
      <c r="Q176" s="170" t="inlineStr">
        <is>
          <t>N2601901</t>
        </is>
      </c>
      <c r="R176" s="170" t="inlineStr">
        <is>
          <t>Yuri</t>
        </is>
      </c>
      <c r="S176" s="6" t="n">
        <v>46066</v>
      </c>
      <c r="T176" s="12">
        <f>INT(TODAY()-TabelaSobras8[[#This Row],[Data do
Registro inical]])</f>
        <v/>
      </c>
    </row>
    <row r="177" hidden="1">
      <c r="A177" s="170" t="inlineStr">
        <is>
          <t>N</t>
        </is>
      </c>
      <c r="B177" s="170">
        <f>VLOOKUP(LEFT(A177,1),Tabela5[],2,0)</f>
        <v/>
      </c>
      <c r="C177" s="170" t="inlineStr">
        <is>
          <t>EUCADUR FRJ - 2,5MM</t>
        </is>
      </c>
      <c r="D177" s="169" t="n">
        <v>329</v>
      </c>
      <c r="E177" s="169" t="n">
        <v>398</v>
      </c>
      <c r="F177" s="169">
        <f>TEXT(TabelaSobras8[[#This Row],[Comprimento 
Sobras (mm)]],0) &amp; " X " &amp; TEXT(E177,0)</f>
        <v/>
      </c>
      <c r="G177" s="170">
        <f>(TabelaSobras8[[#This Row],[Comprimento 
Sobras (mm)]]*E177/1000000)</f>
        <v/>
      </c>
      <c r="H177" s="170" t="n">
        <v>620</v>
      </c>
      <c r="I177" s="170">
        <f>IF(TabelaSobras8[[#This Row],[Estoque]]&lt;=$V$2,$U$4,$U$5)</f>
        <v/>
      </c>
      <c r="J177" s="170">
        <f>TabelaSobras8[[#This Row],[Quantidade de Sobra INICIAL]]-K177</f>
        <v/>
      </c>
      <c r="K177" s="29">
        <f>TabelaSobras8[[#This Row],[Quantidade de Sobra INICIAL]]-TabelaSobras8[[#This Row],[Saída]]-TabelaSobras8[[#This Row],[Saída 2]]-P177</f>
        <v/>
      </c>
      <c r="L177" s="169" t="inlineStr">
        <is>
          <t>Nesher</t>
        </is>
      </c>
      <c r="M177" s="169">
        <f>TabelaSobras8[[#This Row],[Estoque]]*5.8575</f>
        <v/>
      </c>
      <c r="N177" s="170" t="n">
        <v>620</v>
      </c>
      <c r="O177" s="170" t="n"/>
      <c r="P177" s="170" t="n"/>
      <c r="Q177" s="170" t="inlineStr">
        <is>
          <t>N26016</t>
        </is>
      </c>
      <c r="R177" s="170" t="inlineStr">
        <is>
          <t>Yuri</t>
        </is>
      </c>
      <c r="S177" s="6" t="n">
        <v>46057</v>
      </c>
      <c r="T177" s="12">
        <f>INT(TODAY()-TabelaSobras8[[#This Row],[Data do
Registro inical]])</f>
        <v/>
      </c>
    </row>
    <row r="178" hidden="1">
      <c r="A178" s="170" t="inlineStr">
        <is>
          <t>N26017</t>
        </is>
      </c>
      <c r="B178" s="170">
        <f>VLOOKUP(LEFT(A178,1),Tabela5[],2,0)</f>
        <v/>
      </c>
      <c r="C178" s="170" t="inlineStr">
        <is>
          <t>EUCADUR FRJ - 2,5MM</t>
        </is>
      </c>
      <c r="D178" s="169" t="n">
        <v>1195</v>
      </c>
      <c r="E178" s="169" t="n">
        <v>170</v>
      </c>
      <c r="F178" s="169">
        <f>TEXT(TabelaSobras8[[#This Row],[Comprimento 
Sobras (mm)]],0) &amp; " X " &amp; TEXT(E178,0)</f>
        <v/>
      </c>
      <c r="G178" s="170">
        <f>(TabelaSobras8[[#This Row],[Comprimento 
Sobras (mm)]]*E178/1000000)</f>
        <v/>
      </c>
      <c r="H178" s="170" t="n">
        <v>220</v>
      </c>
      <c r="I178" s="170">
        <f>IF(TabelaSobras8[[#This Row],[Estoque]]&lt;=$V$2,$U$4,$U$5)</f>
        <v/>
      </c>
      <c r="J178" s="170">
        <f>TabelaSobras8[[#This Row],[Quantidade de Sobra INICIAL]]-K178</f>
        <v/>
      </c>
      <c r="K178" s="29">
        <f>TabelaSobras8[[#This Row],[Quantidade de Sobra INICIAL]]-TabelaSobras8[[#This Row],[Saída]]-TabelaSobras8[[#This Row],[Saída 2]]-P178</f>
        <v/>
      </c>
      <c r="L178" s="169" t="inlineStr">
        <is>
          <t>Nesher</t>
        </is>
      </c>
      <c r="M178" s="169">
        <f>TabelaSobras8[[#This Row],[Estoque]]*5.8575</f>
        <v/>
      </c>
      <c r="N178" s="170" t="n">
        <v>220</v>
      </c>
      <c r="O178" s="170" t="n"/>
      <c r="P178" s="170" t="n"/>
      <c r="Q178" s="42" t="inlineStr">
        <is>
          <t>N26022</t>
        </is>
      </c>
      <c r="R178" s="170" t="inlineStr">
        <is>
          <t>Yuri</t>
        </is>
      </c>
      <c r="S178" s="6" t="n">
        <v>46072</v>
      </c>
      <c r="T178" s="12">
        <f>INT(TODAY()-TabelaSobras8[[#This Row],[Data do
Registro inical]])</f>
        <v/>
      </c>
    </row>
    <row r="179" hidden="1">
      <c r="A179" s="170" t="inlineStr">
        <is>
          <t>N26017</t>
        </is>
      </c>
      <c r="B179" s="170">
        <f>VLOOKUP(LEFT(A179,1),Tabela5[],2,0)</f>
        <v/>
      </c>
      <c r="C179" s="170" t="inlineStr">
        <is>
          <t>EUCADUR FRJ - 2,5MM</t>
        </is>
      </c>
      <c r="D179" s="169" t="n">
        <v>805</v>
      </c>
      <c r="E179" s="169" t="n">
        <v>330</v>
      </c>
      <c r="F179" s="169">
        <f>TEXT(TabelaSobras8[[#This Row],[Comprimento 
Sobras (mm)]],0) &amp; " X " &amp; TEXT(E179,0)</f>
        <v/>
      </c>
      <c r="G179" s="170">
        <f>(TabelaSobras8[[#This Row],[Comprimento 
Sobras (mm)]]*E179/1000000)</f>
        <v/>
      </c>
      <c r="H179" s="170" t="n">
        <v>300</v>
      </c>
      <c r="I179" s="170">
        <f>IF(TabelaSobras8[[#This Row],[Estoque]]&lt;=$V$2,$U$4,$U$5)</f>
        <v/>
      </c>
      <c r="J179" s="170">
        <f>TabelaSobras8[[#This Row],[Quantidade de Sobra INICIAL]]-K179</f>
        <v/>
      </c>
      <c r="K179" s="29">
        <f>TabelaSobras8[[#This Row],[Quantidade de Sobra INICIAL]]-TabelaSobras8[[#This Row],[Saída]]-TabelaSobras8[[#This Row],[Saída 2]]-P179</f>
        <v/>
      </c>
      <c r="L179" s="169" t="inlineStr">
        <is>
          <t>Nesher</t>
        </is>
      </c>
      <c r="M179" s="169">
        <f>TabelaSobras8[[#This Row],[Estoque]]*5.8575</f>
        <v/>
      </c>
      <c r="N179" s="170" t="n">
        <v>300</v>
      </c>
      <c r="O179" s="170" t="n"/>
      <c r="P179" s="170" t="n"/>
      <c r="Q179" s="42" t="inlineStr">
        <is>
          <t>N26022</t>
        </is>
      </c>
      <c r="R179" s="170" t="inlineStr">
        <is>
          <t>Yuri</t>
        </is>
      </c>
      <c r="S179" s="6" t="n">
        <v>46072</v>
      </c>
      <c r="T179" s="12">
        <f>INT(TODAY()-TabelaSobras8[[#This Row],[Data do
Registro inical]])</f>
        <v/>
      </c>
    </row>
    <row r="180" hidden="1">
      <c r="A180" s="170" t="inlineStr">
        <is>
          <t>N26017</t>
        </is>
      </c>
      <c r="B180" s="170">
        <f>VLOOKUP(LEFT(A180,1),Tabela5[],2,0)</f>
        <v/>
      </c>
      <c r="C180" s="170" t="inlineStr">
        <is>
          <t>EUCADUR FRJ - 2,5MM</t>
        </is>
      </c>
      <c r="D180" s="169" t="n">
        <v>329</v>
      </c>
      <c r="E180" s="169" t="n">
        <v>398</v>
      </c>
      <c r="F180" s="169">
        <f>TEXT(TabelaSobras8[[#This Row],[Comprimento 
Sobras (mm)]],0) &amp; " X " &amp; TEXT(E180,0)</f>
        <v/>
      </c>
      <c r="G180" s="170">
        <f>(TabelaSobras8[[#This Row],[Comprimento 
Sobras (mm)]]*E180/1000000)</f>
        <v/>
      </c>
      <c r="H180" s="170" t="n">
        <v>276</v>
      </c>
      <c r="I180" s="170">
        <f>IF(TabelaSobras8[[#This Row],[Estoque]]&lt;=$V$2,$U$4,$U$5)</f>
        <v/>
      </c>
      <c r="J180" s="170">
        <f>TabelaSobras8[[#This Row],[Quantidade de Sobra INICIAL]]-K180</f>
        <v/>
      </c>
      <c r="K180" s="29">
        <f>TabelaSobras8[[#This Row],[Quantidade de Sobra INICIAL]]-TabelaSobras8[[#This Row],[Saída]]-TabelaSobras8[[#This Row],[Saída 2]]-P180</f>
        <v/>
      </c>
      <c r="L180" s="169" t="inlineStr">
        <is>
          <t>Nesher</t>
        </is>
      </c>
      <c r="M180" s="169">
        <f>TabelaSobras8[[#This Row],[Estoque]]*5.8575</f>
        <v/>
      </c>
      <c r="N180" s="170" t="n">
        <v>276</v>
      </c>
      <c r="O180" s="170" t="n"/>
      <c r="P180" s="170" t="n"/>
      <c r="Q180" s="42" t="n"/>
      <c r="R180" s="170" t="inlineStr">
        <is>
          <t>Yuri</t>
        </is>
      </c>
      <c r="S180" s="6" t="n">
        <v>46072</v>
      </c>
      <c r="T180" s="12">
        <f>INT(TODAY()-TabelaSobras8[[#This Row],[Data do
Registro inical]])</f>
        <v/>
      </c>
    </row>
    <row r="181" hidden="1">
      <c r="A181" s="170" t="inlineStr">
        <is>
          <t>N2601901</t>
        </is>
      </c>
      <c r="B181" s="170">
        <f>VLOOKUP(LEFT(A181,1),Tabela5[],2,0)</f>
        <v/>
      </c>
      <c r="C181" s="170" t="inlineStr">
        <is>
          <t>EUCADUR NT - 2,5MM</t>
        </is>
      </c>
      <c r="D181" s="169" t="n">
        <v>520</v>
      </c>
      <c r="E181" s="169" t="n">
        <v>398</v>
      </c>
      <c r="F181" s="169">
        <f>TEXT(TabelaSobras8[[#This Row],[Comprimento 
Sobras (mm)]],0) &amp; " X " &amp; TEXT(E181,0)</f>
        <v/>
      </c>
      <c r="G181" s="170">
        <f>(TabelaSobras8[[#This Row],[Comprimento 
Sobras (mm)]]*E181/1000000)</f>
        <v/>
      </c>
      <c r="H181" s="170" t="n">
        <v>480</v>
      </c>
      <c r="I181" s="170">
        <f>IF(TabelaSobras8[[#This Row],[Estoque]]&lt;=$V$2,$U$4,$U$5)</f>
        <v/>
      </c>
      <c r="J181" s="170">
        <f>TabelaSobras8[[#This Row],[Quantidade de Sobra INICIAL]]-K181</f>
        <v/>
      </c>
      <c r="K181" s="29">
        <f>TabelaSobras8[[#This Row],[Quantidade de Sobra INICIAL]]-TabelaSobras8[[#This Row],[Saída]]-TabelaSobras8[[#This Row],[Saída 2]]-P181</f>
        <v/>
      </c>
      <c r="L181" s="169" t="inlineStr">
        <is>
          <t>Nesher</t>
        </is>
      </c>
      <c r="M181" s="169">
        <f>TabelaSobras8[[#This Row],[Estoque]]*5.8575</f>
        <v/>
      </c>
      <c r="N181" s="170" t="n">
        <v>480</v>
      </c>
      <c r="O181" s="170" t="n"/>
      <c r="P181" s="170" t="n"/>
      <c r="Q181" s="55" t="inlineStr">
        <is>
          <t>N26020</t>
        </is>
      </c>
      <c r="R181" s="170" t="inlineStr">
        <is>
          <t>Yuri</t>
        </is>
      </c>
      <c r="S181" s="6" t="n">
        <v>46085</v>
      </c>
      <c r="T181" s="12">
        <f>INT(TODAY()-TabelaSobras8[[#This Row],[Data do
Registro inical]])</f>
        <v/>
      </c>
    </row>
    <row r="182" hidden="1">
      <c r="A182" s="170" t="inlineStr">
        <is>
          <t>N2601901</t>
        </is>
      </c>
      <c r="B182" s="170">
        <f>VLOOKUP(LEFT(A182,1),Tabela5[],2,0)</f>
        <v/>
      </c>
      <c r="C182" s="170" t="inlineStr">
        <is>
          <t>EUCADUR NT - 2,5MM</t>
        </is>
      </c>
      <c r="D182" s="169" t="n">
        <v>795</v>
      </c>
      <c r="E182" s="169" t="n">
        <v>379</v>
      </c>
      <c r="F182" s="169">
        <f>TEXT(TabelaSobras8[[#This Row],[Comprimento 
Sobras (mm)]],0) &amp; " X " &amp; TEXT(E182,0)</f>
        <v/>
      </c>
      <c r="G182" s="170">
        <f>(TabelaSobras8[[#This Row],[Comprimento 
Sobras (mm)]]*E182/1000000)</f>
        <v/>
      </c>
      <c r="H182" s="170" t="n">
        <v>70</v>
      </c>
      <c r="I182" s="170">
        <f>IF(TabelaSobras8[[#This Row],[Estoque]]&lt;=$V$2,$U$4,$U$5)</f>
        <v/>
      </c>
      <c r="J182" s="170">
        <f>TabelaSobras8[[#This Row],[Quantidade de Sobra INICIAL]]-K182</f>
        <v/>
      </c>
      <c r="K182" s="29">
        <f>TabelaSobras8[[#This Row],[Quantidade de Sobra INICIAL]]-TabelaSobras8[[#This Row],[Saída]]-TabelaSobras8[[#This Row],[Saída 2]]-P182</f>
        <v/>
      </c>
      <c r="L182" s="169" t="inlineStr">
        <is>
          <t>Nesher</t>
        </is>
      </c>
      <c r="M182" s="169">
        <f>TabelaSobras8[[#This Row],[Estoque]]*5.8575</f>
        <v/>
      </c>
      <c r="N182" s="170" t="n">
        <v>70</v>
      </c>
      <c r="O182" s="170" t="n"/>
      <c r="P182" s="170" t="n"/>
      <c r="Q182" s="55" t="inlineStr">
        <is>
          <t>N2601908</t>
        </is>
      </c>
      <c r="R182" s="170" t="inlineStr">
        <is>
          <t>Yuri</t>
        </is>
      </c>
      <c r="S182" s="6" t="n">
        <v>46085</v>
      </c>
      <c r="T182" s="12">
        <f>INT(TODAY()-TabelaSobras8[[#This Row],[Data do
Registro inical]])</f>
        <v/>
      </c>
    </row>
    <row r="183" hidden="1">
      <c r="A183" s="170" t="inlineStr">
        <is>
          <t>N26018</t>
        </is>
      </c>
      <c r="B183" s="170">
        <f>VLOOKUP(LEFT(A183,1),Tabela5[],2,0)</f>
        <v/>
      </c>
      <c r="C183" s="170" t="inlineStr">
        <is>
          <t>EUCADUR NT - 2,5MM</t>
        </is>
      </c>
      <c r="D183" s="169" t="n">
        <v>795</v>
      </c>
      <c r="E183" s="169" t="n">
        <v>404</v>
      </c>
      <c r="F183" s="169">
        <f>TEXT(TabelaSobras8[[#This Row],[Comprimento 
Sobras (mm)]],0) &amp; " X " &amp; TEXT(E183,0)</f>
        <v/>
      </c>
      <c r="G183" s="170">
        <f>(TabelaSobras8[[#This Row],[Comprimento 
Sobras (mm)]]*E183/1000000)</f>
        <v/>
      </c>
      <c r="H183" s="170" t="n">
        <v>150</v>
      </c>
      <c r="I183" s="170">
        <f>IF(TabelaSobras8[[#This Row],[Estoque]]&lt;=$V$2,$U$4,$U$5)</f>
        <v/>
      </c>
      <c r="J183" s="170">
        <f>TabelaSobras8[[#This Row],[Quantidade de Sobra INICIAL]]-K183</f>
        <v/>
      </c>
      <c r="K183" s="29">
        <f>TabelaSobras8[[#This Row],[Quantidade de Sobra INICIAL]]-TabelaSobras8[[#This Row],[Saída]]-TabelaSobras8[[#This Row],[Saída 2]]-P183</f>
        <v/>
      </c>
      <c r="L183" s="169" t="inlineStr">
        <is>
          <t>Nesher</t>
        </is>
      </c>
      <c r="M183" s="169">
        <f>TabelaSobras8[[#This Row],[Estoque]]*5.8575</f>
        <v/>
      </c>
      <c r="N183" s="170" t="n">
        <v>150</v>
      </c>
      <c r="O183" s="170" t="n"/>
      <c r="P183" s="170" t="n"/>
      <c r="Q183" s="42" t="inlineStr">
        <is>
          <t>N2601908</t>
        </is>
      </c>
      <c r="R183" s="170" t="inlineStr">
        <is>
          <t>Yuri</t>
        </is>
      </c>
      <c r="S183" s="6" t="n">
        <v>46085</v>
      </c>
      <c r="T183" s="12">
        <f>INT(TODAY()-TabelaSobras8[[#This Row],[Data do
Registro inical]])</f>
        <v/>
      </c>
    </row>
    <row r="184" hidden="1">
      <c r="A184" s="170" t="inlineStr">
        <is>
          <t>N26018</t>
        </is>
      </c>
      <c r="B184" s="170">
        <f>VLOOKUP(LEFT(A184,1),Tabela5[],2,0)</f>
        <v/>
      </c>
      <c r="C184" s="170" t="inlineStr">
        <is>
          <t>EUCADUR NT - 2,5MM</t>
        </is>
      </c>
      <c r="D184" s="169" t="n">
        <v>1195</v>
      </c>
      <c r="E184" s="169" t="n">
        <v>523</v>
      </c>
      <c r="F184" s="169">
        <f>TEXT(TabelaSobras8[[#This Row],[Comprimento 
Sobras (mm)]],0) &amp; " X " &amp; TEXT(E184,0)</f>
        <v/>
      </c>
      <c r="G184" s="170">
        <f>(TabelaSobras8[[#This Row],[Comprimento 
Sobras (mm)]]*E184/1000000)</f>
        <v/>
      </c>
      <c r="H184" s="170" t="n">
        <v>92</v>
      </c>
      <c r="I184" s="170">
        <f>IF(TabelaSobras8[[#This Row],[Estoque]]&lt;=$V$2,$U$4,$U$5)</f>
        <v/>
      </c>
      <c r="J184" s="170">
        <f>TabelaSobras8[[#This Row],[Quantidade de Sobra INICIAL]]-K184</f>
        <v/>
      </c>
      <c r="K184" s="29">
        <f>TabelaSobras8[[#This Row],[Quantidade de Sobra INICIAL]]-TabelaSobras8[[#This Row],[Saída]]-TabelaSobras8[[#This Row],[Saída 2]]-P184</f>
        <v/>
      </c>
      <c r="L184" s="169" t="inlineStr">
        <is>
          <t>Nesher</t>
        </is>
      </c>
      <c r="M184" s="169">
        <f>TabelaSobras8[[#This Row],[Estoque]]*5.8575</f>
        <v/>
      </c>
      <c r="N184" s="170" t="n">
        <v>92</v>
      </c>
      <c r="O184" s="170" t="n"/>
      <c r="P184" s="170" t="n"/>
      <c r="Q184" s="42" t="inlineStr">
        <is>
          <t>N26025</t>
        </is>
      </c>
      <c r="R184" s="170" t="inlineStr">
        <is>
          <t>Yuri</t>
        </is>
      </c>
      <c r="S184" s="6" t="n">
        <v>46087</v>
      </c>
      <c r="T184" s="12">
        <f>INT(TODAY()-TabelaSobras8[[#This Row],[Data do
Registro inical]])</f>
        <v/>
      </c>
    </row>
    <row r="185" hidden="1">
      <c r="A185" s="170" t="inlineStr">
        <is>
          <t>N26018</t>
        </is>
      </c>
      <c r="B185" s="170">
        <f>VLOOKUP(LEFT(A185,1),Tabela5[],2,0)</f>
        <v/>
      </c>
      <c r="C185" s="170" t="inlineStr">
        <is>
          <t>EUCADUR NT - 2,5MM</t>
        </is>
      </c>
      <c r="D185" s="169" t="n">
        <v>695</v>
      </c>
      <c r="E185" s="169" t="n">
        <v>440</v>
      </c>
      <c r="F185" s="169">
        <f>TEXT(TabelaSobras8[[#This Row],[Comprimento 
Sobras (mm)]],0) &amp; " X " &amp; TEXT(E185,0)</f>
        <v/>
      </c>
      <c r="G185" s="170">
        <f>(TabelaSobras8[[#This Row],[Comprimento 
Sobras (mm)]]*E185/1000000)</f>
        <v/>
      </c>
      <c r="H185" s="170" t="n">
        <v>50</v>
      </c>
      <c r="I185" s="170">
        <f>IF(TabelaSobras8[[#This Row],[Estoque]]&lt;=$V$2,$U$4,$U$5)</f>
        <v/>
      </c>
      <c r="J185" s="170">
        <f>TabelaSobras8[[#This Row],[Quantidade de Sobra INICIAL]]-K185</f>
        <v/>
      </c>
      <c r="K185" s="29">
        <f>TabelaSobras8[[#This Row],[Quantidade de Sobra INICIAL]]-TabelaSobras8[[#This Row],[Saída]]-TabelaSobras8[[#This Row],[Saída 2]]-P185</f>
        <v/>
      </c>
      <c r="L185" s="169" t="inlineStr">
        <is>
          <t>Nesher</t>
        </is>
      </c>
      <c r="M185" s="169">
        <f>TabelaSobras8[[#This Row],[Estoque]]*5.8575</f>
        <v/>
      </c>
      <c r="N185" s="170" t="n">
        <v>50</v>
      </c>
      <c r="O185" s="170" t="n"/>
      <c r="P185" s="170" t="n"/>
      <c r="Q185" s="42" t="n"/>
      <c r="R185" s="170" t="inlineStr">
        <is>
          <t>Yuri</t>
        </is>
      </c>
      <c r="S185" s="6" t="n">
        <v>46087</v>
      </c>
      <c r="T185" s="12">
        <f>INT(TODAY()-TabelaSobras8[[#This Row],[Data do
Registro inical]])</f>
        <v/>
      </c>
    </row>
    <row r="186" hidden="1">
      <c r="A186" s="170" t="inlineStr">
        <is>
          <t>N26018</t>
        </is>
      </c>
      <c r="B186" s="170">
        <f>VLOOKUP(LEFT(A186,1),Tabela5[],2,0)</f>
        <v/>
      </c>
      <c r="C186" s="170" t="inlineStr">
        <is>
          <t>EUCADUR NT - 2,5MM</t>
        </is>
      </c>
      <c r="D186" s="169" t="n">
        <v>539</v>
      </c>
      <c r="E186" s="169" t="n">
        <v>398</v>
      </c>
      <c r="F186" s="169">
        <f>TEXT(TabelaSobras8[[#This Row],[Comprimento 
Sobras (mm)]],0) &amp; " X " &amp; TEXT(E186,0)</f>
        <v/>
      </c>
      <c r="G186" s="170">
        <f>(TabelaSobras8[[#This Row],[Comprimento 
Sobras (mm)]]*E186/1000000)</f>
        <v/>
      </c>
      <c r="H186" s="170" t="n">
        <v>150</v>
      </c>
      <c r="I186" s="170">
        <f>IF(TabelaSobras8[[#This Row],[Estoque]]&lt;=$V$2,$U$4,$U$5)</f>
        <v/>
      </c>
      <c r="J186" s="170">
        <f>TabelaSobras8[[#This Row],[Quantidade de Sobra INICIAL]]-K186</f>
        <v/>
      </c>
      <c r="K186" s="29">
        <f>TabelaSobras8[[#This Row],[Quantidade de Sobra INICIAL]]-TabelaSobras8[[#This Row],[Saída]]-TabelaSobras8[[#This Row],[Saída 2]]-P186</f>
        <v/>
      </c>
      <c r="L186" s="169" t="inlineStr">
        <is>
          <t>Nesher</t>
        </is>
      </c>
      <c r="M186" s="169">
        <f>TabelaSobras8[[#This Row],[Estoque]]*5.8575</f>
        <v/>
      </c>
      <c r="N186" s="170" t="n">
        <v>150</v>
      </c>
      <c r="O186" s="170" t="n"/>
      <c r="P186" s="170" t="n"/>
      <c r="Q186" s="55" t="inlineStr">
        <is>
          <t>N26020</t>
        </is>
      </c>
      <c r="R186" s="170" t="inlineStr">
        <is>
          <t>Yuri</t>
        </is>
      </c>
      <c r="S186" s="6" t="n">
        <v>46087</v>
      </c>
      <c r="T186" s="12">
        <f>INT(TODAY()-TabelaSobras8[[#This Row],[Data do
Registro inical]])</f>
        <v/>
      </c>
    </row>
    <row r="187" hidden="1">
      <c r="A187" s="170" t="inlineStr">
        <is>
          <t>N26018</t>
        </is>
      </c>
      <c r="B187" s="170">
        <f>VLOOKUP(LEFT(A187,1),Tabela5[],2,0)</f>
        <v/>
      </c>
      <c r="C187" s="170" t="inlineStr">
        <is>
          <t>EUCADUR NT - 2,5MM</t>
        </is>
      </c>
      <c r="D187" s="169" t="n">
        <v>334</v>
      </c>
      <c r="E187" s="169" t="n">
        <v>398</v>
      </c>
      <c r="F187" s="169">
        <f>TEXT(TabelaSobras8[[#This Row],[Comprimento 
Sobras (mm)]],0) &amp; " X " &amp; TEXT(E187,0)</f>
        <v/>
      </c>
      <c r="G187" s="170">
        <f>(TabelaSobras8[[#This Row],[Comprimento 
Sobras (mm)]]*E187/1000000)</f>
        <v/>
      </c>
      <c r="H187" s="170" t="n">
        <v>50</v>
      </c>
      <c r="I187" s="170">
        <f>IF(TabelaSobras8[[#This Row],[Estoque]]&lt;=$V$2,$U$4,$U$5)</f>
        <v/>
      </c>
      <c r="J187" s="170">
        <f>TabelaSobras8[[#This Row],[Quantidade de Sobra INICIAL]]-K187</f>
        <v/>
      </c>
      <c r="K187" s="29">
        <f>TabelaSobras8[[#This Row],[Quantidade de Sobra INICIAL]]-TabelaSobras8[[#This Row],[Saída]]-TabelaSobras8[[#This Row],[Saída 2]]-P187</f>
        <v/>
      </c>
      <c r="L187" s="169" t="inlineStr">
        <is>
          <t>Nesher</t>
        </is>
      </c>
      <c r="M187" s="169">
        <f>TabelaSobras8[[#This Row],[Estoque]]*5.8575</f>
        <v/>
      </c>
      <c r="N187" s="170" t="n">
        <v>50</v>
      </c>
      <c r="O187" s="170" t="n"/>
      <c r="P187" s="170" t="n"/>
      <c r="Q187" s="42" t="n"/>
      <c r="R187" s="170" t="inlineStr">
        <is>
          <t>Yuri</t>
        </is>
      </c>
      <c r="S187" s="6" t="n">
        <v>46087</v>
      </c>
      <c r="T187" s="12">
        <f>INT(TODAY()-TabelaSobras8[[#This Row],[Data do
Registro inical]])</f>
        <v/>
      </c>
    </row>
    <row r="188" hidden="1">
      <c r="A188" s="170" t="inlineStr">
        <is>
          <t>N26020</t>
        </is>
      </c>
      <c r="B188" s="170">
        <f>VLOOKUP(LEFT(A188,1),Tabela5[],2,0)</f>
        <v/>
      </c>
      <c r="C188" s="170" t="inlineStr">
        <is>
          <t>EUCADUR FRJ - 2,5MM</t>
        </is>
      </c>
      <c r="D188" s="169" t="n">
        <v>329</v>
      </c>
      <c r="E188" s="169" t="n">
        <v>398</v>
      </c>
      <c r="F188" s="169">
        <f>TEXT(TabelaSobras8[[#This Row],[Comprimento 
Sobras (mm)]],0) &amp; " X " &amp; TEXT(E188,0)</f>
        <v/>
      </c>
      <c r="G188" s="170">
        <f>(TabelaSobras8[[#This Row],[Comprimento 
Sobras (mm)]]*E188/1000000)</f>
        <v/>
      </c>
      <c r="H188" s="170" t="n">
        <v>885</v>
      </c>
      <c r="I188" s="170">
        <f>IF(TabelaSobras8[[#This Row],[Estoque]]&lt;=$V$2,$U$4,$U$5)</f>
        <v/>
      </c>
      <c r="J188" s="170">
        <f>TabelaSobras8[[#This Row],[Quantidade de Sobra INICIAL]]-K188</f>
        <v/>
      </c>
      <c r="K188" s="29">
        <f>TabelaSobras8[[#This Row],[Quantidade de Sobra INICIAL]]-TabelaSobras8[[#This Row],[Saída]]-TabelaSobras8[[#This Row],[Saída 2]]-P188</f>
        <v/>
      </c>
      <c r="L188" s="169" t="inlineStr">
        <is>
          <t>Nesher</t>
        </is>
      </c>
      <c r="M188" s="169">
        <f>TabelaSobras8[[#This Row],[Estoque]]*5.8575</f>
        <v/>
      </c>
      <c r="N188" s="170" t="n">
        <v>885</v>
      </c>
      <c r="O188" s="170" t="n"/>
      <c r="P188" s="170" t="n"/>
      <c r="Q188" s="42" t="inlineStr">
        <is>
          <t>N26022</t>
        </is>
      </c>
      <c r="R188" s="170" t="inlineStr">
        <is>
          <t>Yuri</t>
        </is>
      </c>
      <c r="S188" s="6" t="n">
        <v>46091</v>
      </c>
      <c r="T188" s="12">
        <f>INT(TODAY()-TabelaSobras8[[#This Row],[Data do
Registro inical]])</f>
        <v/>
      </c>
    </row>
    <row r="189" hidden="1">
      <c r="A189" s="8" t="inlineStr">
        <is>
          <t>N26020|N26022</t>
        </is>
      </c>
      <c r="B189" s="170">
        <f>VLOOKUP(LEFT(A189,1),Tabela5[],2,0)</f>
        <v/>
      </c>
      <c r="C189" s="170" t="inlineStr">
        <is>
          <t>EUCADUR FRJ - 2,5MM</t>
        </is>
      </c>
      <c r="D189" s="169" t="n">
        <v>795</v>
      </c>
      <c r="E189" s="169" t="n">
        <v>290</v>
      </c>
      <c r="F189" s="169">
        <f>TEXT(TabelaSobras8[[#This Row],[Comprimento 
Sobras (mm)]],0) &amp; " X " &amp; TEXT(E189,0)</f>
        <v/>
      </c>
      <c r="G189" s="170">
        <f>(TabelaSobras8[[#This Row],[Comprimento 
Sobras (mm)]]*E189/1000000)</f>
        <v/>
      </c>
      <c r="H189" s="170" t="n">
        <v>220</v>
      </c>
      <c r="I189" s="170">
        <f>IF(TabelaSobras8[[#This Row],[Estoque]]&lt;=$V$2,$U$4,$U$5)</f>
        <v/>
      </c>
      <c r="J189" s="170">
        <f>TabelaSobras8[[#This Row],[Quantidade de Sobra INICIAL]]-K189</f>
        <v/>
      </c>
      <c r="K189" s="29">
        <f>TabelaSobras8[[#This Row],[Quantidade de Sobra INICIAL]]-TabelaSobras8[[#This Row],[Saída]]-TabelaSobras8[[#This Row],[Saída 2]]-P189</f>
        <v/>
      </c>
      <c r="L189" s="169" t="inlineStr">
        <is>
          <t>Nesher</t>
        </is>
      </c>
      <c r="M189" s="169">
        <f>TabelaSobras8[[#This Row],[Estoque]]*5.8575</f>
        <v/>
      </c>
      <c r="N189" s="170" t="n">
        <v>220</v>
      </c>
      <c r="O189" s="170" t="n"/>
      <c r="P189" s="170" t="n"/>
      <c r="Q189" s="42" t="inlineStr">
        <is>
          <t>N26026</t>
        </is>
      </c>
      <c r="R189" s="170" t="inlineStr">
        <is>
          <t>Yuri</t>
        </is>
      </c>
      <c r="S189" s="6" t="n">
        <v>46091</v>
      </c>
      <c r="T189" s="12">
        <f>INT(TODAY()-TabelaSobras8[[#This Row],[Data do
Registro inical]])</f>
        <v/>
      </c>
    </row>
    <row r="190" hidden="1">
      <c r="A190" s="170" t="inlineStr">
        <is>
          <t>N26020</t>
        </is>
      </c>
      <c r="B190" s="170">
        <f>VLOOKUP(LEFT(A190,1),Tabela5[],2,0)</f>
        <v/>
      </c>
      <c r="C190" s="170" t="inlineStr">
        <is>
          <t>EUCADUR FRJ - 2,5MM</t>
        </is>
      </c>
      <c r="D190" s="169" t="n">
        <v>655</v>
      </c>
      <c r="E190" s="169" t="n">
        <v>390</v>
      </c>
      <c r="F190" s="169">
        <f>TEXT(TabelaSobras8[[#This Row],[Comprimento 
Sobras (mm)]],0) &amp; " X " &amp; TEXT(E190,0)</f>
        <v/>
      </c>
      <c r="G190" s="170">
        <f>(TabelaSobras8[[#This Row],[Comprimento 
Sobras (mm)]]*E190/1000000)</f>
        <v/>
      </c>
      <c r="H190" s="170" t="n">
        <v>272</v>
      </c>
      <c r="I190" s="170">
        <f>IF(TabelaSobras8[[#This Row],[Estoque]]&lt;=$V$2,$U$4,$U$5)</f>
        <v/>
      </c>
      <c r="J190" s="170">
        <f>TabelaSobras8[[#This Row],[Quantidade de Sobra INICIAL]]-K190</f>
        <v/>
      </c>
      <c r="K190" s="29">
        <f>TabelaSobras8[[#This Row],[Quantidade de Sobra INICIAL]]-TabelaSobras8[[#This Row],[Saída]]-TabelaSobras8[[#This Row],[Saída 2]]-P190</f>
        <v/>
      </c>
      <c r="L190" s="169" t="inlineStr">
        <is>
          <t>Nesher</t>
        </is>
      </c>
      <c r="M190" s="169">
        <f>TabelaSobras8[[#This Row],[Estoque]]*5.8575</f>
        <v/>
      </c>
      <c r="N190" s="170" t="n">
        <v>272</v>
      </c>
      <c r="O190" s="170" t="n"/>
      <c r="P190" s="170" t="n"/>
      <c r="Q190" s="42" t="inlineStr">
        <is>
          <t>N26022</t>
        </is>
      </c>
      <c r="R190" s="170" t="inlineStr">
        <is>
          <t>Yuri</t>
        </is>
      </c>
      <c r="S190" s="6" t="n">
        <v>46091</v>
      </c>
      <c r="T190" s="12">
        <f>INT(TODAY()-TabelaSobras8[[#This Row],[Data do
Registro inical]])</f>
        <v/>
      </c>
    </row>
    <row r="191" hidden="1">
      <c r="A191" s="170" t="inlineStr">
        <is>
          <t>N26020</t>
        </is>
      </c>
      <c r="B191" s="170">
        <f>VLOOKUP(LEFT(A191,1),Tabela5[],2,0)</f>
        <v/>
      </c>
      <c r="C191" s="170" t="inlineStr">
        <is>
          <t>EUCADUR FRJ - 2,5MM</t>
        </is>
      </c>
      <c r="D191" s="169" t="n">
        <v>1195</v>
      </c>
      <c r="E191" s="169" t="n">
        <v>170</v>
      </c>
      <c r="F191" s="169">
        <f>TEXT(TabelaSobras8[[#This Row],[Comprimento 
Sobras (mm)]],0) &amp; " X " &amp; TEXT(E191,0)</f>
        <v/>
      </c>
      <c r="G191" s="170">
        <f>(TabelaSobras8[[#This Row],[Comprimento 
Sobras (mm)]]*E191/1000000)</f>
        <v/>
      </c>
      <c r="H191" s="170" t="n">
        <v>100</v>
      </c>
      <c r="I191" s="170">
        <f>IF(TabelaSobras8[[#This Row],[Estoque]]&lt;=$V$2,$U$4,$U$5)</f>
        <v/>
      </c>
      <c r="J191" s="170">
        <f>TabelaSobras8[[#This Row],[Quantidade de Sobra INICIAL]]-K191</f>
        <v/>
      </c>
      <c r="K191" s="29">
        <f>TabelaSobras8[[#This Row],[Quantidade de Sobra INICIAL]]-TabelaSobras8[[#This Row],[Saída]]-TabelaSobras8[[#This Row],[Saída 2]]-P191</f>
        <v/>
      </c>
      <c r="L191" s="169" t="inlineStr">
        <is>
          <t>Nesher</t>
        </is>
      </c>
      <c r="M191" s="169">
        <f>TabelaSobras8[[#This Row],[Estoque]]*5.8575</f>
        <v/>
      </c>
      <c r="N191" s="170" t="n">
        <v>100</v>
      </c>
      <c r="O191" s="170" t="n"/>
      <c r="P191" s="170" t="n"/>
      <c r="Q191" s="42" t="inlineStr">
        <is>
          <t>N26022</t>
        </is>
      </c>
      <c r="R191" s="170" t="inlineStr">
        <is>
          <t>Yuri</t>
        </is>
      </c>
      <c r="S191" s="6" t="n">
        <v>46091</v>
      </c>
      <c r="T191" s="12">
        <f>INT(TODAY()-TabelaSobras8[[#This Row],[Data do
Registro inical]])</f>
        <v/>
      </c>
    </row>
    <row r="192" hidden="1" ht="28.8" customHeight="1">
      <c r="A192" s="8" t="inlineStr">
        <is>
          <t>N26020|N2601909</t>
        </is>
      </c>
      <c r="B192" s="170">
        <f>VLOOKUP(LEFT(A192,1),Tabela5[],2,0)</f>
        <v/>
      </c>
      <c r="C192" s="170" t="inlineStr">
        <is>
          <t>EUCADUR NT - 2,5MM</t>
        </is>
      </c>
      <c r="D192" s="169" t="n">
        <v>987</v>
      </c>
      <c r="E192" s="169" t="n">
        <v>268</v>
      </c>
      <c r="F192" s="169">
        <f>TEXT(TabelaSobras8[[#This Row],[Comprimento 
Sobras (mm)]],0) &amp; " X " &amp; TEXT(E192,0)</f>
        <v/>
      </c>
      <c r="G192" s="170">
        <f>(TabelaSobras8[[#This Row],[Comprimento 
Sobras (mm)]]*E192/1000000)</f>
        <v/>
      </c>
      <c r="H192" s="170">
        <f>144+112</f>
        <v/>
      </c>
      <c r="I192" s="170">
        <f>IF(TabelaSobras8[[#This Row],[Estoque]]&lt;=$V$2,$U$4,$U$5)</f>
        <v/>
      </c>
      <c r="J192" s="170">
        <f>TabelaSobras8[[#This Row],[Quantidade de Sobra INICIAL]]-K192</f>
        <v/>
      </c>
      <c r="K192" s="29">
        <f>TabelaSobras8[[#This Row],[Quantidade de Sobra INICIAL]]-TabelaSobras8[[#This Row],[Saída]]-TabelaSobras8[[#This Row],[Saída 2]]-P192</f>
        <v/>
      </c>
      <c r="L192" s="169" t="inlineStr">
        <is>
          <t>Nesher</t>
        </is>
      </c>
      <c r="M192" s="169">
        <f>TabelaSobras8[[#This Row],[Estoque]]*5.8575</f>
        <v/>
      </c>
      <c r="N192" s="170" t="n">
        <v>256</v>
      </c>
      <c r="O192" s="170" t="n"/>
      <c r="P192" s="170" t="n"/>
      <c r="Q192" s="170" t="inlineStr">
        <is>
          <t>N32</t>
        </is>
      </c>
      <c r="R192" s="170" t="inlineStr">
        <is>
          <t>Yuri</t>
        </is>
      </c>
      <c r="S192" s="6" t="n">
        <v>46091</v>
      </c>
      <c r="T192" s="12">
        <f>INT(TODAY()-TabelaSobras8[[#This Row],[Data do
Registro inical]])</f>
        <v/>
      </c>
    </row>
    <row r="193" hidden="1">
      <c r="A193" s="170" t="inlineStr">
        <is>
          <t>N26020</t>
        </is>
      </c>
      <c r="B193" s="170">
        <f>VLOOKUP(LEFT(A193,1),Tabela5[],2,0)</f>
        <v/>
      </c>
      <c r="C193" s="170" t="inlineStr">
        <is>
          <t>EUCADUR NT - 2,5MM</t>
        </is>
      </c>
      <c r="D193" s="169" t="n">
        <v>695</v>
      </c>
      <c r="E193" s="169" t="n">
        <v>317</v>
      </c>
      <c r="F193" s="169">
        <f>TEXT(TabelaSobras8[[#This Row],[Comprimento 
Sobras (mm)]],0) &amp; " X " &amp; TEXT(E193,0)</f>
        <v/>
      </c>
      <c r="G193" s="170">
        <f>(TabelaSobras8[[#This Row],[Comprimento 
Sobras (mm)]]*E193/1000000)</f>
        <v/>
      </c>
      <c r="H193" s="170" t="n">
        <v>240</v>
      </c>
      <c r="I193" s="170">
        <f>IF(TabelaSobras8[[#This Row],[Estoque]]&lt;=$V$2,$U$4,$U$5)</f>
        <v/>
      </c>
      <c r="J193" s="170">
        <f>TabelaSobras8[[#This Row],[Quantidade de Sobra INICIAL]]-K193</f>
        <v/>
      </c>
      <c r="K193" s="29">
        <f>TabelaSobras8[[#This Row],[Quantidade de Sobra INICIAL]]-TabelaSobras8[[#This Row],[Saída]]-TabelaSobras8[[#This Row],[Saída 2]]-P193</f>
        <v/>
      </c>
      <c r="L193" s="169" t="inlineStr">
        <is>
          <t>Nesher</t>
        </is>
      </c>
      <c r="M193" s="169">
        <f>TabelaSobras8[[#This Row],[Estoque]]*5.8575</f>
        <v/>
      </c>
      <c r="N193" s="170" t="n">
        <v>240</v>
      </c>
      <c r="O193" s="170" t="n"/>
      <c r="P193" s="170" t="n"/>
      <c r="Q193" s="170" t="inlineStr">
        <is>
          <t>N26030</t>
        </is>
      </c>
      <c r="R193" s="170" t="inlineStr">
        <is>
          <t>Yuri</t>
        </is>
      </c>
      <c r="S193" s="6" t="n">
        <v>46091</v>
      </c>
      <c r="T193" s="12">
        <f>INT(TODAY()-TabelaSobras8[[#This Row],[Data do
Registro inical]])</f>
        <v/>
      </c>
    </row>
    <row r="194" hidden="1">
      <c r="A194" s="170" t="inlineStr">
        <is>
          <t>N2601909</t>
        </is>
      </c>
      <c r="B194" s="170">
        <f>VLOOKUP(LEFT(A194,1),Tabela5[],2,0)</f>
        <v/>
      </c>
      <c r="C194" s="170" t="inlineStr">
        <is>
          <t>EUCADUR NT - 2,5MM</t>
        </is>
      </c>
      <c r="D194" s="169" t="n">
        <v>795</v>
      </c>
      <c r="E194" s="169" t="n">
        <v>285</v>
      </c>
      <c r="F194" s="169">
        <f>TEXT(TabelaSobras8[[#This Row],[Comprimento 
Sobras (mm)]],0) &amp; " X " &amp; TEXT(E194,0)</f>
        <v/>
      </c>
      <c r="G194" s="170">
        <f>(TabelaSobras8[[#This Row],[Comprimento 
Sobras (mm)]]*E194/1000000)</f>
        <v/>
      </c>
      <c r="H194" s="170" t="n">
        <v>168</v>
      </c>
      <c r="I194" s="170">
        <f>IF(TabelaSobras8[[#This Row],[Estoque]]&lt;=$V$2,$U$4,$U$5)</f>
        <v/>
      </c>
      <c r="J194" s="170">
        <f>TabelaSobras8[[#This Row],[Quantidade de Sobra INICIAL]]-K194</f>
        <v/>
      </c>
      <c r="K194" s="29">
        <f>TabelaSobras8[[#This Row],[Quantidade de Sobra INICIAL]]-TabelaSobras8[[#This Row],[Saída]]-TabelaSobras8[[#This Row],[Saída 2]]-P194</f>
        <v/>
      </c>
      <c r="L194" s="169" t="inlineStr">
        <is>
          <t>Nesher</t>
        </is>
      </c>
      <c r="M194" s="169">
        <f>TabelaSobras8[[#This Row],[Estoque]]*5.8575</f>
        <v/>
      </c>
      <c r="N194" s="170" t="n">
        <v>168</v>
      </c>
      <c r="O194" s="170" t="n"/>
      <c r="P194" s="170" t="n"/>
      <c r="Q194" s="27" t="inlineStr">
        <is>
          <t>N2602210</t>
        </is>
      </c>
      <c r="R194" s="170" t="inlineStr">
        <is>
          <t>Yuri</t>
        </is>
      </c>
      <c r="S194" s="6" t="n">
        <v>46097</v>
      </c>
      <c r="T194" s="12">
        <f>INT(TODAY()-TabelaSobras8[[#This Row],[Data do
Registro inical]])</f>
        <v/>
      </c>
    </row>
    <row r="195" hidden="1">
      <c r="A195" s="170" t="inlineStr">
        <is>
          <t>N26021</t>
        </is>
      </c>
      <c r="B195" s="170">
        <f>VLOOKUP(LEFT(A195,1),Tabela5[],2,0)</f>
        <v/>
      </c>
      <c r="C195" s="170" t="inlineStr">
        <is>
          <t>EUCADUR NT - 2,5MM</t>
        </is>
      </c>
      <c r="D195" s="169" t="n">
        <v>790</v>
      </c>
      <c r="E195" s="169" t="n">
        <v>500</v>
      </c>
      <c r="F195" s="169">
        <f>TEXT(TabelaSobras8[[#This Row],[Comprimento 
Sobras (mm)]],0) &amp; " X " &amp; TEXT(E195,0)</f>
        <v/>
      </c>
      <c r="G195" s="170">
        <f>(TabelaSobras8[[#This Row],[Comprimento 
Sobras (mm)]]*E195/1000000)</f>
        <v/>
      </c>
      <c r="H195" s="170" t="n">
        <v>225</v>
      </c>
      <c r="I195" s="170">
        <f>IF(TabelaSobras8[[#This Row],[Estoque]]&lt;=$V$2,$U$4,$U$5)</f>
        <v/>
      </c>
      <c r="J195" s="170">
        <f>TabelaSobras8[[#This Row],[Quantidade de Sobra INICIAL]]-K195</f>
        <v/>
      </c>
      <c r="K195" s="29">
        <f>TabelaSobras8[[#This Row],[Quantidade de Sobra INICIAL]]-TabelaSobras8[[#This Row],[Saída]]-TabelaSobras8[[#This Row],[Saída 2]]-P195</f>
        <v/>
      </c>
      <c r="L195" s="169" t="inlineStr">
        <is>
          <t>Nesher</t>
        </is>
      </c>
      <c r="M195" s="169">
        <f>TabelaSobras8[[#This Row],[Estoque]]*5.8575</f>
        <v/>
      </c>
      <c r="N195" s="170" t="n">
        <v>225</v>
      </c>
      <c r="O195" s="170" t="n"/>
      <c r="P195" s="170" t="n"/>
      <c r="Q195" s="111" t="inlineStr">
        <is>
          <t>KIT</t>
        </is>
      </c>
      <c r="R195" s="170" t="inlineStr">
        <is>
          <t>Yuri</t>
        </is>
      </c>
      <c r="S195" s="6" t="n">
        <v>46098</v>
      </c>
      <c r="T195" s="12">
        <f>INT(TODAY()-TabelaSobras8[[#This Row],[Data do
Registro inical]])</f>
        <v/>
      </c>
    </row>
    <row r="196" hidden="1">
      <c r="A196" s="170" t="inlineStr">
        <is>
          <t>N26021</t>
        </is>
      </c>
      <c r="B196" s="170">
        <f>VLOOKUP(LEFT(A196,1),Tabela5[],2,0)</f>
        <v/>
      </c>
      <c r="C196" s="170" t="inlineStr">
        <is>
          <t>EUCADUR NT - 2,5MM</t>
        </is>
      </c>
      <c r="D196" s="169" t="n">
        <v>987</v>
      </c>
      <c r="E196" s="169" t="n">
        <v>268</v>
      </c>
      <c r="F196" s="169">
        <f>TEXT(TabelaSobras8[[#This Row],[Comprimento 
Sobras (mm)]],0) &amp; " X " &amp; TEXT(E196,0)</f>
        <v/>
      </c>
      <c r="G196" s="170">
        <f>(TabelaSobras8[[#This Row],[Comprimento 
Sobras (mm)]]*E196/1000000)</f>
        <v/>
      </c>
      <c r="H196" s="170" t="n">
        <v>150</v>
      </c>
      <c r="I196" s="170">
        <f>IF(TabelaSobras8[[#This Row],[Estoque]]&lt;=$V$2,$U$4,$U$5)</f>
        <v/>
      </c>
      <c r="J196" s="170">
        <f>TabelaSobras8[[#This Row],[Quantidade de Sobra INICIAL]]-K196</f>
        <v/>
      </c>
      <c r="K196" s="29">
        <f>TabelaSobras8[[#This Row],[Quantidade de Sobra INICIAL]]-TabelaSobras8[[#This Row],[Saída]]-TabelaSobras8[[#This Row],[Saída 2]]-P196</f>
        <v/>
      </c>
      <c r="L196" s="169" t="inlineStr">
        <is>
          <t>Nesher</t>
        </is>
      </c>
      <c r="M196" s="169">
        <f>TabelaSobras8[[#This Row],[Estoque]]*5.8575</f>
        <v/>
      </c>
      <c r="N196" s="170" t="n">
        <v>150</v>
      </c>
      <c r="O196" s="170" t="n"/>
      <c r="P196" s="170" t="n"/>
      <c r="Q196" s="111" t="inlineStr">
        <is>
          <t>KIT</t>
        </is>
      </c>
      <c r="R196" s="170" t="inlineStr">
        <is>
          <t>Yuri</t>
        </is>
      </c>
      <c r="S196" s="6" t="n">
        <v>46098</v>
      </c>
      <c r="T196" s="12">
        <f>INT(TODAY()-TabelaSobras8[[#This Row],[Data do
Registro inical]])</f>
        <v/>
      </c>
    </row>
    <row r="197" hidden="1">
      <c r="A197" s="170" t="inlineStr">
        <is>
          <t>N26021</t>
        </is>
      </c>
      <c r="B197" s="170">
        <f>VLOOKUP(LEFT(A197,1),Tabela5[],2,0)</f>
        <v/>
      </c>
      <c r="C197" s="170" t="inlineStr">
        <is>
          <t>EUCADUR NT - 2,5MM</t>
        </is>
      </c>
      <c r="D197" s="169" t="n">
        <v>695</v>
      </c>
      <c r="E197" s="169" t="n">
        <v>395</v>
      </c>
      <c r="F197" s="169">
        <f>TEXT(TabelaSobras8[[#This Row],[Comprimento 
Sobras (mm)]],0) &amp; " X " &amp; TEXT(E197,0)</f>
        <v/>
      </c>
      <c r="G197" s="170">
        <f>(TabelaSobras8[[#This Row],[Comprimento 
Sobras (mm)]]*E197/1000000)</f>
        <v/>
      </c>
      <c r="H197" s="170" t="n">
        <v>300</v>
      </c>
      <c r="I197" s="170">
        <f>IF(TabelaSobras8[[#This Row],[Estoque]]&lt;=$V$2,$U$4,$U$5)</f>
        <v/>
      </c>
      <c r="J197" s="170">
        <f>TabelaSobras8[[#This Row],[Quantidade de Sobra INICIAL]]-K197</f>
        <v/>
      </c>
      <c r="K197" s="29">
        <f>TabelaSobras8[[#This Row],[Quantidade de Sobra INICIAL]]-TabelaSobras8[[#This Row],[Saída]]-TabelaSobras8[[#This Row],[Saída 2]]-P197</f>
        <v/>
      </c>
      <c r="L197" s="169" t="inlineStr">
        <is>
          <t>Nesher</t>
        </is>
      </c>
      <c r="M197" s="169">
        <f>TabelaSobras8[[#This Row],[Estoque]]*5.8575</f>
        <v/>
      </c>
      <c r="N197" s="170" t="n">
        <v>300</v>
      </c>
      <c r="O197" s="170" t="n"/>
      <c r="P197" s="170" t="n"/>
      <c r="Q197" s="111" t="inlineStr">
        <is>
          <t>MULTIUSO</t>
        </is>
      </c>
      <c r="R197" s="170" t="inlineStr">
        <is>
          <t>Yuri</t>
        </is>
      </c>
      <c r="S197" s="6" t="n">
        <v>46098</v>
      </c>
      <c r="T197" s="12">
        <f>INT(TODAY()-TabelaSobras8[[#This Row],[Data do
Registro inical]])</f>
        <v/>
      </c>
    </row>
    <row r="198" hidden="1">
      <c r="A198" s="170" t="inlineStr">
        <is>
          <t>L</t>
        </is>
      </c>
      <c r="B198" s="170">
        <f>VLOOKUP(LEFT(A198,1),Tabela5[],2,0)</f>
        <v/>
      </c>
      <c r="C198" s="170" t="inlineStr">
        <is>
          <t>EUCADUR NT - 2,5MM</t>
        </is>
      </c>
      <c r="D198" s="169" t="n">
        <v>729</v>
      </c>
      <c r="E198" s="169" t="n">
        <v>398</v>
      </c>
      <c r="F198" s="169">
        <f>TEXT(TabelaSobras8[[#This Row],[Comprimento 
Sobras (mm)]],0) &amp; " X " &amp; TEXT(E198,0)</f>
        <v/>
      </c>
      <c r="G198" s="170">
        <f>(TabelaSobras8[[#This Row],[Comprimento 
Sobras (mm)]]*E198/1000000)</f>
        <v/>
      </c>
      <c r="H198" s="170" t="n">
        <v>118</v>
      </c>
      <c r="I198" s="170">
        <f>IF(TabelaSobras8[[#This Row],[Estoque]]&lt;=$V$2,$U$4,$U$5)</f>
        <v/>
      </c>
      <c r="J198" s="170">
        <f>TabelaSobras8[[#This Row],[Quantidade de Sobra INICIAL]]-K198</f>
        <v/>
      </c>
      <c r="K198" s="29">
        <f>TabelaSobras8[[#This Row],[Quantidade de Sobra INICIAL]]-TabelaSobras8[[#This Row],[Saída]]-TabelaSobras8[[#This Row],[Saída 2]]-P198</f>
        <v/>
      </c>
      <c r="L198" s="169" t="inlineStr">
        <is>
          <t>Nesher</t>
        </is>
      </c>
      <c r="M198" s="169">
        <f>TabelaSobras8[[#This Row],[Estoque]]*5.8575</f>
        <v/>
      </c>
      <c r="N198" s="170" t="n">
        <v>118</v>
      </c>
      <c r="O198" s="170" t="n"/>
      <c r="P198" s="170" t="n"/>
      <c r="Q198" s="170" t="inlineStr">
        <is>
          <t>N26027</t>
        </is>
      </c>
      <c r="R198" s="170" t="inlineStr">
        <is>
          <t>Yuri</t>
        </is>
      </c>
      <c r="S198" s="6" t="n">
        <v>46100</v>
      </c>
      <c r="T198" s="12">
        <f>INT(TODAY()-TabelaSobras8[[#This Row],[Data do
Registro inical]])</f>
        <v/>
      </c>
    </row>
    <row r="199">
      <c r="A199" s="8" t="inlineStr">
        <is>
          <t>L</t>
        </is>
      </c>
      <c r="B199" s="170">
        <f>VLOOKUP(LEFT(A199,1),Tabela5[],2,0)</f>
        <v/>
      </c>
      <c r="C199" s="170" t="inlineStr">
        <is>
          <t>EUCADUR NT - 2,5MM</t>
        </is>
      </c>
      <c r="D199" s="169" t="n">
        <v>695</v>
      </c>
      <c r="E199" s="169" t="n">
        <v>509</v>
      </c>
      <c r="F199" s="169">
        <f>TEXT(TabelaSobras8[[#This Row],[Comprimento 
Sobras (mm)]],0) &amp; " X " &amp; TEXT(E199,0)</f>
        <v/>
      </c>
      <c r="G199" s="170">
        <f>(TabelaSobras8[[#This Row],[Comprimento 
Sobras (mm)]]*E199/1000000)</f>
        <v/>
      </c>
      <c r="H199" s="170" t="n">
        <v>270</v>
      </c>
      <c r="I199" s="170">
        <f>IF(TabelaSobras8[[#This Row],[Estoque]]&lt;=$V$2,$U$4,$U$5)</f>
        <v/>
      </c>
      <c r="J199" s="170">
        <f>TabelaSobras8[[#This Row],[Quantidade de Sobra INICIAL]]-K199</f>
        <v/>
      </c>
      <c r="K199" s="29">
        <f>TabelaSobras8[[#This Row],[Quantidade de Sobra INICIAL]]-TabelaSobras8[[#This Row],[Saída]]-TabelaSobras8[[#This Row],[Saída 2]]-P199</f>
        <v/>
      </c>
      <c r="L199" s="169" t="inlineStr">
        <is>
          <t>Nesher</t>
        </is>
      </c>
      <c r="M199" s="169">
        <f>TabelaSobras8[[#This Row],[Estoque]]*5.8575</f>
        <v/>
      </c>
      <c r="N199" s="170">
        <f>30+15</f>
        <v/>
      </c>
      <c r="O199" s="170" t="n"/>
      <c r="P199" s="170" t="n"/>
      <c r="Q199" s="170" t="inlineStr">
        <is>
          <t>N26027</t>
        </is>
      </c>
      <c r="R199" s="170" t="inlineStr">
        <is>
          <t>Yuri</t>
        </is>
      </c>
      <c r="S199" s="6" t="n">
        <v>46100</v>
      </c>
      <c r="T199" s="12">
        <f>INT(TODAY()-TabelaSobras8[[#This Row],[Data do
Registro inical]])</f>
        <v/>
      </c>
    </row>
    <row r="200" hidden="1">
      <c r="A200" s="8" t="inlineStr">
        <is>
          <t>N26025|N26027</t>
        </is>
      </c>
      <c r="B200" s="170">
        <f>VLOOKUP(LEFT(A200,1),Tabela5[],2,0)</f>
        <v/>
      </c>
      <c r="C200" s="170" t="inlineStr">
        <is>
          <t>EUCADUR NT - 2,5MM</t>
        </is>
      </c>
      <c r="D200" s="169" t="n">
        <v>695</v>
      </c>
      <c r="E200" s="169" t="n">
        <v>195</v>
      </c>
      <c r="F200" s="169">
        <f>TEXT(TabelaSobras8[[#This Row],[Comprimento 
Sobras (mm)]],0) &amp; " X " &amp; TEXT(E200,0)</f>
        <v/>
      </c>
      <c r="G200" s="170">
        <f>(TabelaSobras8[[#This Row],[Comprimento 
Sobras (mm)]]*E200/1000000)</f>
        <v/>
      </c>
      <c r="H200" s="170">
        <f>81+12</f>
        <v/>
      </c>
      <c r="I200" s="170">
        <f>IF(TabelaSobras8[[#This Row],[Estoque]]&lt;=$V$2,$U$4,$U$5)</f>
        <v/>
      </c>
      <c r="J200" s="170">
        <f>TabelaSobras8[[#This Row],[Quantidade de Sobra INICIAL]]-K200</f>
        <v/>
      </c>
      <c r="K200" s="29">
        <f>TabelaSobras8[[#This Row],[Quantidade de Sobra INICIAL]]-TabelaSobras8[[#This Row],[Saída]]-TabelaSobras8[[#This Row],[Saída 2]]-P200</f>
        <v/>
      </c>
      <c r="L200" s="169" t="inlineStr">
        <is>
          <t>Nesher</t>
        </is>
      </c>
      <c r="M200" s="169">
        <f>TabelaSobras8[[#This Row],[Estoque]]*5.8575</f>
        <v/>
      </c>
      <c r="N200" s="170" t="n">
        <v>93</v>
      </c>
      <c r="O200" s="170" t="n"/>
      <c r="P200" s="170" t="n"/>
      <c r="Q200" s="170" t="inlineStr">
        <is>
          <t>N26030</t>
        </is>
      </c>
      <c r="R200" s="170" t="inlineStr">
        <is>
          <t>Yuri</t>
        </is>
      </c>
      <c r="S200" s="6" t="n">
        <v>46104</v>
      </c>
      <c r="T200" s="12">
        <f>INT(TODAY()-TabelaSobras8[[#This Row],[Data do
Registro inical]])</f>
        <v/>
      </c>
    </row>
    <row r="201" hidden="1">
      <c r="A201" s="170" t="inlineStr">
        <is>
          <t>N26026</t>
        </is>
      </c>
      <c r="B201" s="170">
        <f>VLOOKUP(LEFT(A201,1),Tabela5[],2,0)</f>
        <v/>
      </c>
      <c r="C201" s="170" t="inlineStr">
        <is>
          <t>EUCADUR NT - 2,5MM</t>
        </is>
      </c>
      <c r="D201" s="169" t="n">
        <v>1195</v>
      </c>
      <c r="E201" s="169" t="n">
        <v>272</v>
      </c>
      <c r="F201" s="169">
        <f>TEXT(TabelaSobras8[[#This Row],[Comprimento 
Sobras (mm)]],0) &amp; " X " &amp; TEXT(E201,0)</f>
        <v/>
      </c>
      <c r="G201" s="170">
        <f>(TabelaSobras8[[#This Row],[Comprimento 
Sobras (mm)]]*E201/1000000)</f>
        <v/>
      </c>
      <c r="H201" s="170" t="n">
        <v>200</v>
      </c>
      <c r="I201" s="170">
        <f>IF(TabelaSobras8[[#This Row],[Estoque]]&lt;=$V$2,$U$4,$U$5)</f>
        <v/>
      </c>
      <c r="J201" s="170">
        <f>TabelaSobras8[[#This Row],[Quantidade de Sobra INICIAL]]-K201</f>
        <v/>
      </c>
      <c r="K201" s="29">
        <f>TabelaSobras8[[#This Row],[Quantidade de Sobra INICIAL]]-TabelaSobras8[[#This Row],[Saída]]-TabelaSobras8[[#This Row],[Saída 2]]-P201</f>
        <v/>
      </c>
      <c r="L201" s="169" t="inlineStr">
        <is>
          <t>Nesher</t>
        </is>
      </c>
      <c r="M201" s="169">
        <f>TabelaSobras8[[#This Row],[Estoque]]*5.8575</f>
        <v/>
      </c>
      <c r="N201" s="170" t="n">
        <v>200</v>
      </c>
      <c r="O201" s="170" t="n"/>
      <c r="P201" s="170" t="n"/>
      <c r="Q201" s="170" t="inlineStr">
        <is>
          <t>N2603702</t>
        </is>
      </c>
      <c r="R201" s="170" t="inlineStr">
        <is>
          <t>Yuri</t>
        </is>
      </c>
      <c r="S201" s="6" t="n">
        <v>46113</v>
      </c>
      <c r="T201" s="12">
        <f>INT(TODAY()-TabelaSobras8[[#This Row],[Data do
Registro inical]])</f>
        <v/>
      </c>
    </row>
    <row r="202" hidden="1">
      <c r="A202" s="170" t="inlineStr">
        <is>
          <t>N26026</t>
        </is>
      </c>
      <c r="B202" s="170">
        <f>VLOOKUP(LEFT(A202,1),Tabela5[],2,0)</f>
        <v/>
      </c>
      <c r="C202" s="170" t="inlineStr">
        <is>
          <t>EUCADUR NT - 2,5MM</t>
        </is>
      </c>
      <c r="D202" s="169" t="n">
        <v>795</v>
      </c>
      <c r="E202" s="169" t="n">
        <v>272</v>
      </c>
      <c r="F202" s="169">
        <f>TEXT(TabelaSobras8[[#This Row],[Comprimento 
Sobras (mm)]],0) &amp; " X " &amp; TEXT(E202,0)</f>
        <v/>
      </c>
      <c r="G202" s="170">
        <f>(TabelaSobras8[[#This Row],[Comprimento 
Sobras (mm)]]*E202/1000000)</f>
        <v/>
      </c>
      <c r="H202" s="170" t="n">
        <v>263</v>
      </c>
      <c r="I202" s="170">
        <f>IF(TabelaSobras8[[#This Row],[Estoque]]&lt;=$V$2,$U$4,$U$5)</f>
        <v/>
      </c>
      <c r="J202" s="170">
        <f>TabelaSobras8[[#This Row],[Quantidade de Sobra INICIAL]]-K202</f>
        <v/>
      </c>
      <c r="K202" s="29">
        <f>TabelaSobras8[[#This Row],[Quantidade de Sobra INICIAL]]-TabelaSobras8[[#This Row],[Saída]]-TabelaSobras8[[#This Row],[Saída 2]]-P202</f>
        <v/>
      </c>
      <c r="L202" s="169" t="inlineStr">
        <is>
          <t>Nesher</t>
        </is>
      </c>
      <c r="M202" s="169">
        <f>TabelaSobras8[[#This Row],[Estoque]]*5.8575</f>
        <v/>
      </c>
      <c r="N202" s="170" t="n">
        <v>263</v>
      </c>
      <c r="O202" s="170" t="n"/>
      <c r="P202" s="170" t="n"/>
      <c r="Q202" s="27" t="inlineStr">
        <is>
          <t>N2603602</t>
        </is>
      </c>
      <c r="R202" s="170" t="inlineStr">
        <is>
          <t>Yuri</t>
        </is>
      </c>
      <c r="S202" s="6" t="n">
        <v>46113</v>
      </c>
      <c r="T202" s="12">
        <f>INT(TODAY()-TabelaSobras8[[#This Row],[Data do
Registro inical]])</f>
        <v/>
      </c>
    </row>
    <row r="203" hidden="1">
      <c r="A203" s="170" t="inlineStr">
        <is>
          <t>L</t>
        </is>
      </c>
      <c r="B203" s="170">
        <f>VLOOKUP(LEFT(A203,1),Tabela5[],2,0)</f>
        <v/>
      </c>
      <c r="C203" s="170" t="inlineStr">
        <is>
          <t>EUCADUR NT - 2,5MM</t>
        </is>
      </c>
      <c r="D203" s="169" t="n">
        <v>690</v>
      </c>
      <c r="E203" s="169" t="n">
        <v>600</v>
      </c>
      <c r="F203" s="169">
        <f>TEXT(TabelaSobras8[[#This Row],[Comprimento 
Sobras (mm)]],0) &amp; " X " &amp; TEXT(E203,0)</f>
        <v/>
      </c>
      <c r="G203" s="170">
        <f>(TabelaSobras8[[#This Row],[Comprimento 
Sobras (mm)]]*E203/1000000)</f>
        <v/>
      </c>
      <c r="H203" s="170" t="n">
        <v>101</v>
      </c>
      <c r="I203" s="170">
        <f>IF(TabelaSobras8[[#This Row],[Estoque]]&lt;=$V$2,$U$4,$U$5)</f>
        <v/>
      </c>
      <c r="J203" s="170">
        <f>TabelaSobras8[[#This Row],[Quantidade de Sobra INICIAL]]-K203</f>
        <v/>
      </c>
      <c r="K203" s="29">
        <f>TabelaSobras8[[#This Row],[Quantidade de Sobra INICIAL]]-TabelaSobras8[[#This Row],[Saída]]-TabelaSobras8[[#This Row],[Saída 2]]-P203</f>
        <v/>
      </c>
      <c r="L203" s="169" t="inlineStr">
        <is>
          <t>Líder</t>
        </is>
      </c>
      <c r="M203" s="169">
        <f>TabelaSobras8[[#This Row],[Estoque]]*5.8575</f>
        <v/>
      </c>
      <c r="N203" s="170" t="n">
        <v>101</v>
      </c>
      <c r="O203" s="170" t="n"/>
      <c r="P203" s="170" t="n"/>
      <c r="Q203" s="170" t="inlineStr">
        <is>
          <t>RECORTAR P/ 645X523 - U26001</t>
        </is>
      </c>
      <c r="R203" s="170" t="n"/>
      <c r="S203" s="6" t="n"/>
      <c r="T203" s="12">
        <f>INT(TODAY()-TabelaSobras8[[#This Row],[Data do
Registro inical]])</f>
        <v/>
      </c>
    </row>
    <row r="204" hidden="1">
      <c r="A204" s="170" t="inlineStr">
        <is>
          <t>L</t>
        </is>
      </c>
      <c r="B204" s="170">
        <f>VLOOKUP(LEFT(A204,1),Tabela5[],2,0)</f>
        <v/>
      </c>
      <c r="C204" s="170" t="inlineStr">
        <is>
          <t>EUCADUR NT - 2,5MM</t>
        </is>
      </c>
      <c r="D204" s="169" t="n">
        <v>1195</v>
      </c>
      <c r="E204" s="169" t="n">
        <v>271</v>
      </c>
      <c r="F204" s="169">
        <f>TEXT(TabelaSobras8[[#This Row],[Comprimento 
Sobras (mm)]],0) &amp; " X " &amp; TEXT(E204,0)</f>
        <v/>
      </c>
      <c r="G204" s="170">
        <f>(TabelaSobras8[[#This Row],[Comprimento 
Sobras (mm)]]*E204/1000000)</f>
        <v/>
      </c>
      <c r="H204" s="170" t="n">
        <v>100</v>
      </c>
      <c r="I204" s="170">
        <f>IF(TabelaSobras8[[#This Row],[Estoque]]&lt;=$V$2,$U$4,$U$5)</f>
        <v/>
      </c>
      <c r="J204" s="170">
        <f>TabelaSobras8[[#This Row],[Quantidade de Sobra INICIAL]]-K204</f>
        <v/>
      </c>
      <c r="K204" s="29">
        <f>TabelaSobras8[[#This Row],[Quantidade de Sobra INICIAL]]-TabelaSobras8[[#This Row],[Saída]]-TabelaSobras8[[#This Row],[Saída 2]]-P204</f>
        <v/>
      </c>
      <c r="L204" s="169" t="inlineStr">
        <is>
          <t>Líder</t>
        </is>
      </c>
      <c r="M204" s="169">
        <f>TabelaSobras8[[#This Row],[Estoque]]*5.8575</f>
        <v/>
      </c>
      <c r="N204" s="170" t="n">
        <v>100</v>
      </c>
      <c r="O204" s="170" t="n"/>
      <c r="P204" s="170" t="n"/>
      <c r="Q204" s="170" t="inlineStr">
        <is>
          <t>U26001</t>
        </is>
      </c>
      <c r="R204" s="170" t="n"/>
      <c r="S204" s="6" t="n"/>
      <c r="T204" s="12">
        <f>INT(TODAY()-TabelaSobras8[[#This Row],[Data do
Registro inical]])</f>
        <v/>
      </c>
    </row>
    <row r="205" hidden="1">
      <c r="A205" s="170" t="inlineStr">
        <is>
          <t>N26031</t>
        </is>
      </c>
      <c r="B205" s="170">
        <f>VLOOKUP(LEFT(A205,1),Tabela5[],2,0)</f>
        <v/>
      </c>
      <c r="C205" s="170" t="inlineStr">
        <is>
          <t>EUCADUR FRJ - 2,5MM</t>
        </is>
      </c>
      <c r="D205" s="169" t="n">
        <v>329</v>
      </c>
      <c r="E205" s="169" t="n">
        <v>398</v>
      </c>
      <c r="F205" s="169">
        <f>TEXT(TabelaSobras8[[#This Row],[Comprimento 
Sobras (mm)]],0) &amp; " X " &amp; TEXT(E205,0)</f>
        <v/>
      </c>
      <c r="G205" s="170">
        <f>(TabelaSobras8[[#This Row],[Comprimento 
Sobras (mm)]]*E205/1000000)</f>
        <v/>
      </c>
      <c r="H205" s="170" t="n">
        <v>700</v>
      </c>
      <c r="I205" s="170">
        <f>IF(TabelaSobras8[[#This Row],[Estoque]]&lt;=$V$2,$U$4,$U$5)</f>
        <v/>
      </c>
      <c r="J205" s="170">
        <f>TabelaSobras8[[#This Row],[Quantidade de Sobra INICIAL]]-K205</f>
        <v/>
      </c>
      <c r="K205" s="29">
        <f>TabelaSobras8[[#This Row],[Quantidade de Sobra INICIAL]]-TabelaSobras8[[#This Row],[Saída]]-TabelaSobras8[[#This Row],[Saída 2]]-P205</f>
        <v/>
      </c>
      <c r="L205" s="169" t="inlineStr">
        <is>
          <t>Nesher</t>
        </is>
      </c>
      <c r="M205" s="169">
        <f>TabelaSobras8[[#This Row],[Estoque]]*5.8575</f>
        <v/>
      </c>
      <c r="N205" s="170" t="n">
        <v>700</v>
      </c>
      <c r="O205" s="170" t="n"/>
      <c r="P205" s="170" t="n"/>
      <c r="Q205" s="170" t="inlineStr">
        <is>
          <t>ENVIAR PARA MULTILÍNEA</t>
        </is>
      </c>
      <c r="R205" s="170" t="inlineStr">
        <is>
          <t>Yuri</t>
        </is>
      </c>
      <c r="S205" s="6" t="n">
        <v>46140</v>
      </c>
      <c r="T205" s="12">
        <f>INT(TODAY()-TabelaSobras8[[#This Row],[Data do
Registro inical]])</f>
        <v/>
      </c>
    </row>
    <row r="206" hidden="1">
      <c r="A206" s="170" t="inlineStr">
        <is>
          <t>N26031</t>
        </is>
      </c>
      <c r="B206" s="170">
        <f>VLOOKUP(LEFT(A206,1),Tabela5[],2,0)</f>
        <v/>
      </c>
      <c r="C206" s="170" t="inlineStr">
        <is>
          <t>EUCADUR FRJ - 2,5MM</t>
        </is>
      </c>
      <c r="D206" s="169" t="n">
        <v>695</v>
      </c>
      <c r="E206" s="169" t="n">
        <v>330</v>
      </c>
      <c r="F206" s="169">
        <f>TEXT(TabelaSobras8[[#This Row],[Comprimento 
Sobras (mm)]],0) &amp; " X " &amp; TEXT(E206,0)</f>
        <v/>
      </c>
      <c r="G206" s="170">
        <f>(TabelaSobras8[[#This Row],[Comprimento 
Sobras (mm)]]*E206/1000000)</f>
        <v/>
      </c>
      <c r="H206" s="170" t="n">
        <v>300</v>
      </c>
      <c r="I206" s="170">
        <f>IF(TabelaSobras8[[#This Row],[Estoque]]&lt;=$V$2,$U$4,$U$5)</f>
        <v/>
      </c>
      <c r="J206" s="170">
        <f>TabelaSobras8[[#This Row],[Quantidade de Sobra INICIAL]]-K206</f>
        <v/>
      </c>
      <c r="K206" s="29">
        <f>TabelaSobras8[[#This Row],[Quantidade de Sobra INICIAL]]-TabelaSobras8[[#This Row],[Saída]]-TabelaSobras8[[#This Row],[Saída 2]]-P206</f>
        <v/>
      </c>
      <c r="L206" s="169" t="inlineStr">
        <is>
          <t>Nesher</t>
        </is>
      </c>
      <c r="M206" s="169">
        <f>TabelaSobras8[[#This Row],[Estoque]]*5.8575</f>
        <v/>
      </c>
      <c r="N206" s="170" t="n">
        <v>300</v>
      </c>
      <c r="O206" s="170" t="n"/>
      <c r="P206" s="170" t="n"/>
      <c r="Q206" s="170" t="inlineStr">
        <is>
          <t>ENVIAR PARA MULTILÍNEA</t>
        </is>
      </c>
      <c r="R206" s="170" t="inlineStr">
        <is>
          <t>Yuri</t>
        </is>
      </c>
      <c r="S206" s="6" t="n">
        <v>46140</v>
      </c>
      <c r="T206" s="12">
        <f>INT(TODAY()-TabelaSobras8[[#This Row],[Data do
Registro inical]])</f>
        <v/>
      </c>
    </row>
    <row r="207" hidden="1">
      <c r="A207" s="170" t="inlineStr">
        <is>
          <t>N26031</t>
        </is>
      </c>
      <c r="B207" s="170">
        <f>VLOOKUP(LEFT(A207,1),Tabela5[],2,0)</f>
        <v/>
      </c>
      <c r="C207" s="170" t="inlineStr">
        <is>
          <t>EUCADUR NT - 2,5MM</t>
        </is>
      </c>
      <c r="D207" s="169" t="n">
        <v>695</v>
      </c>
      <c r="E207" s="169" t="n">
        <v>195</v>
      </c>
      <c r="F207" s="169">
        <f>TEXT(TabelaSobras8[[#This Row],[Comprimento 
Sobras (mm)]],0) &amp; " X " &amp; TEXT(E207,0)</f>
        <v/>
      </c>
      <c r="G207" s="170">
        <f>(TabelaSobras8[[#This Row],[Comprimento 
Sobras (mm)]]*E207/1000000)</f>
        <v/>
      </c>
      <c r="H207" s="170" t="n">
        <v>174</v>
      </c>
      <c r="I207" s="170">
        <f>IF(TabelaSobras8[[#This Row],[Estoque]]&lt;=$V$2,$U$4,$U$5)</f>
        <v/>
      </c>
      <c r="J207" s="170">
        <f>TabelaSobras8[[#This Row],[Quantidade de Sobra INICIAL]]-K207</f>
        <v/>
      </c>
      <c r="K207" s="29">
        <f>TabelaSobras8[[#This Row],[Quantidade de Sobra INICIAL]]-TabelaSobras8[[#This Row],[Saída]]-TabelaSobras8[[#This Row],[Saída 2]]-P207</f>
        <v/>
      </c>
      <c r="L207" s="169" t="inlineStr">
        <is>
          <t>Nesher</t>
        </is>
      </c>
      <c r="M207" s="169">
        <f>TabelaSobras8[[#This Row],[Estoque]]*5.8575</f>
        <v/>
      </c>
      <c r="N207" s="170" t="n">
        <v>174</v>
      </c>
      <c r="O207" s="170" t="n"/>
      <c r="P207" s="170" t="n"/>
      <c r="Q207" s="170" t="inlineStr">
        <is>
          <t>N2604501</t>
        </is>
      </c>
      <c r="R207" s="170" t="inlineStr">
        <is>
          <t>Yuri</t>
        </is>
      </c>
      <c r="S207" s="6" t="n">
        <v>46140</v>
      </c>
      <c r="T207" s="12">
        <f>INT(TODAY()-TabelaSobras8[[#This Row],[Data do
Registro inical]])</f>
        <v/>
      </c>
    </row>
    <row r="208" hidden="1" ht="43.2" customHeight="1">
      <c r="A208" s="8" t="inlineStr">
        <is>
          <t>N26031 FRJ CORTADO COMO NT</t>
        </is>
      </c>
      <c r="B208" s="170">
        <f>VLOOKUP(LEFT(A208,1),Tabela5[],2,0)</f>
        <v/>
      </c>
      <c r="C208" s="170" t="inlineStr">
        <is>
          <t>EUCADUR NT - 2,5MM</t>
        </is>
      </c>
      <c r="D208" s="169" t="n">
        <v>1195</v>
      </c>
      <c r="E208" s="169" t="n">
        <v>685</v>
      </c>
      <c r="F208" s="169">
        <f>TEXT(TabelaSobras8[[#This Row],[Comprimento 
Sobras (mm)]],0) &amp; " X " &amp; TEXT(E208,0)</f>
        <v/>
      </c>
      <c r="G208" s="170">
        <f>(TabelaSobras8[[#This Row],[Comprimento 
Sobras (mm)]]*E208/1000000)</f>
        <v/>
      </c>
      <c r="H208" s="170" t="n">
        <v>300</v>
      </c>
      <c r="I208" s="170">
        <f>IF(TabelaSobras8[[#This Row],[Estoque]]&lt;=$V$2,$U$4,$U$5)</f>
        <v/>
      </c>
      <c r="J208" s="170">
        <f>TabelaSobras8[[#This Row],[Quantidade de Sobra INICIAL]]-K208</f>
        <v/>
      </c>
      <c r="K208" s="29">
        <f>TabelaSobras8[[#This Row],[Quantidade de Sobra INICIAL]]-TabelaSobras8[[#This Row],[Saída]]-TabelaSobras8[[#This Row],[Saída 2]]-P208</f>
        <v/>
      </c>
      <c r="L208" s="169" t="inlineStr">
        <is>
          <t>Nesher</t>
        </is>
      </c>
      <c r="M208" s="169">
        <f>TabelaSobras8[[#This Row],[Estoque]]*5.8575</f>
        <v/>
      </c>
      <c r="N208" s="170" t="n">
        <v>300</v>
      </c>
      <c r="O208" s="170" t="n"/>
      <c r="P208" s="170" t="n"/>
      <c r="Q208" s="170" t="inlineStr">
        <is>
          <t>RECORTE P/N32</t>
        </is>
      </c>
      <c r="R208" s="170" t="inlineStr">
        <is>
          <t>Yuri</t>
        </is>
      </c>
      <c r="S208" s="6" t="n">
        <v>46146</v>
      </c>
      <c r="T208" s="12">
        <f>INT(TODAY()-TabelaSobras8[[#This Row],[Data do
Registro inical]])</f>
        <v/>
      </c>
    </row>
    <row r="209" ht="43.2" customHeight="1">
      <c r="A209" s="8" t="inlineStr">
        <is>
          <t>N26031 FRJ CORTADO COMO NT</t>
        </is>
      </c>
      <c r="B209" s="170">
        <f>VLOOKUP(LEFT(A209,1),Tabela5[],2,0)</f>
        <v/>
      </c>
      <c r="C209" s="170" t="inlineStr">
        <is>
          <t>EUCADUR NT - 2,5MM</t>
        </is>
      </c>
      <c r="D209" s="169" t="n">
        <v>329</v>
      </c>
      <c r="E209" s="169" t="n">
        <v>398</v>
      </c>
      <c r="F209" s="169">
        <f>TEXT(TabelaSobras8[[#This Row],[Comprimento 
Sobras (mm)]],0) &amp; " X " &amp; TEXT(E209,0)</f>
        <v/>
      </c>
      <c r="G209" s="170">
        <f>(TabelaSobras8[[#This Row],[Comprimento 
Sobras (mm)]]*E209/1000000)</f>
        <v/>
      </c>
      <c r="H209" s="170" t="n">
        <v>250</v>
      </c>
      <c r="I209" s="170">
        <f>IF(TabelaSobras8[[#This Row],[Estoque]]&lt;=$V$2,$U$4,$U$5)</f>
        <v/>
      </c>
      <c r="J209" s="170">
        <f>TabelaSobras8[[#This Row],[Quantidade de Sobra INICIAL]]-K209</f>
        <v/>
      </c>
      <c r="K209" s="29">
        <f>TabelaSobras8[[#This Row],[Quantidade de Sobra INICIAL]]-TabelaSobras8[[#This Row],[Saída]]-TabelaSobras8[[#This Row],[Saída 2]]-P209</f>
        <v/>
      </c>
      <c r="L209" s="169" t="inlineStr">
        <is>
          <t>Nesher</t>
        </is>
      </c>
      <c r="M209" s="169">
        <f>TabelaSobras8[[#This Row],[Estoque]]*5.8575</f>
        <v/>
      </c>
      <c r="N209" s="170" t="n"/>
      <c r="O209" s="170" t="n"/>
      <c r="P209" s="170" t="n"/>
      <c r="Q209" s="170" t="inlineStr">
        <is>
          <t>RECORTE ???</t>
        </is>
      </c>
      <c r="R209" s="170" t="inlineStr">
        <is>
          <t>Yuri</t>
        </is>
      </c>
      <c r="S209" s="6" t="n">
        <v>46146</v>
      </c>
      <c r="T209" s="12">
        <f>INT(TODAY()-TabelaSobras8[[#This Row],[Data do
Registro inical]])</f>
        <v/>
      </c>
    </row>
    <row r="210" ht="43.2" customHeight="1">
      <c r="A210" s="8" t="inlineStr">
        <is>
          <t>N26031 FRJ CORTADO COMO NT</t>
        </is>
      </c>
      <c r="B210" s="170">
        <f>VLOOKUP(LEFT(A210,1),Tabela5[],2,0)</f>
        <v/>
      </c>
      <c r="C210" s="170" t="inlineStr">
        <is>
          <t>EUCADUR NT - 2,5MM</t>
        </is>
      </c>
      <c r="D210" s="169" t="n">
        <v>1195</v>
      </c>
      <c r="E210" s="169" t="n">
        <v>170</v>
      </c>
      <c r="F210" s="169">
        <f>TEXT(TabelaSobras8[[#This Row],[Comprimento 
Sobras (mm)]],0) &amp; " X " &amp; TEXT(E210,0)</f>
        <v/>
      </c>
      <c r="G210" s="170">
        <f>(TabelaSobras8[[#This Row],[Comprimento 
Sobras (mm)]]*E210/1000000)</f>
        <v/>
      </c>
      <c r="H210" s="170" t="n">
        <v>100</v>
      </c>
      <c r="I210" s="170">
        <f>IF(TabelaSobras8[[#This Row],[Estoque]]&lt;=$V$2,$U$4,$U$5)</f>
        <v/>
      </c>
      <c r="J210" s="170">
        <f>TabelaSobras8[[#This Row],[Quantidade de Sobra INICIAL]]-K210</f>
        <v/>
      </c>
      <c r="K210" s="29">
        <f>TabelaSobras8[[#This Row],[Quantidade de Sobra INICIAL]]-TabelaSobras8[[#This Row],[Saída]]-TabelaSobras8[[#This Row],[Saída 2]]-P210</f>
        <v/>
      </c>
      <c r="L210" s="169" t="inlineStr">
        <is>
          <t>Nesher</t>
        </is>
      </c>
      <c r="M210" s="169">
        <f>TabelaSobras8[[#This Row],[Estoque]]*5.8575</f>
        <v/>
      </c>
      <c r="N210" s="170" t="n"/>
      <c r="O210" s="170" t="n"/>
      <c r="P210" s="170" t="n"/>
      <c r="Q210" s="170" t="inlineStr">
        <is>
          <t>RECORTE ???</t>
        </is>
      </c>
      <c r="R210" s="170" t="inlineStr">
        <is>
          <t>Yuri</t>
        </is>
      </c>
      <c r="S210" s="6" t="n">
        <v>46146</v>
      </c>
      <c r="T210" s="12">
        <f>INT(TODAY()-TabelaSobras8[[#This Row],[Data do
Registro inical]])</f>
        <v/>
      </c>
    </row>
    <row r="211" hidden="1" ht="43.2" customHeight="1">
      <c r="A211" s="8" t="inlineStr">
        <is>
          <t>N26031 FRJ CORTADO COMO NT</t>
        </is>
      </c>
      <c r="B211" s="170">
        <f>VLOOKUP(LEFT(A211,1),Tabela5[],2,0)</f>
        <v/>
      </c>
      <c r="C211" s="170" t="inlineStr">
        <is>
          <t>EUCADUR NT - 2,5MM</t>
        </is>
      </c>
      <c r="D211" s="169" t="n">
        <v>1195</v>
      </c>
      <c r="E211" s="169" t="n">
        <v>640</v>
      </c>
      <c r="F211" s="169">
        <f>TEXT(TabelaSobras8[[#This Row],[Comprimento 
Sobras (mm)]],0) &amp; " X " &amp; TEXT(E211,0)</f>
        <v/>
      </c>
      <c r="G211" s="170">
        <f>(TabelaSobras8[[#This Row],[Comprimento 
Sobras (mm)]]*E211/1000000)</f>
        <v/>
      </c>
      <c r="H211" s="170" t="n">
        <v>300</v>
      </c>
      <c r="I211" s="170">
        <f>IF(TabelaSobras8[[#This Row],[Estoque]]&lt;=$V$2,$U$4,$U$5)</f>
        <v/>
      </c>
      <c r="J211" s="170">
        <f>TabelaSobras8[[#This Row],[Quantidade de Sobra INICIAL]]-K211</f>
        <v/>
      </c>
      <c r="K211" s="29">
        <f>TabelaSobras8[[#This Row],[Quantidade de Sobra INICIAL]]-TabelaSobras8[[#This Row],[Saída]]-TabelaSobras8[[#This Row],[Saída 2]]-P211</f>
        <v/>
      </c>
      <c r="L211" s="169" t="inlineStr">
        <is>
          <t>Nesher</t>
        </is>
      </c>
      <c r="M211" s="169">
        <f>TabelaSobras8[[#This Row],[Estoque]]*5.8575</f>
        <v/>
      </c>
      <c r="N211" s="170" t="n">
        <v>300</v>
      </c>
      <c r="O211" s="170" t="n"/>
      <c r="P211" s="170" t="n"/>
      <c r="Q211" s="170" t="inlineStr">
        <is>
          <t>RECORTE P/N32</t>
        </is>
      </c>
      <c r="R211" s="170" t="inlineStr">
        <is>
          <t>Yuri</t>
        </is>
      </c>
      <c r="S211" s="6" t="n">
        <v>46146</v>
      </c>
      <c r="T211" s="12">
        <f>INT(TODAY()-TabelaSobras8[[#This Row],[Data do
Registro inical]])</f>
        <v/>
      </c>
    </row>
    <row r="212" hidden="1" ht="43.2" customHeight="1">
      <c r="A212" s="8" t="inlineStr">
        <is>
          <t>N26031 FRJ CORTADO COMO NT</t>
        </is>
      </c>
      <c r="B212" s="170">
        <f>VLOOKUP(LEFT(A212,1),Tabela5[],2,0)</f>
        <v/>
      </c>
      <c r="C212" s="170" t="inlineStr">
        <is>
          <t>EUCADUR NT - 2,5MM</t>
        </is>
      </c>
      <c r="D212" s="169" t="n">
        <v>695</v>
      </c>
      <c r="E212" s="169" t="n">
        <v>330</v>
      </c>
      <c r="F212" s="169">
        <f>TEXT(TabelaSobras8[[#This Row],[Comprimento 
Sobras (mm)]],0) &amp; " X " &amp; TEXT(E212,0)</f>
        <v/>
      </c>
      <c r="G212" s="170">
        <f>(TabelaSobras8[[#This Row],[Comprimento 
Sobras (mm)]]*E212/1000000)</f>
        <v/>
      </c>
      <c r="H212" s="170" t="n">
        <v>150</v>
      </c>
      <c r="I212" s="170">
        <f>IF(TabelaSobras8[[#This Row],[Estoque]]&lt;=$V$2,$U$4,$U$5)</f>
        <v/>
      </c>
      <c r="J212" s="170">
        <f>TabelaSobras8[[#This Row],[Quantidade de Sobra INICIAL]]-K212</f>
        <v/>
      </c>
      <c r="K212" s="29">
        <f>TabelaSobras8[[#This Row],[Quantidade de Sobra INICIAL]]-TabelaSobras8[[#This Row],[Saída]]-TabelaSobras8[[#This Row],[Saída 2]]-P212</f>
        <v/>
      </c>
      <c r="L212" s="169" t="inlineStr">
        <is>
          <t>Nesher</t>
        </is>
      </c>
      <c r="M212" s="169">
        <f>TabelaSobras8[[#This Row],[Estoque]]*5.8575</f>
        <v/>
      </c>
      <c r="N212" s="170" t="n">
        <v>150</v>
      </c>
      <c r="O212" s="170" t="n"/>
      <c r="P212" s="170" t="n"/>
      <c r="Q212" s="170" t="inlineStr">
        <is>
          <t>RECORTE P/ N26042</t>
        </is>
      </c>
      <c r="R212" s="170" t="inlineStr">
        <is>
          <t>Yuri</t>
        </is>
      </c>
      <c r="S212" s="6" t="n">
        <v>46146</v>
      </c>
      <c r="T212" s="12">
        <f>INT(TODAY()-TabelaSobras8[[#This Row],[Data do
Registro inical]])</f>
        <v/>
      </c>
    </row>
    <row r="213" hidden="1">
      <c r="A213" s="170" t="inlineStr">
        <is>
          <t>N2604201</t>
        </is>
      </c>
      <c r="B213" s="170">
        <f>VLOOKUP(LEFT(A213,1),Tabela5[],2,0)</f>
        <v/>
      </c>
      <c r="C213" s="170" t="inlineStr">
        <is>
          <t>EUCADUR NT - 2,5MM</t>
        </is>
      </c>
      <c r="D213" s="169" t="n">
        <v>695</v>
      </c>
      <c r="E213" s="169" t="n">
        <v>195</v>
      </c>
      <c r="F213" s="169">
        <f>TEXT(TabelaSobras8[[#This Row],[Comprimento 
Sobras (mm)]],0) &amp; " X " &amp; TEXT(E213,0)</f>
        <v/>
      </c>
      <c r="G213" s="170">
        <f>(TabelaSobras8[[#This Row],[Comprimento 
Sobras (mm)]]*E213/1000000)</f>
        <v/>
      </c>
      <c r="H213" s="170">
        <f>282+34</f>
        <v/>
      </c>
      <c r="I213" s="170">
        <f>IF(TabelaSobras8[[#This Row],[Estoque]]&lt;=$V$2,$U$4,$U$5)</f>
        <v/>
      </c>
      <c r="J213" s="170">
        <f>TabelaSobras8[[#This Row],[Quantidade de Sobra INICIAL]]-K213</f>
        <v/>
      </c>
      <c r="K213" s="29">
        <f>TabelaSobras8[[#This Row],[Quantidade de Sobra INICIAL]]-TabelaSobras8[[#This Row],[Saída]]-TabelaSobras8[[#This Row],[Saída 2]]-P213</f>
        <v/>
      </c>
      <c r="L213" s="169" t="inlineStr">
        <is>
          <t>Nesher</t>
        </is>
      </c>
      <c r="M213" s="169">
        <f>TabelaSobras8[[#This Row],[Estoque]]*5.8575</f>
        <v/>
      </c>
      <c r="N213" s="170" t="n">
        <v>316</v>
      </c>
      <c r="O213" s="170" t="n"/>
      <c r="P213" s="170" t="n"/>
      <c r="Q213" s="42" t="inlineStr">
        <is>
          <t>N2605504</t>
        </is>
      </c>
      <c r="R213" s="170" t="inlineStr">
        <is>
          <t>Yuri</t>
        </is>
      </c>
      <c r="S213" s="6" t="n">
        <v>46168</v>
      </c>
      <c r="T213" s="12">
        <f>INT(TODAY()-TabelaSobras8[[#This Row],[Data do
Registro inical]])</f>
        <v/>
      </c>
    </row>
    <row r="214" hidden="1" ht="28.8" customHeight="1">
      <c r="A214" s="170" t="inlineStr">
        <is>
          <t>N-SOBRAS</t>
        </is>
      </c>
      <c r="B214" s="170">
        <f>VLOOKUP(LEFT(A214,1),Tabela5[],2,0)</f>
        <v/>
      </c>
      <c r="C214" s="170" t="inlineStr">
        <is>
          <t>EUCADUR NT - 2,5MM</t>
        </is>
      </c>
      <c r="D214" s="169" t="n">
        <v>2090</v>
      </c>
      <c r="E214" s="169" t="n">
        <v>387</v>
      </c>
      <c r="F214" s="169">
        <f>TEXT(TabelaSobras8[[#This Row],[Comprimento 
Sobras (mm)]],0) &amp; " X " &amp; TEXT(E214,0)</f>
        <v/>
      </c>
      <c r="G214" s="170">
        <f>(TabelaSobras8[[#This Row],[Comprimento 
Sobras (mm)]]*E214/1000000)</f>
        <v/>
      </c>
      <c r="H214" s="170">
        <f>83-54</f>
        <v/>
      </c>
      <c r="I214" s="170">
        <f>IF(TabelaSobras8[[#This Row],[Estoque]]&lt;=$V$2,$U$4,$U$5)</f>
        <v/>
      </c>
      <c r="J214" s="170">
        <f>TabelaSobras8[[#This Row],[Quantidade de Sobra INICIAL]]-K214</f>
        <v/>
      </c>
      <c r="K214" s="29">
        <f>TabelaSobras8[[#This Row],[Quantidade de Sobra INICIAL]]-TabelaSobras8[[#This Row],[Saída]]-TabelaSobras8[[#This Row],[Saída 2]]-P214</f>
        <v/>
      </c>
      <c r="L214" s="169" t="inlineStr">
        <is>
          <t>Nesher</t>
        </is>
      </c>
      <c r="M214" s="169">
        <f>TabelaSobras8[[#This Row],[Estoque]]*5.8575</f>
        <v/>
      </c>
      <c r="N214" s="170" t="n">
        <v>29</v>
      </c>
      <c r="O214" s="170" t="n"/>
      <c r="P214" s="170" t="n"/>
      <c r="Q214" s="144" t="inlineStr">
        <is>
          <t>KIT NOBREZA 2100 (N2605407)</t>
        </is>
      </c>
      <c r="R214" s="170" t="inlineStr">
        <is>
          <t>Yuri</t>
        </is>
      </c>
      <c r="S214" s="6" t="n">
        <v>46168</v>
      </c>
      <c r="T214" s="12">
        <f>INT(TODAY()-TabelaSobras8[[#This Row],[Data do
Registro inical]])</f>
        <v/>
      </c>
    </row>
    <row r="215" hidden="1" ht="28.8" customHeight="1">
      <c r="A215" s="170" t="inlineStr">
        <is>
          <t>N-SOBRAS</t>
        </is>
      </c>
      <c r="B215" s="170">
        <f>VLOOKUP(LEFT(A215,1),Tabela5[],2,0)</f>
        <v/>
      </c>
      <c r="C215" s="170" t="inlineStr">
        <is>
          <t>EUCADUR NT - 2,5MM</t>
        </is>
      </c>
      <c r="D215" s="169" t="n">
        <v>2090</v>
      </c>
      <c r="E215" s="169" t="n">
        <v>333</v>
      </c>
      <c r="F215" s="169">
        <f>TEXT(TabelaSobras8[[#This Row],[Comprimento 
Sobras (mm)]],0) &amp; " X " &amp; TEXT(E215,0)</f>
        <v/>
      </c>
      <c r="G215" s="170">
        <f>(TabelaSobras8[[#This Row],[Comprimento 
Sobras (mm)]]*E215/1000000)</f>
        <v/>
      </c>
      <c r="H215" s="170" t="n">
        <v>54</v>
      </c>
      <c r="I215" s="170">
        <f>IF(TabelaSobras8[[#This Row],[Estoque]]&lt;=$V$2,$U$4,$U$5)</f>
        <v/>
      </c>
      <c r="J215" s="170">
        <f>TabelaSobras8[[#This Row],[Quantidade de Sobra INICIAL]]-K215</f>
        <v/>
      </c>
      <c r="K215" s="29">
        <f>TabelaSobras8[[#This Row],[Quantidade de Sobra INICIAL]]-TabelaSobras8[[#This Row],[Saída]]-TabelaSobras8[[#This Row],[Saída 2]]-P215</f>
        <v/>
      </c>
      <c r="L215" s="169" t="inlineStr">
        <is>
          <t>Nesher</t>
        </is>
      </c>
      <c r="M215" s="169">
        <f>TabelaSobras8[[#This Row],[Estoque]]*5.8575</f>
        <v/>
      </c>
      <c r="N215" s="170" t="n">
        <v>54</v>
      </c>
      <c r="O215" s="170" t="n"/>
      <c r="P215" s="170" t="n"/>
      <c r="Q215" s="144" t="inlineStr">
        <is>
          <t>KIT NOBREZA 2100 (N2605407)</t>
        </is>
      </c>
      <c r="R215" s="170" t="inlineStr">
        <is>
          <t>Yuri</t>
        </is>
      </c>
      <c r="S215" s="6" t="n">
        <v>46168</v>
      </c>
      <c r="T215" s="12">
        <f>INT(TODAY()-TabelaSobras8[[#This Row],[Data do
Registro inical]])</f>
        <v/>
      </c>
    </row>
    <row r="216" hidden="1">
      <c r="A216" s="170" t="inlineStr">
        <is>
          <t>N26046</t>
        </is>
      </c>
      <c r="B216" s="170">
        <f>VLOOKUP(LEFT(A216,1),Tabela5[],2,0)</f>
        <v/>
      </c>
      <c r="C216" s="170" t="inlineStr">
        <is>
          <t>EUCADUR NT - 2,5MM</t>
        </is>
      </c>
      <c r="D216" s="169" t="n">
        <v>795</v>
      </c>
      <c r="E216" s="169" t="n">
        <v>272</v>
      </c>
      <c r="F216" s="169">
        <f>TEXT(TabelaSobras8[[#This Row],[Comprimento 
Sobras (mm)]],0) &amp; " X " &amp; TEXT(E216,0)</f>
        <v/>
      </c>
      <c r="G216" s="170">
        <f>(TabelaSobras8[[#This Row],[Comprimento 
Sobras (mm)]]*E216/1000000)</f>
        <v/>
      </c>
      <c r="H216" s="170" t="n">
        <v>144</v>
      </c>
      <c r="I216" s="170">
        <f>IF(TabelaSobras8[[#This Row],[Estoque]]&lt;=$V$2,$U$4,$U$5)</f>
        <v/>
      </c>
      <c r="J216" s="170">
        <f>TabelaSobras8[[#This Row],[Quantidade de Sobra INICIAL]]-K216</f>
        <v/>
      </c>
      <c r="K216" s="29">
        <f>TabelaSobras8[[#This Row],[Quantidade de Sobra INICIAL]]-TabelaSobras8[[#This Row],[Saída]]-TabelaSobras8[[#This Row],[Saída 2]]-P216</f>
        <v/>
      </c>
      <c r="L216" s="169" t="inlineStr">
        <is>
          <t>Nesher</t>
        </is>
      </c>
      <c r="M216" s="169">
        <f>TabelaSobras8[[#This Row],[Estoque]]*5.8575</f>
        <v/>
      </c>
      <c r="N216" s="170" t="n">
        <v>144</v>
      </c>
      <c r="O216" s="170" t="n"/>
      <c r="P216" s="170" t="n"/>
      <c r="Q216" s="49" t="inlineStr">
        <is>
          <t>N2604703</t>
        </is>
      </c>
      <c r="R216" s="170" t="inlineStr">
        <is>
          <t>Yuri</t>
        </is>
      </c>
      <c r="S216" s="6" t="n">
        <v>46169</v>
      </c>
      <c r="T216" s="12">
        <f>INT(TODAY()-TabelaSobras8[[#This Row],[Data do
Registro inical]])</f>
        <v/>
      </c>
    </row>
    <row r="217" hidden="1">
      <c r="A217" s="170" t="inlineStr">
        <is>
          <t>N2605701</t>
        </is>
      </c>
      <c r="B217" s="170">
        <f>VLOOKUP(LEFT(A217,1),Tabela5[],2,0)</f>
        <v/>
      </c>
      <c r="C217" s="170" t="inlineStr">
        <is>
          <t>EUCADUR NT - 2,5MM</t>
        </is>
      </c>
      <c r="D217" s="169" t="n">
        <v>540</v>
      </c>
      <c r="E217" s="169" t="n">
        <v>398</v>
      </c>
      <c r="F217" s="169">
        <f>TEXT(TabelaSobras8[[#This Row],[Comprimento 
Sobras (mm)]],0) &amp; " X " &amp; TEXT(E217,0)</f>
        <v/>
      </c>
      <c r="G217" s="170">
        <f>(TabelaSobras8[[#This Row],[Comprimento 
Sobras (mm)]]*E217/1000000)</f>
        <v/>
      </c>
      <c r="H217" s="170" t="n">
        <v>130</v>
      </c>
      <c r="I217" s="170">
        <f>IF(TabelaSobras8[[#This Row],[Estoque]]&lt;=$V$2,$U$4,$U$5)</f>
        <v/>
      </c>
      <c r="J217" s="170">
        <f>TabelaSobras8[[#This Row],[Quantidade de Sobra INICIAL]]-K217</f>
        <v/>
      </c>
      <c r="K217" s="29">
        <f>TabelaSobras8[[#This Row],[Quantidade de Sobra INICIAL]]-TabelaSobras8[[#This Row],[Saída]]-TabelaSobras8[[#This Row],[Saída 2]]-P217</f>
        <v/>
      </c>
      <c r="L217" s="169" t="inlineStr">
        <is>
          <t>Nesher</t>
        </is>
      </c>
      <c r="M217" s="169">
        <f>TabelaSobras8[[#This Row],[Estoque]]*5.8575</f>
        <v/>
      </c>
      <c r="N217" s="170" t="n">
        <v>130</v>
      </c>
      <c r="O217" s="170" t="n"/>
      <c r="P217" s="170" t="n"/>
      <c r="Q217" s="170" t="inlineStr">
        <is>
          <t>N2606503</t>
        </is>
      </c>
      <c r="R217" s="170" t="inlineStr">
        <is>
          <t>Yuri</t>
        </is>
      </c>
      <c r="S217" s="6" t="n">
        <v>46188</v>
      </c>
      <c r="T217" s="12">
        <f>INT(TODAY()-TabelaSobras8[[#This Row],[Data do
Registro inical]])</f>
        <v/>
      </c>
    </row>
    <row r="218" hidden="1" ht="28.8" customHeight="1">
      <c r="A218" s="8" t="inlineStr">
        <is>
          <t>N2605101|N2605201 - N2606205</t>
        </is>
      </c>
      <c r="B218" s="170">
        <f>VLOOKUP(LEFT(A218,1),Tabela5[],2,0)</f>
        <v/>
      </c>
      <c r="C218" s="170" t="inlineStr">
        <is>
          <t>EUCADUR NT - 2,5MM</t>
        </is>
      </c>
      <c r="D218" s="169" t="n">
        <v>795</v>
      </c>
      <c r="E218" s="169" t="n">
        <v>272</v>
      </c>
      <c r="F218" s="169">
        <f>TEXT(TabelaSobras8[[#This Row],[Comprimento 
Sobras (mm)]],0) &amp; " X " &amp; TEXT(E218,0)</f>
        <v/>
      </c>
      <c r="G218" s="170">
        <f>(TabelaSobras8[[#This Row],[Comprimento 
Sobras (mm)]]*E218/1000000)</f>
        <v/>
      </c>
      <c r="H218" s="170">
        <f>67+100+44</f>
        <v/>
      </c>
      <c r="I218" s="170">
        <f>IF(TabelaSobras8[[#This Row],[Estoque]]&lt;=$V$2,$U$4,$U$5)</f>
        <v/>
      </c>
      <c r="J218" s="170">
        <f>TabelaSobras8[[#This Row],[Quantidade de Sobra INICIAL]]-K218</f>
        <v/>
      </c>
      <c r="K218" s="29">
        <f>TabelaSobras8[[#This Row],[Quantidade de Sobra INICIAL]]-TabelaSobras8[[#This Row],[Saída]]-TabelaSobras8[[#This Row],[Saída 2]]-P218</f>
        <v/>
      </c>
      <c r="L218" s="169" t="inlineStr">
        <is>
          <t>Nesher</t>
        </is>
      </c>
      <c r="M218" s="169">
        <f>TabelaSobras8[[#This Row],[Estoque]]*5.8575</f>
        <v/>
      </c>
      <c r="N218" s="170" t="n">
        <v>211</v>
      </c>
      <c r="O218" s="170" t="n"/>
      <c r="P218" s="170" t="n"/>
      <c r="Q218" s="42" t="inlineStr">
        <is>
          <t>N26074</t>
        </is>
      </c>
      <c r="R218" s="170" t="inlineStr">
        <is>
          <t>Yuri</t>
        </is>
      </c>
      <c r="S218" s="6" t="n">
        <v>46196</v>
      </c>
      <c r="T218" s="12">
        <f>INT(TODAY()-TabelaSobras8[[#This Row],[Data do
Registro inical]])</f>
        <v/>
      </c>
    </row>
    <row r="219" hidden="1">
      <c r="A219" s="170" t="inlineStr">
        <is>
          <t>N2606601-02-03</t>
        </is>
      </c>
      <c r="B219" s="170">
        <f>VLOOKUP(LEFT(A219,1),Tabela5[],2,0)</f>
        <v/>
      </c>
      <c r="C219" s="170" t="inlineStr">
        <is>
          <t>EUCADUR NT - 2,5MM</t>
        </is>
      </c>
      <c r="D219" s="169" t="n"/>
      <c r="E219" s="169" t="n"/>
      <c r="F219" s="169">
        <f>TEXT(TabelaSobras8[[#This Row],[Comprimento 
Sobras (mm)]],0) &amp; " X " &amp; TEXT(E219,0)</f>
        <v/>
      </c>
      <c r="G219" s="170">
        <f>(TabelaSobras8[[#This Row],[Comprimento 
Sobras (mm)]]*E219/1000000)</f>
        <v/>
      </c>
      <c r="H219" s="170" t="n"/>
      <c r="I219" s="170">
        <f>IF(TabelaSobras8[[#This Row],[Estoque]]&lt;=$V$2,$U$4,$U$5)</f>
        <v/>
      </c>
      <c r="J219" s="170">
        <f>TabelaSobras8[[#This Row],[Quantidade de Sobra INICIAL]]-K219</f>
        <v/>
      </c>
      <c r="K219" s="29">
        <f>TabelaSobras8[[#This Row],[Quantidade de Sobra INICIAL]]-TabelaSobras8[[#This Row],[Saída]]-TabelaSobras8[[#This Row],[Saída 2]]-P219</f>
        <v/>
      </c>
      <c r="L219" s="169" t="inlineStr">
        <is>
          <t>Nesher</t>
        </is>
      </c>
      <c r="M219" s="169">
        <f>TabelaSobras8[[#This Row],[Estoque]]*5.8575</f>
        <v/>
      </c>
      <c r="N219" s="170" t="n"/>
      <c r="O219" s="170" t="n"/>
      <c r="P219" s="170" t="n"/>
      <c r="Q219" s="170" t="n"/>
      <c r="R219" s="170" t="n"/>
      <c r="S219" s="6" t="n"/>
      <c r="T219" s="12">
        <f>INT(TODAY()-TabelaSobras8[[#This Row],[Data do
Registro inical]])</f>
        <v/>
      </c>
    </row>
    <row r="220" hidden="1">
      <c r="A220" s="8" t="inlineStr">
        <is>
          <t xml:space="preserve">N2606601-02-03 </t>
        </is>
      </c>
      <c r="B220" s="170">
        <f>VLOOKUP(LEFT(A220,1),Tabela5[],2,0)</f>
        <v/>
      </c>
      <c r="C220" s="170" t="inlineStr">
        <is>
          <t>EUCADUR NT - 2,5MM</t>
        </is>
      </c>
      <c r="D220" s="169" t="n">
        <v>695</v>
      </c>
      <c r="E220" s="169" t="n">
        <v>317</v>
      </c>
      <c r="F220" s="169">
        <f>TEXT(TabelaSobras8[[#This Row],[Comprimento 
Sobras (mm)]],0) &amp; " X " &amp; TEXT(E220,0)</f>
        <v/>
      </c>
      <c r="G220" s="170">
        <f>(TabelaSobras8[[#This Row],[Comprimento 
Sobras (mm)]]*E220/1000000)</f>
        <v/>
      </c>
      <c r="H220" s="170" t="n">
        <v>150</v>
      </c>
      <c r="I220" s="170">
        <f>IF(TabelaSobras8[[#This Row],[Estoque]]&lt;=$V$2,$U$4,$U$5)</f>
        <v/>
      </c>
      <c r="J220" s="170">
        <f>TabelaSobras8[[#This Row],[Quantidade de Sobra INICIAL]]-K220</f>
        <v/>
      </c>
      <c r="K220" s="29">
        <f>TabelaSobras8[[#This Row],[Quantidade de Sobra INICIAL]]-TabelaSobras8[[#This Row],[Saída]]-TabelaSobras8[[#This Row],[Saída 2]]-P220</f>
        <v/>
      </c>
      <c r="L220" s="169" t="inlineStr">
        <is>
          <t>Nesher</t>
        </is>
      </c>
      <c r="M220" s="169">
        <f>TabelaSobras8[[#This Row],[Estoque]]*5.8575</f>
        <v/>
      </c>
      <c r="N220" s="170" t="n">
        <v>150</v>
      </c>
      <c r="O220" s="170" t="n"/>
      <c r="P220" s="170" t="n"/>
      <c r="Q220" s="90" t="inlineStr">
        <is>
          <t>PAN CONDESSA</t>
        </is>
      </c>
      <c r="R220" s="170" t="inlineStr">
        <is>
          <t>Yuri</t>
        </is>
      </c>
      <c r="S220" s="6" t="n">
        <v>46198</v>
      </c>
      <c r="T220" s="12">
        <f>INT(TODAY()-TabelaSobras8[[#This Row],[Data do
Registro inical]])</f>
        <v/>
      </c>
    </row>
    <row r="221" hidden="1">
      <c r="A221" s="8" t="inlineStr">
        <is>
          <t>N</t>
        </is>
      </c>
      <c r="B221" s="170">
        <f>VLOOKUP(LEFT(A221,1),Tabela5[],2,0)</f>
        <v/>
      </c>
      <c r="C221" s="170" t="inlineStr">
        <is>
          <t>EUCADUR NT - 2,5MM</t>
        </is>
      </c>
      <c r="D221" s="169" t="n">
        <v>1195</v>
      </c>
      <c r="E221" s="169" t="n">
        <v>390</v>
      </c>
      <c r="F221" s="169">
        <f>TEXT(TabelaSobras8[[#This Row],[Comprimento 
Sobras (mm)]],0) &amp; " X " &amp; TEXT(E221,0)</f>
        <v/>
      </c>
      <c r="G221" s="170">
        <f>(TabelaSobras8[[#This Row],[Comprimento 
Sobras (mm)]]*E221/1000000)</f>
        <v/>
      </c>
      <c r="H221" s="170">
        <f>585-5</f>
        <v/>
      </c>
      <c r="I221" s="170">
        <f>IF(TabelaSobras8[[#This Row],[Estoque]]&lt;=$V$2,$U$4,$U$5)</f>
        <v/>
      </c>
      <c r="J221" s="170">
        <f>TabelaSobras8[[#This Row],[Quantidade de Sobra INICIAL]]-K221</f>
        <v/>
      </c>
      <c r="K221" s="29">
        <f>TabelaSobras8[[#This Row],[Quantidade de Sobra INICIAL]]-TabelaSobras8[[#This Row],[Saída]]-TabelaSobras8[[#This Row],[Saída 2]]-P221</f>
        <v/>
      </c>
      <c r="L221" s="169" t="inlineStr">
        <is>
          <t>Nesher</t>
        </is>
      </c>
      <c r="M221" s="169">
        <f>TabelaSobras8[[#This Row],[Estoque]]*5.8575</f>
        <v/>
      </c>
      <c r="N221" s="170" t="n">
        <v>580</v>
      </c>
      <c r="O221" s="170" t="n"/>
      <c r="P221" s="170" t="n"/>
      <c r="Q221" s="49" t="inlineStr">
        <is>
          <t>N2607301</t>
        </is>
      </c>
      <c r="R221" s="170" t="inlineStr">
        <is>
          <t>Yuri</t>
        </is>
      </c>
      <c r="S221" s="6" t="n">
        <v>46204</v>
      </c>
      <c r="T221" s="12">
        <f>INT(TODAY()-TabelaSobras8[[#This Row],[Data do
Registro inical]])</f>
        <v/>
      </c>
    </row>
    <row r="222" hidden="1">
      <c r="A222" s="8" t="inlineStr">
        <is>
          <t>N-CORTE ERRADO</t>
        </is>
      </c>
      <c r="B222" s="170">
        <f>VLOOKUP(LEFT(A222,1),Tabela5[],2,0)</f>
        <v/>
      </c>
      <c r="C222" s="170" t="inlineStr">
        <is>
          <t>EUCADUR NT - 2,5MM</t>
        </is>
      </c>
      <c r="D222" s="169" t="n">
        <v>2090</v>
      </c>
      <c r="E222" s="169" t="n">
        <v>329</v>
      </c>
      <c r="F222" s="169">
        <f>TEXT(TabelaSobras8[[#This Row],[Comprimento 
Sobras (mm)]],0) &amp; " X " &amp; TEXT(E222,0)</f>
        <v/>
      </c>
      <c r="G222" s="170">
        <f>(TabelaSobras8[[#This Row],[Comprimento 
Sobras (mm)]]*E222/1000000)</f>
        <v/>
      </c>
      <c r="H222" s="170" t="n">
        <v>15</v>
      </c>
      <c r="I222" s="170">
        <f>IF(TabelaSobras8[[#This Row],[Estoque]]&lt;=$V$2,$U$4,$U$5)</f>
        <v/>
      </c>
      <c r="J222" s="170">
        <f>TabelaSobras8[[#This Row],[Quantidade de Sobra INICIAL]]-K222</f>
        <v/>
      </c>
      <c r="K222" s="29">
        <f>TabelaSobras8[[#This Row],[Quantidade de Sobra INICIAL]]-TabelaSobras8[[#This Row],[Saída]]-TabelaSobras8[[#This Row],[Saída 2]]-P222</f>
        <v/>
      </c>
      <c r="L222" s="169" t="inlineStr">
        <is>
          <t>Nesher</t>
        </is>
      </c>
      <c r="M222" s="169">
        <f>TabelaSobras8[[#This Row],[Estoque]]*5.8575</f>
        <v/>
      </c>
      <c r="N222" s="170" t="n">
        <v>15</v>
      </c>
      <c r="O222" s="170" t="n"/>
      <c r="P222" s="170" t="n"/>
      <c r="Q222" s="42" t="inlineStr">
        <is>
          <t>KIT NOBREZA V01</t>
        </is>
      </c>
      <c r="R222" s="170" t="inlineStr">
        <is>
          <t>Yuri</t>
        </is>
      </c>
      <c r="S222" s="6" t="n">
        <v>46216</v>
      </c>
      <c r="T222" s="12">
        <f>INT(TODAY()-TabelaSobras8[[#This Row],[Data do
Registro inical]])</f>
        <v/>
      </c>
    </row>
    <row r="223" ht="28.8" customHeight="1">
      <c r="A223" s="8" t="inlineStr">
        <is>
          <t>N26070|N2608501</t>
        </is>
      </c>
      <c r="B223" s="170">
        <f>VLOOKUP(LEFT(A223,1),Tabela5[],2,0)</f>
        <v/>
      </c>
      <c r="C223" s="170" t="inlineStr">
        <is>
          <t>EUCADUR NT - 2,5MM</t>
        </is>
      </c>
      <c r="D223" s="169" t="n">
        <v>987</v>
      </c>
      <c r="E223" s="169" t="n">
        <v>268</v>
      </c>
      <c r="F223" s="169">
        <f>TEXT(TabelaSobras8[[#This Row],[Comprimento 
Sobras (mm)]],0) &amp; " X " &amp; TEXT(E223,0)</f>
        <v/>
      </c>
      <c r="G223" s="170">
        <f>(TabelaSobras8[[#This Row],[Comprimento 
Sobras (mm)]]*E223/1000000)</f>
        <v/>
      </c>
      <c r="H223" s="170">
        <f>76+150</f>
        <v/>
      </c>
      <c r="I223" s="170">
        <f>IF(TabelaSobras8[[#This Row],[Estoque]]&lt;=$V$2,$U$4,$U$5)</f>
        <v/>
      </c>
      <c r="J223" s="170">
        <f>TabelaSobras8[[#This Row],[Quantidade de Sobra INICIAL]]-K223</f>
        <v/>
      </c>
      <c r="K223" s="29">
        <f>TabelaSobras8[[#This Row],[Quantidade de Sobra INICIAL]]-TabelaSobras8[[#This Row],[Saída]]-TabelaSobras8[[#This Row],[Saída 2]]-P223</f>
        <v/>
      </c>
      <c r="L223" s="169" t="inlineStr">
        <is>
          <t>Nesher</t>
        </is>
      </c>
      <c r="M223" s="169">
        <f>TabelaSobras8[[#This Row],[Estoque]]*5.8575</f>
        <v/>
      </c>
      <c r="N223" s="170" t="n">
        <v>126</v>
      </c>
      <c r="O223" s="170" t="n"/>
      <c r="P223" s="170" t="n"/>
      <c r="Q223" s="42" t="inlineStr">
        <is>
          <t>N2608904</t>
        </is>
      </c>
      <c r="R223" s="170" t="inlineStr">
        <is>
          <t>Yuri</t>
        </is>
      </c>
      <c r="S223" s="6" t="n">
        <v>46224</v>
      </c>
      <c r="T223" s="12">
        <f>INT(TODAY()-TabelaSobras8[[#This Row],[Data do
Registro inical]])</f>
        <v/>
      </c>
    </row>
    <row r="224" hidden="1">
      <c r="A224" s="170" t="inlineStr">
        <is>
          <t>N26070</t>
        </is>
      </c>
      <c r="B224" s="170">
        <f>VLOOKUP(LEFT(A224,1),Tabela5[],2,0)</f>
        <v/>
      </c>
      <c r="C224" s="170" t="inlineStr">
        <is>
          <t>EUCADUR NT - 2,5MM</t>
        </is>
      </c>
      <c r="D224" s="169" t="n">
        <v>500</v>
      </c>
      <c r="E224" s="169" t="n">
        <v>790</v>
      </c>
      <c r="F224" s="169">
        <f>TEXT(TabelaSobras8[[#This Row],[Comprimento 
Sobras (mm)]],0) &amp; " X " &amp; TEXT(E224,0)</f>
        <v/>
      </c>
      <c r="G224" s="170">
        <f>(TabelaSobras8[[#This Row],[Comprimento 
Sobras (mm)]]*E224/1000000)</f>
        <v/>
      </c>
      <c r="H224" s="170" t="n">
        <v>150</v>
      </c>
      <c r="I224" s="170">
        <f>IF(TabelaSobras8[[#This Row],[Estoque]]&lt;=$V$2,$U$4,$U$5)</f>
        <v/>
      </c>
      <c r="J224" s="170">
        <f>TabelaSobras8[[#This Row],[Quantidade de Sobra INICIAL]]-K224</f>
        <v/>
      </c>
      <c r="K224" s="29">
        <f>TabelaSobras8[[#This Row],[Quantidade de Sobra INICIAL]]-TabelaSobras8[[#This Row],[Saída]]-TabelaSobras8[[#This Row],[Saída 2]]-P224</f>
        <v/>
      </c>
      <c r="L224" s="169" t="inlineStr">
        <is>
          <t>Nesher</t>
        </is>
      </c>
      <c r="M224" s="169">
        <f>TabelaSobras8[[#This Row],[Estoque]]*5.8575</f>
        <v/>
      </c>
      <c r="N224" s="170" t="n">
        <v>150</v>
      </c>
      <c r="O224" s="170" t="n"/>
      <c r="P224" s="170" t="n"/>
      <c r="Q224" s="42" t="inlineStr">
        <is>
          <t>KIT NOBREZA V03</t>
        </is>
      </c>
      <c r="R224" s="170" t="inlineStr">
        <is>
          <t>Estevão</t>
        </is>
      </c>
      <c r="S224" s="6" t="n">
        <v>46252</v>
      </c>
      <c r="T224" s="12">
        <f>INT(TODAY()-TabelaSobras8[[#This Row],[Data do
Registro inical]])</f>
        <v/>
      </c>
    </row>
    <row r="225" hidden="1">
      <c r="A225" s="149" t="inlineStr">
        <is>
          <t>N26078</t>
        </is>
      </c>
      <c r="B225" s="170">
        <f>VLOOKUP(LEFT(A225,1),Tabela5[],2,0)</f>
        <v/>
      </c>
      <c r="C225" s="170" t="inlineStr">
        <is>
          <t>EUCADUR NT - 2,5MM</t>
        </is>
      </c>
      <c r="D225" s="169" t="n">
        <v>1195</v>
      </c>
      <c r="E225" s="169" t="n">
        <v>272</v>
      </c>
      <c r="F225" s="169">
        <f>TEXT(TabelaSobras8[[#This Row],[Comprimento 
Sobras (mm)]],0) &amp; " X " &amp; TEXT(E225,0)</f>
        <v/>
      </c>
      <c r="G225" s="170">
        <f>(TabelaSobras8[[#This Row],[Comprimento 
Sobras (mm)]]*E225/1000000)</f>
        <v/>
      </c>
      <c r="H225" s="170" t="n">
        <v>23</v>
      </c>
      <c r="I225" s="170">
        <f>IF(TabelaSobras8[[#This Row],[Estoque]]&lt;=$V$2,$U$4,$U$5)</f>
        <v/>
      </c>
      <c r="J225" s="170">
        <f>TabelaSobras8[[#This Row],[Quantidade de Sobra INICIAL]]-K225</f>
        <v/>
      </c>
      <c r="K225" s="29">
        <f>TabelaSobras8[[#This Row],[Quantidade de Sobra INICIAL]]-TabelaSobras8[[#This Row],[Saída]]-TabelaSobras8[[#This Row],[Saída 2]]-P225</f>
        <v/>
      </c>
      <c r="L225" s="169" t="inlineStr">
        <is>
          <t>Nesher</t>
        </is>
      </c>
      <c r="M225" s="169">
        <f>TabelaSobras8[[#This Row],[Estoque]]*5.8575</f>
        <v/>
      </c>
      <c r="N225" s="170" t="n">
        <v>23</v>
      </c>
      <c r="O225" s="170" t="n"/>
      <c r="P225" s="170" t="n"/>
      <c r="Q225" s="42" t="inlineStr">
        <is>
          <t>REAL PREM</t>
        </is>
      </c>
      <c r="R225" s="170" t="inlineStr">
        <is>
          <t>Yuri</t>
        </is>
      </c>
      <c r="S225" s="6" t="n">
        <v>46226</v>
      </c>
      <c r="T225" s="12">
        <f>INT(TODAY()-TabelaSobras8[[#This Row],[Data do
Registro inical]])</f>
        <v/>
      </c>
    </row>
    <row r="226">
      <c r="A226" s="150" t="inlineStr">
        <is>
          <t>N26078|N26086</t>
        </is>
      </c>
      <c r="B226" s="170">
        <f>VLOOKUP(LEFT(A226,1),Tabela5[],2,0)</f>
        <v/>
      </c>
      <c r="C226" s="170" t="inlineStr">
        <is>
          <t>EUCADUR NT - 2,5MM</t>
        </is>
      </c>
      <c r="D226" s="169" t="n">
        <v>795</v>
      </c>
      <c r="E226" s="169" t="n">
        <v>272</v>
      </c>
      <c r="F226" s="169">
        <f>TEXT(TabelaSobras8[[#This Row],[Comprimento 
Sobras (mm)]],0) &amp; " X " &amp; TEXT(E226,0)</f>
        <v/>
      </c>
      <c r="G226" s="170">
        <f>(TabelaSobras8[[#This Row],[Comprimento 
Sobras (mm)]]*E226/1000000)</f>
        <v/>
      </c>
      <c r="H226" s="170">
        <f>23+45+28</f>
        <v/>
      </c>
      <c r="I226" s="170">
        <f>IF(TabelaSobras8[[#This Row],[Estoque]]&lt;=$V$2,$U$4,$U$5)</f>
        <v/>
      </c>
      <c r="J226" s="170">
        <f>TabelaSobras8[[#This Row],[Quantidade de Sobra INICIAL]]-K226</f>
        <v/>
      </c>
      <c r="K226" s="29">
        <f>TabelaSobras8[[#This Row],[Quantidade de Sobra INICIAL]]-TabelaSobras8[[#This Row],[Saída]]-TabelaSobras8[[#This Row],[Saída 2]]-P226</f>
        <v/>
      </c>
      <c r="L226" s="169" t="inlineStr">
        <is>
          <t>Nesher</t>
        </is>
      </c>
      <c r="M226" s="169">
        <f>TabelaSobras8[[#This Row],[Estoque]]*5.8575</f>
        <v/>
      </c>
      <c r="N226" s="170" t="n"/>
      <c r="O226" s="170" t="n"/>
      <c r="P226" s="170" t="n"/>
      <c r="Q226" s="42" t="inlineStr">
        <is>
          <t>REAL PREM</t>
        </is>
      </c>
      <c r="R226" s="170" t="inlineStr">
        <is>
          <t>Yuri</t>
        </is>
      </c>
      <c r="S226" s="6" t="n">
        <v>46226</v>
      </c>
      <c r="T226" s="12">
        <f>INT(TODAY()-TabelaSobras8[[#This Row],[Data do
Registro inical]])</f>
        <v/>
      </c>
    </row>
    <row r="227">
      <c r="A227" s="149" t="inlineStr">
        <is>
          <t>N2608501</t>
        </is>
      </c>
      <c r="B227" s="170">
        <f>VLOOKUP(LEFT(A227,1),Tabela5[],2,0)</f>
        <v/>
      </c>
      <c r="C227" s="170" t="inlineStr">
        <is>
          <t>EUCADUR NT - 2,5MM</t>
        </is>
      </c>
      <c r="D227" s="169" t="n">
        <v>987</v>
      </c>
      <c r="E227" s="169" t="n">
        <v>204</v>
      </c>
      <c r="F227" s="169">
        <f>TEXT(TabelaSobras8[[#This Row],[Comprimento 
Sobras (mm)]],0) &amp; " X " &amp; TEXT(E227,0)</f>
        <v/>
      </c>
      <c r="G227" s="170">
        <f>(TabelaSobras8[[#This Row],[Comprimento 
Sobras (mm)]]*E227/1000000)</f>
        <v/>
      </c>
      <c r="H227" s="170" t="n">
        <v>280</v>
      </c>
      <c r="I227" s="170">
        <f>IF(TabelaSobras8[[#This Row],[Estoque]]&lt;=$V$2,$U$4,$U$5)</f>
        <v/>
      </c>
      <c r="J227" s="170">
        <f>TabelaSobras8[[#This Row],[Quantidade de Sobra INICIAL]]-K227</f>
        <v/>
      </c>
      <c r="K227" s="29">
        <f>TabelaSobras8[[#This Row],[Quantidade de Sobra INICIAL]]-TabelaSobras8[[#This Row],[Saída]]-TabelaSobras8[[#This Row],[Saída 2]]-P227</f>
        <v/>
      </c>
      <c r="L227" s="169" t="inlineStr">
        <is>
          <t>Nesher</t>
        </is>
      </c>
      <c r="M227" s="169">
        <f>TabelaSobras8[[#This Row],[Estoque]]*5.8575</f>
        <v/>
      </c>
      <c r="N227" s="170" t="n">
        <v>100</v>
      </c>
      <c r="O227" s="170" t="n"/>
      <c r="P227" s="170" t="n"/>
      <c r="Q227" s="42" t="n"/>
      <c r="R227" s="170" t="inlineStr">
        <is>
          <t>Estevão</t>
        </is>
      </c>
      <c r="S227" s="6" t="n">
        <v>46252</v>
      </c>
      <c r="T227" s="12">
        <f>INT(TODAY()-TabelaSobras8[[#This Row],[Data do
Registro inical]])</f>
        <v/>
      </c>
    </row>
    <row r="228" hidden="1">
      <c r="A228" s="170" t="inlineStr">
        <is>
          <t>N2608103</t>
        </is>
      </c>
      <c r="B228" s="170">
        <f>VLOOKUP(LEFT(A228,1),Tabela5[],2,0)</f>
        <v/>
      </c>
      <c r="C228" s="170" t="inlineStr">
        <is>
          <t>EUCADUR NT - 2,5MM</t>
        </is>
      </c>
      <c r="D228" s="169" t="n">
        <v>600</v>
      </c>
      <c r="E228" s="169" t="n">
        <v>790</v>
      </c>
      <c r="F228" s="169">
        <f>TEXT(TabelaSobras8[[#This Row],[Comprimento 
Sobras (mm)]],0) &amp; " X " &amp; TEXT(E228,0)</f>
        <v/>
      </c>
      <c r="G228" s="170">
        <f>(TabelaSobras8[[#This Row],[Comprimento 
Sobras (mm)]]*E228/1000000)</f>
        <v/>
      </c>
      <c r="H228" s="170" t="n">
        <v>396</v>
      </c>
      <c r="I228" s="170">
        <f>IF(TabelaSobras8[[#This Row],[Estoque]]&lt;=$V$2,$U$4,$U$5)</f>
        <v/>
      </c>
      <c r="J228" s="170">
        <f>TabelaSobras8[[#This Row],[Quantidade de Sobra INICIAL]]-K228</f>
        <v/>
      </c>
      <c r="K228" s="29">
        <f>TabelaSobras8[[#This Row],[Quantidade de Sobra INICIAL]]-TabelaSobras8[[#This Row],[Saída]]-TabelaSobras8[[#This Row],[Saída 2]]-P228</f>
        <v/>
      </c>
      <c r="L228" s="169" t="inlineStr">
        <is>
          <t>Nesher</t>
        </is>
      </c>
      <c r="M228" s="169">
        <f>TabelaSobras8[[#This Row],[Estoque]]*5.8575</f>
        <v/>
      </c>
      <c r="N228" s="170">
        <f>314+82</f>
        <v/>
      </c>
      <c r="O228" s="170" t="n"/>
      <c r="P228" s="170" t="n"/>
      <c r="Q228" s="42" t="inlineStr">
        <is>
          <t>N2608904|N2609501</t>
        </is>
      </c>
      <c r="R228" s="170" t="inlineStr">
        <is>
          <t>Yuri</t>
        </is>
      </c>
      <c r="S228" s="6" t="n">
        <v>46227</v>
      </c>
      <c r="T228" s="12">
        <f>INT(TODAY()-TabelaSobras8[[#This Row],[Data do
Registro inical]])</f>
        <v/>
      </c>
    </row>
    <row r="229">
      <c r="A229" s="8" t="inlineStr">
        <is>
          <t>N8602|N8303</t>
        </is>
      </c>
      <c r="B229" s="170">
        <f>VLOOKUP(LEFT(A229,1),Tabela5[],2,0)</f>
        <v/>
      </c>
      <c r="C229" s="170" t="inlineStr">
        <is>
          <t>EUCADUR NT - 2,5MM</t>
        </is>
      </c>
      <c r="D229" s="169" t="n">
        <v>695</v>
      </c>
      <c r="E229" s="169" t="n">
        <v>195</v>
      </c>
      <c r="F229" s="169">
        <f>TEXT(TabelaSobras8[[#This Row],[Comprimento 
Sobras (mm)]],0) &amp; " X " &amp; TEXT(E229,0)</f>
        <v/>
      </c>
      <c r="G229" s="170">
        <f>(TabelaSobras8[[#This Row],[Comprimento 
Sobras (mm)]]*E229/1000000)</f>
        <v/>
      </c>
      <c r="H229" s="170">
        <f>60+282+20</f>
        <v/>
      </c>
      <c r="I229" s="170">
        <f>IF(TabelaSobras8[[#This Row],[Estoque]]&lt;=$V$2,$U$4,$U$5)</f>
        <v/>
      </c>
      <c r="J229" s="170">
        <f>TabelaSobras8[[#This Row],[Quantidade de Sobra INICIAL]]-K229</f>
        <v/>
      </c>
      <c r="K229" s="29">
        <f>TabelaSobras8[[#This Row],[Quantidade de Sobra INICIAL]]-TabelaSobras8[[#This Row],[Saída]]-TabelaSobras8[[#This Row],[Saída 2]]-P229</f>
        <v/>
      </c>
      <c r="L229" s="169" t="inlineStr">
        <is>
          <t>Nesher</t>
        </is>
      </c>
      <c r="M229" s="169">
        <f>TabelaSobras8[[#This Row],[Estoque]]*5.8575</f>
        <v/>
      </c>
      <c r="N229" s="170" t="n"/>
      <c r="O229" s="170" t="n"/>
      <c r="P229" s="170" t="n"/>
      <c r="Q229" s="170" t="n"/>
      <c r="R229" s="170" t="inlineStr">
        <is>
          <t>Yuri</t>
        </is>
      </c>
      <c r="S229" s="6" t="n">
        <v>46238</v>
      </c>
      <c r="T229" s="12">
        <f>INT(TODAY()-TabelaSobras8[[#This Row],[Data do
Registro inical]])</f>
        <v/>
      </c>
    </row>
    <row r="230">
      <c r="A230" s="170" t="inlineStr">
        <is>
          <t>N2608602</t>
        </is>
      </c>
      <c r="B230" s="170">
        <f>VLOOKUP(LEFT(A230,1),Tabela5[],2,0)</f>
        <v/>
      </c>
      <c r="C230" s="170" t="inlineStr">
        <is>
          <t>EUCADUR NT - 2,5MM</t>
        </is>
      </c>
      <c r="D230" s="169" t="n">
        <v>795</v>
      </c>
      <c r="E230" s="169" t="n">
        <v>317</v>
      </c>
      <c r="F230" s="169">
        <f>TEXT(TabelaSobras8[[#This Row],[Comprimento 
Sobras (mm)]],0) &amp; " X " &amp; TEXT(E230,0)</f>
        <v/>
      </c>
      <c r="G230" s="170">
        <f>(TabelaSobras8[[#This Row],[Comprimento 
Sobras (mm)]]*E230/1000000)</f>
        <v/>
      </c>
      <c r="H230" s="170">
        <f>98+60</f>
        <v/>
      </c>
      <c r="I230" s="170">
        <f>IF(TabelaSobras8[[#This Row],[Estoque]]&lt;=$V$2,$U$4,$U$5)</f>
        <v/>
      </c>
      <c r="J230" s="170">
        <f>TabelaSobras8[[#This Row],[Quantidade de Sobra INICIAL]]-K230</f>
        <v/>
      </c>
      <c r="K230" s="29">
        <f>TabelaSobras8[[#This Row],[Quantidade de Sobra INICIAL]]-TabelaSobras8[[#This Row],[Saída]]-TabelaSobras8[[#This Row],[Saída 2]]-P230</f>
        <v/>
      </c>
      <c r="L230" s="169" t="inlineStr">
        <is>
          <t>Nesher</t>
        </is>
      </c>
      <c r="M230" s="169">
        <f>TabelaSobras8[[#This Row],[Estoque]]*5.8575</f>
        <v/>
      </c>
      <c r="N230" s="170" t="n"/>
      <c r="O230" s="170" t="n"/>
      <c r="P230" s="170" t="n"/>
      <c r="Q230" s="170" t="n"/>
      <c r="R230" s="170" t="inlineStr">
        <is>
          <t>Yuri</t>
        </is>
      </c>
      <c r="S230" s="6" t="n">
        <v>46238</v>
      </c>
      <c r="T230" s="12">
        <f>INT(TODAY()-TabelaSobras8[[#This Row],[Data do
Registro inical]])</f>
        <v/>
      </c>
    </row>
    <row r="231">
      <c r="A231" s="170" t="inlineStr">
        <is>
          <t>N2608303</t>
        </is>
      </c>
      <c r="B231" s="170">
        <f>VLOOKUP(LEFT(A231,1),Tabela5[],2,0)</f>
        <v/>
      </c>
      <c r="C231" s="170" t="inlineStr">
        <is>
          <t>EUCADUR NT - 2,5MM</t>
        </is>
      </c>
      <c r="D231" s="169" t="n">
        <v>599</v>
      </c>
      <c r="E231" s="169" t="n">
        <v>398</v>
      </c>
      <c r="F231" s="169">
        <f>TEXT(TabelaSobras8[[#This Row],[Comprimento 
Sobras (mm)]],0) &amp; " X " &amp; TEXT(E231,0)</f>
        <v/>
      </c>
      <c r="G231" s="170">
        <f>(TabelaSobras8[[#This Row],[Comprimento 
Sobras (mm)]]*E231/1000000)</f>
        <v/>
      </c>
      <c r="H231" s="170" t="n">
        <v>282</v>
      </c>
      <c r="I231" s="170">
        <f>IF(TabelaSobras8[[#This Row],[Estoque]]&lt;=$V$2,$U$4,$U$5)</f>
        <v/>
      </c>
      <c r="J231" s="170">
        <f>TabelaSobras8[[#This Row],[Quantidade de Sobra INICIAL]]-K231</f>
        <v/>
      </c>
      <c r="K231" s="29">
        <f>TabelaSobras8[[#This Row],[Quantidade de Sobra INICIAL]]-TabelaSobras8[[#This Row],[Saída]]-TabelaSobras8[[#This Row],[Saída 2]]-P231</f>
        <v/>
      </c>
      <c r="L231" s="169" t="inlineStr">
        <is>
          <t>Nesher</t>
        </is>
      </c>
      <c r="M231" s="169">
        <f>TabelaSobras8[[#This Row],[Estoque]]*5.8575</f>
        <v/>
      </c>
      <c r="N231" s="170" t="n"/>
      <c r="O231" s="170" t="n"/>
      <c r="P231" s="170" t="n"/>
      <c r="Q231" s="170" t="n"/>
      <c r="R231" s="170" t="inlineStr">
        <is>
          <t>Yuri</t>
        </is>
      </c>
      <c r="S231" s="6" t="n">
        <v>46238</v>
      </c>
      <c r="T231" s="12">
        <f>INT(TODAY()-TabelaSobras8[[#This Row],[Data do
Registro inical]])</f>
        <v/>
      </c>
    </row>
    <row r="232">
      <c r="A232" s="170" t="inlineStr">
        <is>
          <t>N26088</t>
        </is>
      </c>
      <c r="B232" s="170">
        <f>VLOOKUP(LEFT(A232,1),Tabela5[],2,0)</f>
        <v/>
      </c>
      <c r="C232" s="170" t="inlineStr">
        <is>
          <t>EUCADUR NT - 2,5MM</t>
        </is>
      </c>
      <c r="D232" s="169" t="n">
        <v>359</v>
      </c>
      <c r="E232" s="169" t="n">
        <v>695</v>
      </c>
      <c r="F232" s="169">
        <f>TEXT(TabelaSobras8[[#This Row],[Comprimento 
Sobras (mm)]],0) &amp; " X " &amp; TEXT(E232,0)</f>
        <v/>
      </c>
      <c r="G232" s="170">
        <f>(TabelaSobras8[[#This Row],[Comprimento 
Sobras (mm)]]*E232/1000000)</f>
        <v/>
      </c>
      <c r="H232" s="170">
        <f>507+69</f>
        <v/>
      </c>
      <c r="I232" s="170">
        <f>IF(TabelaSobras8[[#This Row],[Estoque]]&lt;=$V$2,$U$4,$U$5)</f>
        <v/>
      </c>
      <c r="J232" s="170">
        <f>TabelaSobras8[[#This Row],[Quantidade de Sobra INICIAL]]-K232</f>
        <v/>
      </c>
      <c r="K232" s="29">
        <f>TabelaSobras8[[#This Row],[Quantidade de Sobra INICIAL]]-TabelaSobras8[[#This Row],[Saída]]-TabelaSobras8[[#This Row],[Saída 2]]-P232</f>
        <v/>
      </c>
      <c r="L232" s="169" t="inlineStr">
        <is>
          <t>Nesher</t>
        </is>
      </c>
      <c r="M232" s="169">
        <f>TabelaSobras8[[#This Row],[Estoque]]*5.8575</f>
        <v/>
      </c>
      <c r="N232" s="170" t="n">
        <v>200</v>
      </c>
      <c r="O232" s="170" t="n"/>
      <c r="P232" s="170" t="n"/>
      <c r="Q232" s="42" t="inlineStr">
        <is>
          <t>N2610103</t>
        </is>
      </c>
      <c r="R232" s="170" t="inlineStr">
        <is>
          <t>Estevão</t>
        </is>
      </c>
      <c r="S232" s="6" t="n">
        <v>46238</v>
      </c>
      <c r="T232" s="12">
        <f>INT(TODAY()-TabelaSobras8[[#This Row],[Data do
Registro inical]])</f>
        <v/>
      </c>
    </row>
    <row r="233" hidden="1">
      <c r="A233" s="170" t="inlineStr">
        <is>
          <t>I26024</t>
        </is>
      </c>
      <c r="B233" s="170">
        <f>VLOOKUP(LEFT(A233,1),Tabela5[],2,0)</f>
        <v/>
      </c>
      <c r="C233" s="170" t="inlineStr">
        <is>
          <t>EUCADUR NT - 2,5MM</t>
        </is>
      </c>
      <c r="D233" s="169" t="n">
        <v>695</v>
      </c>
      <c r="E233" s="169" t="n">
        <v>509</v>
      </c>
      <c r="F233" s="169">
        <f>TEXT(TabelaSobras8[[#This Row],[Comprimento 
Sobras (mm)]],0) &amp; " X " &amp; TEXT(E233,0)</f>
        <v/>
      </c>
      <c r="G233" s="170">
        <f>(TabelaSobras8[[#This Row],[Comprimento 
Sobras (mm)]]*E233/1000000)</f>
        <v/>
      </c>
      <c r="H233" s="170" t="n">
        <v>158</v>
      </c>
      <c r="I233" s="170">
        <f>IF(TabelaSobras8[[#This Row],[Estoque]]&lt;=$V$2,$U$4,$U$5)</f>
        <v/>
      </c>
      <c r="J233" s="170">
        <f>TabelaSobras8[[#This Row],[Quantidade de Sobra INICIAL]]-K233</f>
        <v/>
      </c>
      <c r="K233" s="29">
        <f>TabelaSobras8[[#This Row],[Quantidade de Sobra INICIAL]]-TabelaSobras8[[#This Row],[Saída]]-TabelaSobras8[[#This Row],[Saída 2]]-P233</f>
        <v/>
      </c>
      <c r="L233" s="169" t="inlineStr">
        <is>
          <t>Multilínea</t>
        </is>
      </c>
      <c r="M233" s="169">
        <f>TabelaSobras8[[#This Row],[Estoque]]*5.8575</f>
        <v/>
      </c>
      <c r="N233" s="170" t="n"/>
      <c r="O233" s="170" t="n"/>
      <c r="P233" s="170" t="n"/>
      <c r="Q233" s="42" t="inlineStr">
        <is>
          <t>AGUARDANDO LOTE</t>
        </is>
      </c>
      <c r="R233" s="170" t="inlineStr">
        <is>
          <t>Yuri</t>
        </is>
      </c>
      <c r="S233" s="6" t="n">
        <v>46228</v>
      </c>
      <c r="T233" s="12">
        <f>INT(TODAY()-TabelaSobras8[[#This Row],[Data do
Registro inical]])</f>
        <v/>
      </c>
    </row>
    <row r="234" hidden="1">
      <c r="A234" s="170" t="inlineStr">
        <is>
          <t>I26024</t>
        </is>
      </c>
      <c r="B234" s="170">
        <f>VLOOKUP(LEFT(A234,1),Tabela5[],2,0)</f>
        <v/>
      </c>
      <c r="C234" s="170" t="inlineStr">
        <is>
          <t>EUCADUR NT - 2,5MM</t>
        </is>
      </c>
      <c r="D234" s="169" t="n">
        <v>695</v>
      </c>
      <c r="E234" s="169" t="n">
        <v>385</v>
      </c>
      <c r="F234" s="169">
        <f>TEXT(TabelaSobras8[[#This Row],[Comprimento 
Sobras (mm)]],0) &amp; " X " &amp; TEXT(E234,0)</f>
        <v/>
      </c>
      <c r="G234" s="170">
        <f>(TabelaSobras8[[#This Row],[Comprimento 
Sobras (mm)]]*E234/1000000)</f>
        <v/>
      </c>
      <c r="H234" s="170" t="n">
        <v>60</v>
      </c>
      <c r="I234" s="170">
        <f>IF(TabelaSobras8[[#This Row],[Estoque]]&lt;=$V$2,$U$4,$U$5)</f>
        <v/>
      </c>
      <c r="J234" s="170">
        <f>TabelaSobras8[[#This Row],[Quantidade de Sobra INICIAL]]-K234</f>
        <v/>
      </c>
      <c r="K234" s="29">
        <f>TabelaSobras8[[#This Row],[Quantidade de Sobra INICIAL]]-TabelaSobras8[[#This Row],[Saída]]-TabelaSobras8[[#This Row],[Saída 2]]-P234</f>
        <v/>
      </c>
      <c r="L234" s="169" t="inlineStr">
        <is>
          <t>Multilínea</t>
        </is>
      </c>
      <c r="M234" s="169">
        <f>TabelaSobras8[[#This Row],[Estoque]]*5.8575</f>
        <v/>
      </c>
      <c r="N234" s="170" t="n"/>
      <c r="O234" s="170" t="n"/>
      <c r="P234" s="170" t="n"/>
      <c r="Q234" s="42" t="inlineStr">
        <is>
          <t>AGUARDANDO LOTE</t>
        </is>
      </c>
      <c r="R234" s="170" t="inlineStr">
        <is>
          <t>Yuri</t>
        </is>
      </c>
      <c r="S234" s="6" t="n">
        <v>46228</v>
      </c>
      <c r="T234" s="12">
        <f>INT(TODAY()-TabelaSobras8[[#This Row],[Data do
Registro inical]])</f>
        <v/>
      </c>
    </row>
    <row r="235" hidden="1">
      <c r="A235" s="170" t="inlineStr">
        <is>
          <t>I2602501</t>
        </is>
      </c>
      <c r="B235" s="170">
        <f>VLOOKUP(LEFT(A235,1),Tabela5[],2,0)</f>
        <v/>
      </c>
      <c r="C235" s="170" t="inlineStr">
        <is>
          <t>EUCADUR NT - 2,5MM</t>
        </is>
      </c>
      <c r="D235" s="169" t="n">
        <v>1195</v>
      </c>
      <c r="E235" s="169" t="n">
        <v>272</v>
      </c>
      <c r="F235" s="169">
        <f>TEXT(TabelaSobras8[[#This Row],[Comprimento 
Sobras (mm)]],0) &amp; " X " &amp; TEXT(E235,0)</f>
        <v/>
      </c>
      <c r="G235" s="170">
        <f>(TabelaSobras8[[#This Row],[Comprimento 
Sobras (mm)]]*E235/1000000)</f>
        <v/>
      </c>
      <c r="H235" s="170" t="n">
        <v>182</v>
      </c>
      <c r="I235" s="170">
        <f>IF(TabelaSobras8[[#This Row],[Estoque]]&lt;=$V$2,$U$4,$U$5)</f>
        <v/>
      </c>
      <c r="J235" s="170">
        <f>TabelaSobras8[[#This Row],[Quantidade de Sobra INICIAL]]-K235</f>
        <v/>
      </c>
      <c r="K235" s="29">
        <f>TabelaSobras8[[#This Row],[Quantidade de Sobra INICIAL]]-TabelaSobras8[[#This Row],[Saída]]-TabelaSobras8[[#This Row],[Saída 2]]-P235</f>
        <v/>
      </c>
      <c r="L235" s="169" t="inlineStr">
        <is>
          <t>Multilínea</t>
        </is>
      </c>
      <c r="M235" s="169">
        <f>TabelaSobras8[[#This Row],[Estoque]]*5.8575</f>
        <v/>
      </c>
      <c r="N235" s="170" t="n"/>
      <c r="O235" s="170" t="n"/>
      <c r="P235" s="170" t="n"/>
      <c r="Q235" s="42" t="inlineStr">
        <is>
          <t>AGUARDANDO LOTE</t>
        </is>
      </c>
      <c r="R235" s="170" t="inlineStr">
        <is>
          <t>Yuri</t>
        </is>
      </c>
      <c r="S235" s="6" t="n">
        <v>46235</v>
      </c>
      <c r="T235" s="12">
        <f>INT(TODAY()-TabelaSobras8[[#This Row],[Data do
Registro inical]])</f>
        <v/>
      </c>
    </row>
    <row r="236">
      <c r="A236" s="170" t="inlineStr">
        <is>
          <t>N</t>
        </is>
      </c>
      <c r="B236" s="170">
        <f>VLOOKUP(LEFT(A236,1),Tabela5[],2,0)</f>
        <v/>
      </c>
      <c r="C236" s="170" t="inlineStr">
        <is>
          <t>EUCADUR NT - 2,5MM</t>
        </is>
      </c>
      <c r="D236" s="169" t="n">
        <v>517</v>
      </c>
      <c r="E236" s="169" t="n">
        <v>398</v>
      </c>
      <c r="F236" s="169">
        <f>TEXT(TabelaSobras8[[#This Row],[Comprimento 
Sobras (mm)]],0) &amp; " X " &amp; TEXT(E236,0)</f>
        <v/>
      </c>
      <c r="G236" s="170">
        <f>(TabelaSobras8[[#This Row],[Comprimento 
Sobras (mm)]]*E236/1000000)</f>
        <v/>
      </c>
      <c r="H236" s="170" t="n">
        <v>450</v>
      </c>
      <c r="I236" s="170">
        <f>IF(TabelaSobras8[[#This Row],[Estoque]]&lt;=$V$2,$U$4,$U$5)</f>
        <v/>
      </c>
      <c r="J236" s="170">
        <f>TabelaSobras8[[#This Row],[Quantidade de Sobra INICIAL]]-K236</f>
        <v/>
      </c>
      <c r="K236" s="29">
        <f>TabelaSobras8[[#This Row],[Quantidade de Sobra INICIAL]]-TabelaSobras8[[#This Row],[Saída]]-TabelaSobras8[[#This Row],[Saída 2]]-P236</f>
        <v/>
      </c>
      <c r="L236" s="169" t="inlineStr">
        <is>
          <t>Nesher</t>
        </is>
      </c>
      <c r="M236" s="169">
        <f>TabelaSobras8[[#This Row],[Estoque]]*5.8575</f>
        <v/>
      </c>
      <c r="N236" s="170" t="n"/>
      <c r="O236" s="170" t="n"/>
      <c r="P236" s="170" t="n"/>
      <c r="Q236" s="170" t="n"/>
      <c r="R236" s="170" t="inlineStr">
        <is>
          <t>Estevão</t>
        </is>
      </c>
      <c r="S236" s="6" t="n">
        <v>46246</v>
      </c>
      <c r="T236" s="12">
        <f>INT(TODAY()-TabelaSobras8[[#This Row],[Data do
Registro inical]])</f>
        <v/>
      </c>
    </row>
    <row r="237">
      <c r="A237" s="170" t="inlineStr">
        <is>
          <t>N</t>
        </is>
      </c>
      <c r="B237" s="170">
        <f>VLOOKUP(LEFT(A237,1),Tabela5[],2,0)</f>
        <v/>
      </c>
      <c r="C237" s="170" t="inlineStr">
        <is>
          <t>EUCADUR NT - 2,5MM</t>
        </is>
      </c>
      <c r="D237" s="169" t="n">
        <v>695</v>
      </c>
      <c r="E237" s="169" t="n">
        <v>375</v>
      </c>
      <c r="F237" s="169">
        <f>TEXT(TabelaSobras8[[#This Row],[Comprimento 
Sobras (mm)]],0) &amp; " X " &amp; TEXT(E237,0)</f>
        <v/>
      </c>
      <c r="G237" s="170">
        <f>(TabelaSobras8[[#This Row],[Comprimento 
Sobras (mm)]]*E237/1000000)</f>
        <v/>
      </c>
      <c r="H237" s="170" t="n">
        <v>380</v>
      </c>
      <c r="I237" s="170">
        <f>IF(TabelaSobras8[[#This Row],[Estoque]]&lt;=$V$2,$U$4,$U$5)</f>
        <v/>
      </c>
      <c r="J237" s="170">
        <f>TabelaSobras8[[#This Row],[Quantidade de Sobra INICIAL]]-K237</f>
        <v/>
      </c>
      <c r="K237" s="29">
        <f>TabelaSobras8[[#This Row],[Quantidade de Sobra INICIAL]]-TabelaSobras8[[#This Row],[Saída]]-TabelaSobras8[[#This Row],[Saída 2]]-P237</f>
        <v/>
      </c>
      <c r="L237" s="169" t="inlineStr">
        <is>
          <t>Nesher</t>
        </is>
      </c>
      <c r="M237" s="169">
        <f>TabelaSobras8[[#This Row],[Estoque]]*5.8575</f>
        <v/>
      </c>
      <c r="N237" s="170" t="n"/>
      <c r="O237" s="170" t="n"/>
      <c r="P237" s="170" t="n"/>
      <c r="Q237" s="170" t="n"/>
      <c r="R237" s="170" t="inlineStr">
        <is>
          <t>Estevão</t>
        </is>
      </c>
      <c r="S237" s="6" t="n">
        <v>46246</v>
      </c>
      <c r="T237" s="12">
        <f>INT(TODAY()-TabelaSobras8[[#This Row],[Data do
Registro inical]])</f>
        <v/>
      </c>
    </row>
    <row r="238">
      <c r="A238" s="170" t="inlineStr">
        <is>
          <t>N</t>
        </is>
      </c>
      <c r="B238" s="170">
        <f>VLOOKUP(LEFT(A238,1),Tabela5[],2,0)</f>
        <v/>
      </c>
      <c r="C238" s="170" t="inlineStr">
        <is>
          <t>EUCADUR NT - 2,5MM</t>
        </is>
      </c>
      <c r="D238" s="169" t="n">
        <v>695</v>
      </c>
      <c r="E238" s="169" t="n">
        <v>379</v>
      </c>
      <c r="F238" s="169">
        <f>TEXT(TabelaSobras8[[#This Row],[Comprimento 
Sobras (mm)]],0) &amp; " X " &amp; TEXT(E238,0)</f>
        <v/>
      </c>
      <c r="G238" s="170">
        <f>(TabelaSobras8[[#This Row],[Comprimento 
Sobras (mm)]]*E238/1000000)</f>
        <v/>
      </c>
      <c r="H238" s="170">
        <f>180+100</f>
        <v/>
      </c>
      <c r="I238" s="170">
        <f>IF(TabelaSobras8[[#This Row],[Estoque]]&lt;=$V$2,$U$4,$U$5)</f>
        <v/>
      </c>
      <c r="J238" s="170">
        <f>TabelaSobras8[[#This Row],[Quantidade de Sobra INICIAL]]-K238</f>
        <v/>
      </c>
      <c r="K238" s="29">
        <f>TabelaSobras8[[#This Row],[Quantidade de Sobra INICIAL]]-TabelaSobras8[[#This Row],[Saída]]-TabelaSobras8[[#This Row],[Saída 2]]-P238</f>
        <v/>
      </c>
      <c r="L238" s="169" t="inlineStr">
        <is>
          <t>Nesher</t>
        </is>
      </c>
      <c r="M238" s="169">
        <f>TabelaSobras8[[#This Row],[Estoque]]*5.8575</f>
        <v/>
      </c>
      <c r="N238" s="170" t="n"/>
      <c r="O238" s="170" t="n"/>
      <c r="P238" s="170" t="n"/>
      <c r="Q238" s="170" t="n"/>
      <c r="R238" s="170" t="inlineStr">
        <is>
          <t>Estevão</t>
        </is>
      </c>
      <c r="S238" s="6" t="n">
        <v>46246</v>
      </c>
      <c r="T238" s="12">
        <f>INT(TODAY()-TabelaSobras8[[#This Row],[Data do
Registro inical]])</f>
        <v/>
      </c>
    </row>
    <row r="239">
      <c r="A239" s="170" t="inlineStr">
        <is>
          <t>N</t>
        </is>
      </c>
      <c r="B239" s="170">
        <f>VLOOKUP(LEFT(A239,1),Tabela5[],2,0)</f>
        <v/>
      </c>
      <c r="C239" s="170" t="inlineStr">
        <is>
          <t>EUCADUR NT - 2,5MM</t>
        </is>
      </c>
      <c r="D239" s="169" t="n">
        <v>690</v>
      </c>
      <c r="E239" s="169" t="n">
        <v>379</v>
      </c>
      <c r="F239" s="169">
        <f>TEXT(TabelaSobras8[[#This Row],[Comprimento 
Sobras (mm)]],0) &amp; " X " &amp; TEXT(E239,0)</f>
        <v/>
      </c>
      <c r="G239" s="170">
        <f>(TabelaSobras8[[#This Row],[Comprimento 
Sobras (mm)]]*E239/1000000)</f>
        <v/>
      </c>
      <c r="H239" s="170" t="n">
        <v>150</v>
      </c>
      <c r="I239" s="170">
        <f>IF(TabelaSobras8[[#This Row],[Estoque]]&lt;=$V$2,$U$4,$U$5)</f>
        <v/>
      </c>
      <c r="J239" s="170">
        <f>TabelaSobras8[[#This Row],[Quantidade de Sobra INICIAL]]-K239</f>
        <v/>
      </c>
      <c r="K239" s="29">
        <f>TabelaSobras8[[#This Row],[Quantidade de Sobra INICIAL]]-TabelaSobras8[[#This Row],[Saída]]-TabelaSobras8[[#This Row],[Saída 2]]-P239</f>
        <v/>
      </c>
      <c r="L239" s="169" t="inlineStr">
        <is>
          <t>Nesher</t>
        </is>
      </c>
      <c r="M239" s="169">
        <f>TabelaSobras8[[#This Row],[Estoque]]*5.8575</f>
        <v/>
      </c>
      <c r="N239" s="170" t="n"/>
      <c r="O239" s="170" t="n"/>
      <c r="P239" s="170" t="n"/>
      <c r="Q239" s="170" t="n"/>
      <c r="R239" s="170" t="inlineStr">
        <is>
          <t>Estevão</t>
        </is>
      </c>
      <c r="S239" s="6" t="n">
        <v>46246</v>
      </c>
      <c r="T239" s="12">
        <f>INT(TODAY()-TabelaSobras8[[#This Row],[Data do
Registro inical]])</f>
        <v/>
      </c>
    </row>
    <row r="240">
      <c r="A240" s="170" t="inlineStr">
        <is>
          <t>N</t>
        </is>
      </c>
      <c r="B240" s="170">
        <f>VLOOKUP(LEFT(A240,1),Tabela5[],2,0)</f>
        <v/>
      </c>
      <c r="C240" s="170" t="inlineStr">
        <is>
          <t>EUCADUR NT - 2,5MM</t>
        </is>
      </c>
      <c r="D240" s="169" t="n">
        <v>645</v>
      </c>
      <c r="E240" s="169" t="n">
        <v>272</v>
      </c>
      <c r="F240" s="169">
        <f>TEXT(TabelaSobras8[[#This Row],[Comprimento 
Sobras (mm)]],0) &amp; " X " &amp; TEXT(E240,0)</f>
        <v/>
      </c>
      <c r="G240" s="170">
        <f>(TabelaSobras8[[#This Row],[Comprimento 
Sobras (mm)]]*E240/1000000)</f>
        <v/>
      </c>
      <c r="H240" s="170" t="n">
        <v>69</v>
      </c>
      <c r="I240" s="170">
        <f>IF(TabelaSobras8[[#This Row],[Estoque]]&lt;=$V$2,$U$4,$U$5)</f>
        <v/>
      </c>
      <c r="J240" s="170">
        <f>TabelaSobras8[[#This Row],[Quantidade de Sobra INICIAL]]-K240</f>
        <v/>
      </c>
      <c r="K240" s="29">
        <f>TabelaSobras8[[#This Row],[Quantidade de Sobra INICIAL]]-TabelaSobras8[[#This Row],[Saída]]-TabelaSobras8[[#This Row],[Saída 2]]-P240</f>
        <v/>
      </c>
      <c r="L240" s="169" t="inlineStr">
        <is>
          <t>Nesher</t>
        </is>
      </c>
      <c r="M240" s="169">
        <f>TabelaSobras8[[#This Row],[Estoque]]*5.8575</f>
        <v/>
      </c>
      <c r="N240" s="170" t="n"/>
      <c r="O240" s="170" t="n"/>
      <c r="P240" s="170" t="n"/>
      <c r="Q240" s="170" t="n"/>
      <c r="R240" s="170" t="inlineStr">
        <is>
          <t>Estevão</t>
        </is>
      </c>
      <c r="S240" s="6" t="n">
        <v>46251</v>
      </c>
      <c r="T240" s="12">
        <f>INT(TODAY()-TabelaSobras8[[#This Row],[Data do
Registro inical]])</f>
        <v/>
      </c>
    </row>
    <row r="241">
      <c r="A241" s="170" t="inlineStr">
        <is>
          <t>N</t>
        </is>
      </c>
      <c r="B241" s="170">
        <f>VLOOKUP(LEFT(A241,1),Tabela5[],2,0)</f>
        <v/>
      </c>
      <c r="C241" s="170" t="inlineStr">
        <is>
          <t>EUCADUR NT - 2,5MM</t>
        </is>
      </c>
      <c r="D241" s="169" t="n">
        <v>462</v>
      </c>
      <c r="E241" s="169" t="n">
        <v>398</v>
      </c>
      <c r="F241" s="169">
        <f>TEXT(TabelaSobras8[[#This Row],[Comprimento 
Sobras (mm)]],0) &amp; " X " &amp; TEXT(E241,0)</f>
        <v/>
      </c>
      <c r="G241" s="170">
        <f>(TabelaSobras8[[#This Row],[Comprimento 
Sobras (mm)]]*E241/1000000)</f>
        <v/>
      </c>
      <c r="H241" s="170" t="n">
        <v>243</v>
      </c>
      <c r="I241" s="170">
        <f>IF(TabelaSobras8[[#This Row],[Estoque]]&lt;=$V$2,$U$4,$U$5)</f>
        <v/>
      </c>
      <c r="J241" s="170">
        <f>TabelaSobras8[[#This Row],[Quantidade de Sobra INICIAL]]-K241</f>
        <v/>
      </c>
      <c r="K241" s="29">
        <f>TabelaSobras8[[#This Row],[Quantidade de Sobra INICIAL]]-TabelaSobras8[[#This Row],[Saída]]-TabelaSobras8[[#This Row],[Saída 2]]-P241</f>
        <v/>
      </c>
      <c r="L241" s="169" t="inlineStr">
        <is>
          <t>Nesher</t>
        </is>
      </c>
      <c r="M241" s="169">
        <f>TabelaSobras8[[#This Row],[Estoque]]*5.8575</f>
        <v/>
      </c>
      <c r="N241" s="170" t="n"/>
      <c r="O241" s="170" t="n"/>
      <c r="P241" s="170" t="n"/>
      <c r="Q241" s="170" t="n"/>
      <c r="R241" s="170" t="inlineStr">
        <is>
          <t>Estevão</t>
        </is>
      </c>
      <c r="S241" s="6" t="n">
        <v>46252</v>
      </c>
      <c r="T241" s="12">
        <f>INT(TODAY()-TabelaSobras8[[#This Row],[Data do
Registro inical]])</f>
        <v/>
      </c>
    </row>
  </sheetData>
  <mergeCells count="1">
    <mergeCell ref="A1:T1"/>
  </mergeCells>
  <conditionalFormatting sqref="I2 I3:J241">
    <cfRule type="containsText" priority="14" operator="containsText" dxfId="7" text="apro">
      <formula>NOT(ISERROR(SEARCH("apro",I2)))</formula>
    </cfRule>
    <cfRule type="containsText" priority="15" operator="containsText" dxfId="36" text="dispo">
      <formula>NOT(ISERROR(SEARCH("dispo",I2)))</formula>
    </cfRule>
  </conditionalFormatting>
  <conditionalFormatting sqref="K1 K3:K1048576">
    <cfRule type="cellIs" priority="7" operator="greaterThan" dxfId="7">
      <formula>0</formula>
    </cfRule>
  </conditionalFormatting>
  <conditionalFormatting sqref="Q1:Q44 Q46:Q88 Q90 Q92:Q95 Q98:Q107 Q109:Q142 Q144:Q1048576">
    <cfRule type="containsText" priority="9" operator="containsText" dxfId="44" text="RECOR">
      <formula>NOT(ISERROR(SEARCH("RECOR",Q1)))</formula>
    </cfRule>
  </conditionalFormatting>
  <conditionalFormatting sqref="Q46">
    <cfRule type="containsText" priority="8" operator="containsText" dxfId="44" text="M25037">
      <formula>NOT(ISERROR(SEARCH("M25037",Q46)))</formula>
    </cfRule>
  </conditionalFormatting>
  <conditionalFormatting sqref="Q54:Q55">
    <cfRule type="containsText" priority="5" operator="containsText" dxfId="44" text="M25037">
      <formula>NOT(ISERROR(SEARCH("M25037",Q54)))</formula>
    </cfRule>
  </conditionalFormatting>
  <dataValidations count="3">
    <dataValidation sqref="L3:L241" showDropDown="0" showInputMessage="1" showErrorMessage="1" allowBlank="1" type="list">
      <formula1>INDIRECT("Tabela3[Fábrica]")</formula1>
    </dataValidation>
    <dataValidation sqref="R3:R241" showDropDown="0" showInputMessage="1" showErrorMessage="1" allowBlank="1" type="list">
      <formula1>INDIRECT("Tabela4[Resposáveis]")</formula1>
    </dataValidation>
    <dataValidation sqref="C3:C241" showDropDown="0" showInputMessage="1" showErrorMessage="1" allowBlank="1" type="list">
      <formula1>INDIRECT("Tabela8[TIPO DE CHAPA FUNDO]")</formula1>
    </dataValidation>
  </dataValidation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6">
    <outlinePr summaryBelow="1" summaryRight="1"/>
    <pageSetUpPr fitToPage="1"/>
  </sheetPr>
  <dimension ref="A1:Y125"/>
  <sheetViews>
    <sheetView zoomScale="115" zoomScaleNormal="115" workbookViewId="0">
      <pane ySplit="2" topLeftCell="A3" activePane="bottomLeft" state="frozen"/>
      <selection pane="bottomLeft" activeCell="Q120" sqref="Q120"/>
    </sheetView>
  </sheetViews>
  <sheetFormatPr baseColWidth="8" defaultColWidth="0" defaultRowHeight="14.4"/>
  <cols>
    <col width="22.5546875" customWidth="1" style="170" min="1" max="1"/>
    <col width="9.5546875" customWidth="1" style="170" min="2" max="2"/>
    <col width="18.6640625" customWidth="1" style="5" min="3" max="3"/>
    <col hidden="1" width="22.88671875" customWidth="1" style="5" min="4" max="4"/>
    <col width="14" customWidth="1" style="169" min="5" max="5"/>
    <col width="13" customWidth="1" style="169" min="6" max="6"/>
    <col width="11.44140625" customWidth="1" style="169" min="7" max="7"/>
    <col hidden="1" width="12.109375" customWidth="1" style="170" min="8" max="8"/>
    <col width="15.33203125" customWidth="1" style="170" min="9" max="9"/>
    <col width="13.109375" bestFit="1" customWidth="1" style="5" min="10" max="10"/>
    <col hidden="1" width="16.44140625" customWidth="1" style="5" min="11" max="11"/>
    <col width="10.6640625" customWidth="1" style="5" min="12" max="12"/>
    <col width="15.5546875" customWidth="1" style="5" min="13" max="13"/>
    <col hidden="1" width="18.109375" customWidth="1" style="5" min="14" max="14"/>
    <col width="13.44140625" customWidth="1" style="5" min="15" max="15"/>
    <col hidden="1" width="12" customWidth="1" style="5" min="16" max="16"/>
    <col width="24.5546875" customWidth="1" style="5" min="17" max="17"/>
    <col width="17.33203125" bestFit="1" customWidth="1" style="5" min="18" max="18"/>
    <col width="13.109375" customWidth="1" style="5" min="19" max="19"/>
    <col width="19.6640625" customWidth="1" style="170" min="20" max="20"/>
    <col hidden="1" width="6.6640625" customWidth="1" style="5" min="21" max="21"/>
    <col hidden="1" width="12.88671875" customWidth="1" style="5" min="22" max="22"/>
    <col hidden="1" width="11.109375" customWidth="1" style="5" min="23" max="23"/>
    <col hidden="1" width="14.33203125" customWidth="1" style="5" min="24" max="24"/>
    <col hidden="1" width="15.88671875" customWidth="1" style="5" min="25" max="25"/>
    <col hidden="1" width="9.109375" customWidth="1" style="5" min="26" max="26"/>
    <col hidden="1" width="9.109375" customWidth="1" style="5" min="27" max="16384"/>
  </cols>
  <sheetData>
    <row r="1" ht="29.25" customHeight="1" thickBot="1">
      <c r="A1" s="158" t="n"/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5" t="n">
        <v>0</v>
      </c>
      <c r="V1" s="16" t="inlineStr">
        <is>
          <t>Aproveitada</t>
        </is>
      </c>
      <c r="W1" s="16" t="inlineStr">
        <is>
          <t>Disponível</t>
        </is>
      </c>
      <c r="X1" s="17" t="inlineStr">
        <is>
          <t>média de dias</t>
        </is>
      </c>
      <c r="Y1" t="inlineStr">
        <is>
          <t>APROVEITADA</t>
        </is>
      </c>
    </row>
    <row r="2" ht="29.4" customFormat="1" customHeight="1" s="170" thickBot="1">
      <c r="A2" s="2" t="inlineStr">
        <is>
          <t>Lote de Origem</t>
        </is>
      </c>
      <c r="B2" s="2" t="inlineStr">
        <is>
          <t>Fábrica</t>
        </is>
      </c>
      <c r="C2" s="2" t="inlineStr">
        <is>
          <t>Tipo de Chapa/COR</t>
        </is>
      </c>
      <c r="D2" s="2" t="inlineStr">
        <is>
          <t>Valor por m²</t>
        </is>
      </c>
      <c r="E2" s="4" t="inlineStr">
        <is>
          <t>Comprimento 
Sobras (mm)</t>
        </is>
      </c>
      <c r="F2" s="4" t="inlineStr">
        <is>
          <t>Largura 
Sobras (mm)</t>
        </is>
      </c>
      <c r="G2" s="4" t="inlineStr">
        <is>
          <t>Peça</t>
        </is>
      </c>
      <c r="H2" s="4" t="inlineStr">
        <is>
          <t>M²
Sobras</t>
        </is>
      </c>
      <c r="I2" s="4" t="inlineStr">
        <is>
          <t>Quantidade de Sobra</t>
        </is>
      </c>
      <c r="J2" s="4" t="inlineStr">
        <is>
          <t>Status 
da Sobra</t>
        </is>
      </c>
      <c r="K2" s="4" t="inlineStr">
        <is>
          <t>Quantidade Aproveitada</t>
        </is>
      </c>
      <c r="L2" s="4" t="inlineStr">
        <is>
          <t>Estoque</t>
        </is>
      </c>
      <c r="M2" s="4" t="inlineStr">
        <is>
          <t>Local de 
Armazenamento</t>
        </is>
      </c>
      <c r="N2" s="4" t="inlineStr">
        <is>
          <t>M² Disponível</t>
        </is>
      </c>
      <c r="O2" s="4" t="inlineStr">
        <is>
          <t>Saída</t>
        </is>
      </c>
      <c r="P2" s="4" t="inlineStr">
        <is>
          <t>Saída 2</t>
        </is>
      </c>
      <c r="Q2" s="4" t="inlineStr">
        <is>
          <t>Reaproveitada 
em OP</t>
        </is>
      </c>
      <c r="R2" s="4" t="inlineStr">
        <is>
          <t>Responsável 
pelo Registro</t>
        </is>
      </c>
      <c r="S2" s="4" t="inlineStr">
        <is>
          <t>Data do
Registro inicial</t>
        </is>
      </c>
      <c r="T2" s="13" t="inlineStr">
        <is>
          <t>Dias parados</t>
        </is>
      </c>
      <c r="X2" s="18">
        <f>AVERAGEIF(TabelaSobras[Status 
da Sobra], "Disponível",TabelaSobras[Dias parados])</f>
        <v/>
      </c>
      <c r="Y2" s="170">
        <f>SUM(TabelaSobras[Quantidade Aproveitada])</f>
        <v/>
      </c>
    </row>
    <row r="3" hidden="1">
      <c r="A3" s="170" t="inlineStr">
        <is>
          <t>N2507901</t>
        </is>
      </c>
      <c r="B3" s="170">
        <f>VLOOKUP(LEFT(A3,1),Tabela5[],2,0)</f>
        <v/>
      </c>
      <c r="C3" s="170" t="inlineStr">
        <is>
          <t>MDF - 15MM</t>
        </is>
      </c>
      <c r="D3" s="170">
        <f>VLOOKUP(TabelaSobras[[#This Row],[Tipo de Chapa/COR]],'PREÇOS MDF'!$A$7:$B$10,2,0)</f>
        <v/>
      </c>
      <c r="E3" s="169" t="n">
        <v>343</v>
      </c>
      <c r="F3" s="169" t="n">
        <v>297</v>
      </c>
      <c r="G3" s="169">
        <f>TabelaSobras[[#This Row],[Comprimento 
Sobras (mm)]] &amp; " X " &amp; F3</f>
        <v/>
      </c>
      <c r="H3" s="170">
        <f>(TabelaSobras[[#This Row],[Comprimento 
Sobras (mm)]]*F3/1000000)</f>
        <v/>
      </c>
      <c r="I3" s="170" t="n">
        <v>310</v>
      </c>
      <c r="J3" s="170">
        <f>IF(TabelaSobras[[#This Row],[Estoque]]&lt;=$U$1,$V$1,$W$1)</f>
        <v/>
      </c>
      <c r="K3" s="170">
        <f>TabelaSobras[[#This Row],[Quantidade de Sobra]]-L3</f>
        <v/>
      </c>
      <c r="L3" s="170">
        <f>TabelaSobras[[#This Row],[Quantidade de Sobra]]-TabelaSobras[[#This Row],[Saída]]-TabelaSobras[[#This Row],[Saída 2]]</f>
        <v/>
      </c>
      <c r="M3" s="170" t="inlineStr">
        <is>
          <t>Nesher</t>
        </is>
      </c>
      <c r="N3" s="170">
        <f>TabelaSobras[[#This Row],[M²
Sobras]]*L3</f>
        <v/>
      </c>
      <c r="O3" s="170" t="n">
        <v>310</v>
      </c>
      <c r="P3" s="170" t="n"/>
      <c r="Q3" s="42" t="inlineStr">
        <is>
          <t>N2507902</t>
        </is>
      </c>
      <c r="R3" s="170" t="inlineStr">
        <is>
          <t>Yuri</t>
        </is>
      </c>
      <c r="S3" s="10" t="n">
        <v>45916</v>
      </c>
      <c r="T3" s="12">
        <f>TODAY()-TabelaSobras[[#This Row],[Data do
Registro inicial]]</f>
        <v/>
      </c>
    </row>
    <row r="4" hidden="1">
      <c r="A4" s="170" t="inlineStr">
        <is>
          <t>N2507904</t>
        </is>
      </c>
      <c r="B4" s="170">
        <f>VLOOKUP(LEFT(A4,1),Tabela5[],2,0)</f>
        <v/>
      </c>
      <c r="C4" s="170" t="inlineStr">
        <is>
          <t>MDF - 15MM</t>
        </is>
      </c>
      <c r="D4" s="170">
        <f>VLOOKUP(TabelaSobras[[#This Row],[Tipo de Chapa/COR]],'PREÇOS MDF'!$A$7:$B$10,2,0)</f>
        <v/>
      </c>
      <c r="E4" s="169" t="n">
        <v>343</v>
      </c>
      <c r="F4" s="169" t="n">
        <v>297</v>
      </c>
      <c r="G4" s="169">
        <f>TabelaSobras[[#This Row],[Comprimento 
Sobras (mm)]] &amp; " X " &amp; F4</f>
        <v/>
      </c>
      <c r="H4" s="170">
        <f>(TabelaSobras[[#This Row],[Comprimento 
Sobras (mm)]]*F4/1000000)</f>
        <v/>
      </c>
      <c r="I4" s="170" t="n">
        <v>60</v>
      </c>
      <c r="J4" s="170">
        <f>IF(TabelaSobras[[#This Row],[Estoque]]&lt;=$U$1,$V$1,$W$1)</f>
        <v/>
      </c>
      <c r="K4" s="170">
        <f>TabelaSobras[[#This Row],[Quantidade de Sobra]]-L4</f>
        <v/>
      </c>
      <c r="L4" s="170">
        <f>TabelaSobras[[#This Row],[Quantidade de Sobra]]-TabelaSobras[[#This Row],[Saída]]-TabelaSobras[[#This Row],[Saída 2]]</f>
        <v/>
      </c>
      <c r="M4" s="170" t="inlineStr">
        <is>
          <t>Nesher</t>
        </is>
      </c>
      <c r="N4" s="170">
        <f>TabelaSobras[[#This Row],[M²
Sobras]]*L4</f>
        <v/>
      </c>
      <c r="O4" s="170" t="n">
        <v>60</v>
      </c>
      <c r="P4" s="170" t="n"/>
      <c r="Q4" s="42" t="inlineStr">
        <is>
          <t>N2507902</t>
        </is>
      </c>
      <c r="R4" s="170" t="inlineStr">
        <is>
          <t>Yuri</t>
        </is>
      </c>
      <c r="S4" s="10" t="n">
        <v>45916</v>
      </c>
      <c r="T4" s="12">
        <f>TODAY()-TabelaSobras[[#This Row],[Data do
Registro inicial]]</f>
        <v/>
      </c>
    </row>
    <row r="5" hidden="1">
      <c r="A5" s="170" t="inlineStr">
        <is>
          <t>N</t>
        </is>
      </c>
      <c r="B5" s="170">
        <f>VLOOKUP(LEFT(A5,1),Tabela5[],2,0)</f>
        <v/>
      </c>
      <c r="C5" s="170" t="inlineStr">
        <is>
          <t>MDF - 15MM</t>
        </is>
      </c>
      <c r="D5" s="170">
        <f>VLOOKUP(TabelaSobras[[#This Row],[Tipo de Chapa/COR]],'PREÇOS MDF'!$A$7:$B$10,2,0)</f>
        <v/>
      </c>
      <c r="E5" s="169" t="n">
        <v>400</v>
      </c>
      <c r="F5" s="169" t="n">
        <v>263</v>
      </c>
      <c r="G5" s="169">
        <f>TabelaSobras[[#This Row],[Comprimento 
Sobras (mm)]] &amp; " X " &amp; F5</f>
        <v/>
      </c>
      <c r="H5" s="170">
        <f>(TabelaSobras[[#This Row],[Comprimento 
Sobras (mm)]]*F5/1000000)</f>
        <v/>
      </c>
      <c r="I5" s="170" t="n">
        <v>160</v>
      </c>
      <c r="J5" s="170">
        <f>IF(TabelaSobras[[#This Row],[Estoque]]&lt;=$U$1,$V$1,$W$1)</f>
        <v/>
      </c>
      <c r="K5" s="170">
        <f>TabelaSobras[[#This Row],[Quantidade de Sobra]]-L5</f>
        <v/>
      </c>
      <c r="L5" s="170">
        <f>TabelaSobras[[#This Row],[Quantidade de Sobra]]-TabelaSobras[[#This Row],[Saída]]-TabelaSobras[[#This Row],[Saída 2]]</f>
        <v/>
      </c>
      <c r="M5" s="170" t="inlineStr">
        <is>
          <t>Nesher</t>
        </is>
      </c>
      <c r="N5" s="170">
        <f>TabelaSobras[[#This Row],[M²
Sobras]]*L5</f>
        <v/>
      </c>
      <c r="O5" s="170" t="n">
        <v>160</v>
      </c>
      <c r="P5" s="170" t="n"/>
      <c r="Q5" s="170" t="inlineStr">
        <is>
          <t>N2507905</t>
        </is>
      </c>
      <c r="R5" s="170" t="inlineStr">
        <is>
          <t>Yuri</t>
        </is>
      </c>
      <c r="S5" s="10" t="n">
        <v>45924</v>
      </c>
      <c r="T5" s="12">
        <f>TODAY()-TabelaSobras[[#This Row],[Data do
Registro inicial]]</f>
        <v/>
      </c>
    </row>
    <row r="6" hidden="1" ht="28.8" customHeight="1">
      <c r="A6" s="170" t="inlineStr">
        <is>
          <t>N</t>
        </is>
      </c>
      <c r="B6" s="170">
        <f>VLOOKUP(LEFT(A6,1),Tabela5[],2,0)</f>
        <v/>
      </c>
      <c r="C6" s="170" t="inlineStr">
        <is>
          <t>MDF - 15MM</t>
        </is>
      </c>
      <c r="D6" s="170">
        <f>VLOOKUP(TabelaSobras[[#This Row],[Tipo de Chapa/COR]],'PREÇOS MDF'!$A$7:$B$10,2,0)</f>
        <v/>
      </c>
      <c r="E6" s="169" t="n">
        <v>400</v>
      </c>
      <c r="F6" s="169" t="n">
        <v>263</v>
      </c>
      <c r="G6" s="169">
        <f>TabelaSobras[[#This Row],[Comprimento 
Sobras (mm)]] &amp; " X " &amp; F6</f>
        <v/>
      </c>
      <c r="H6" s="170">
        <f>(TabelaSobras[[#This Row],[Comprimento 
Sobras (mm)]]*F6/1000000)</f>
        <v/>
      </c>
      <c r="I6" s="170">
        <f>23+40</f>
        <v/>
      </c>
      <c r="J6" s="170">
        <f>IF(TabelaSobras[[#This Row],[Estoque]]&lt;=$U$1,$V$1,$W$1)</f>
        <v/>
      </c>
      <c r="K6" s="170">
        <f>TabelaSobras[[#This Row],[Quantidade de Sobra]]-L6</f>
        <v/>
      </c>
      <c r="L6" s="170">
        <f>TabelaSobras[[#This Row],[Quantidade de Sobra]]-TabelaSobras[[#This Row],[Saída]]-TabelaSobras[[#This Row],[Saída 2]]</f>
        <v/>
      </c>
      <c r="M6" s="170" t="inlineStr">
        <is>
          <t>Nesher</t>
        </is>
      </c>
      <c r="N6" s="170">
        <f>TabelaSobras[[#This Row],[M²
Sobras]]*L6</f>
        <v/>
      </c>
      <c r="O6" s="170" t="n">
        <v>32</v>
      </c>
      <c r="P6" s="170" t="n">
        <v>31</v>
      </c>
      <c r="Q6" s="8" t="inlineStr">
        <is>
          <t>N2508103
N2508202</t>
        </is>
      </c>
      <c r="R6" s="170" t="inlineStr">
        <is>
          <t>Yuri</t>
        </is>
      </c>
      <c r="S6" s="10" t="n">
        <v>45924</v>
      </c>
      <c r="T6" s="12">
        <f>TODAY()-TabelaSobras[[#This Row],[Data do
Registro inicial]]</f>
        <v/>
      </c>
    </row>
    <row r="7" hidden="1">
      <c r="A7" s="170" t="inlineStr">
        <is>
          <t>N2508001</t>
        </is>
      </c>
      <c r="B7" s="170">
        <f>VLOOKUP(LEFT(A7,1),Tabela5[],2,0)</f>
        <v/>
      </c>
      <c r="C7" s="170" t="inlineStr">
        <is>
          <t>MDF - 15MM</t>
        </is>
      </c>
      <c r="D7" s="170">
        <f>VLOOKUP(TabelaSobras[[#This Row],[Tipo de Chapa/COR]],'PREÇOS MDF'!$A$7:$B$10,2,0)</f>
        <v/>
      </c>
      <c r="E7" s="169" t="n">
        <v>2750</v>
      </c>
      <c r="F7" s="169" t="n">
        <v>1050</v>
      </c>
      <c r="G7" s="169">
        <f>TabelaSobras[[#This Row],[Comprimento 
Sobras (mm)]] &amp; " X " &amp; F7</f>
        <v/>
      </c>
      <c r="H7" s="170">
        <f>(TabelaSobras[[#This Row],[Comprimento 
Sobras (mm)]]*F7/1000000)</f>
        <v/>
      </c>
      <c r="I7" s="170" t="n">
        <v>1</v>
      </c>
      <c r="J7" s="170">
        <f>IF(TabelaSobras[[#This Row],[Estoque]]&lt;=$U$1,$V$1,$W$1)</f>
        <v/>
      </c>
      <c r="K7" s="170">
        <f>TabelaSobras[[#This Row],[Quantidade de Sobra]]-L7</f>
        <v/>
      </c>
      <c r="L7" s="170">
        <f>TabelaSobras[[#This Row],[Quantidade de Sobra]]-TabelaSobras[[#This Row],[Saída]]-TabelaSobras[[#This Row],[Saída 2]]</f>
        <v/>
      </c>
      <c r="M7" s="170" t="inlineStr">
        <is>
          <t>Nesher</t>
        </is>
      </c>
      <c r="N7" s="170">
        <f>TabelaSobras[[#This Row],[M²
Sobras]]*L7</f>
        <v/>
      </c>
      <c r="O7" s="170" t="n">
        <v>1</v>
      </c>
      <c r="P7" s="170" t="n"/>
      <c r="Q7" s="42" t="inlineStr">
        <is>
          <t>RECORTE N2508001</t>
        </is>
      </c>
      <c r="R7" s="170" t="inlineStr">
        <is>
          <t>Yuri</t>
        </is>
      </c>
      <c r="S7" s="10" t="n">
        <v>45924</v>
      </c>
      <c r="T7" s="12">
        <f>TODAY()-TabelaSobras[[#This Row],[Data do
Registro inicial]]</f>
        <v/>
      </c>
    </row>
    <row r="8" hidden="1">
      <c r="A8" s="170" t="inlineStr">
        <is>
          <t>N2508104</t>
        </is>
      </c>
      <c r="B8" s="170">
        <f>VLOOKUP(LEFT(A8,1),Tabela5[],2,0)</f>
        <v/>
      </c>
      <c r="C8" s="170" t="inlineStr">
        <is>
          <t>MDF - 15MM</t>
        </is>
      </c>
      <c r="D8" s="169" t="n">
        <v>400</v>
      </c>
      <c r="E8" s="169" t="n">
        <v>400</v>
      </c>
      <c r="F8" s="169" t="n">
        <v>263</v>
      </c>
      <c r="G8" s="169">
        <f>TabelaSobras[[#This Row],[Comprimento 
Sobras (mm)]] &amp; " X " &amp; F8</f>
        <v/>
      </c>
      <c r="H8" s="170">
        <f>(TabelaSobras[[#This Row],[Comprimento 
Sobras (mm)]]*F8/1000000)</f>
        <v/>
      </c>
      <c r="I8" s="170" t="n">
        <v>24</v>
      </c>
      <c r="J8" s="170">
        <f>IF(TabelaSobras[[#This Row],[Estoque]]&lt;=$U$1,$V$1,$W$1)</f>
        <v/>
      </c>
      <c r="K8" s="170">
        <f>TabelaSobras[[#This Row],[Quantidade de Sobra]]-L8</f>
        <v/>
      </c>
      <c r="L8" s="170">
        <f>TabelaSobras[[#This Row],[Quantidade de Sobra]]-TabelaSobras[[#This Row],[Saída]]-TabelaSobras[[#This Row],[Saída 2]]</f>
        <v/>
      </c>
      <c r="M8" s="170" t="inlineStr">
        <is>
          <t>Nesher</t>
        </is>
      </c>
      <c r="N8" s="170">
        <f>TabelaSobras[[#This Row],[M²
Sobras]]*L8</f>
        <v/>
      </c>
      <c r="O8" s="170" t="n">
        <v>24</v>
      </c>
      <c r="P8" s="170" t="n"/>
      <c r="Q8" s="170" t="inlineStr">
        <is>
          <t>N2508202</t>
        </is>
      </c>
      <c r="R8" s="170" t="inlineStr">
        <is>
          <t>Yuri</t>
        </is>
      </c>
      <c r="S8" s="10" t="n">
        <v>45926</v>
      </c>
      <c r="T8" s="12">
        <f>TODAY()-TabelaSobras[[#This Row],[Data do
Registro inicial]]</f>
        <v/>
      </c>
    </row>
    <row r="9" hidden="1">
      <c r="A9" s="170" t="inlineStr">
        <is>
          <t>N2508105</t>
        </is>
      </c>
      <c r="B9" s="170">
        <f>VLOOKUP(LEFT(A9,1),Tabela5[],2,0)</f>
        <v/>
      </c>
      <c r="C9" s="170" t="inlineStr">
        <is>
          <t>MDF - 15MM</t>
        </is>
      </c>
      <c r="D9" s="170">
        <f>VLOOKUP(TabelaSobras[[#This Row],[Tipo de Chapa/COR]],'PREÇOS MDF'!$A$7:$B$10,2,0)</f>
        <v/>
      </c>
      <c r="E9" s="169" t="n">
        <v>2750</v>
      </c>
      <c r="F9" s="169" t="n">
        <v>750</v>
      </c>
      <c r="G9" s="169">
        <f>TabelaSobras[[#This Row],[Comprimento 
Sobras (mm)]] &amp; " X " &amp; F9</f>
        <v/>
      </c>
      <c r="H9" s="170">
        <f>(TabelaSobras[[#This Row],[Comprimento 
Sobras (mm)]]*F9/1000000)</f>
        <v/>
      </c>
      <c r="I9" s="170" t="n">
        <v>1</v>
      </c>
      <c r="J9" s="170">
        <f>IF(TabelaSobras[[#This Row],[Estoque]]&lt;=$U$1,$V$1,$W$1)</f>
        <v/>
      </c>
      <c r="K9" s="170">
        <f>TabelaSobras[[#This Row],[Quantidade de Sobra]]-L9</f>
        <v/>
      </c>
      <c r="L9" s="170">
        <f>TabelaSobras[[#This Row],[Quantidade de Sobra]]-TabelaSobras[[#This Row],[Saída]]-TabelaSobras[[#This Row],[Saída 2]]</f>
        <v/>
      </c>
      <c r="M9" s="170" t="inlineStr">
        <is>
          <t>Nesher</t>
        </is>
      </c>
      <c r="N9" s="170">
        <f>TabelaSobras[[#This Row],[M²
Sobras]]*L9</f>
        <v/>
      </c>
      <c r="O9" s="170" t="n">
        <v>1</v>
      </c>
      <c r="P9" s="170" t="n"/>
      <c r="Q9" s="170" t="n"/>
      <c r="R9" s="170" t="inlineStr">
        <is>
          <t>Yuri</t>
        </is>
      </c>
      <c r="S9" s="10" t="n">
        <v>45926</v>
      </c>
      <c r="T9" s="12">
        <f>TODAY()-TabelaSobras[[#This Row],[Data do
Registro inicial]]</f>
        <v/>
      </c>
    </row>
    <row r="10" hidden="1">
      <c r="A10" s="170" t="inlineStr">
        <is>
          <t>N250820</t>
        </is>
      </c>
      <c r="B10" s="170">
        <f>VLOOKUP(LEFT(A10,1),Tabela5[],2,0)</f>
        <v/>
      </c>
      <c r="C10" s="170" t="inlineStr">
        <is>
          <t>MDF - 15MM</t>
        </is>
      </c>
      <c r="D10" s="170">
        <f>VLOOKUP(TabelaSobras[[#This Row],[Tipo de Chapa/COR]],'PREÇOS MDF'!$A$7:$B$10,2,0)</f>
        <v/>
      </c>
      <c r="E10" s="169" t="n">
        <v>400</v>
      </c>
      <c r="F10" s="169" t="n">
        <v>263</v>
      </c>
      <c r="G10" s="169">
        <f>TabelaSobras[[#This Row],[Comprimento 
Sobras (mm)]] &amp; " X " &amp; F10</f>
        <v/>
      </c>
      <c r="H10" s="170">
        <f>(TabelaSobras[[#This Row],[Comprimento 
Sobras (mm)]]*F10/1000000)</f>
        <v/>
      </c>
      <c r="I10" s="170">
        <f>19+17+58</f>
        <v/>
      </c>
      <c r="J10" s="170">
        <f>IF(TabelaSobras[[#This Row],[Estoque]]&lt;=$U$1,$V$1,$W$1)</f>
        <v/>
      </c>
      <c r="K10" s="170">
        <f>TabelaSobras[[#This Row],[Quantidade de Sobra]]-L10</f>
        <v/>
      </c>
      <c r="L10" s="170">
        <f>TabelaSobras[[#This Row],[Quantidade de Sobra]]-TabelaSobras[[#This Row],[Saída]]-TabelaSobras[[#This Row],[Saída 2]]</f>
        <v/>
      </c>
      <c r="M10" s="170" t="inlineStr">
        <is>
          <t>Nesher</t>
        </is>
      </c>
      <c r="N10" s="170">
        <f>TabelaSobras[[#This Row],[M²
Sobras]]*L10</f>
        <v/>
      </c>
      <c r="O10" s="170" t="n">
        <v>94</v>
      </c>
      <c r="P10" s="170" t="n"/>
      <c r="Q10" s="170" t="inlineStr">
        <is>
          <t>N2508306</t>
        </is>
      </c>
      <c r="R10" s="170" t="inlineStr">
        <is>
          <t>Yuri</t>
        </is>
      </c>
      <c r="S10" s="10" t="n">
        <v>45930</v>
      </c>
      <c r="T10" s="12">
        <f>TODAY()-TabelaSobras[[#This Row],[Data do
Registro inicial]]</f>
        <v/>
      </c>
    </row>
    <row r="11" hidden="1">
      <c r="A11" s="170" t="inlineStr">
        <is>
          <t>N2508202</t>
        </is>
      </c>
      <c r="B11" s="170">
        <f>VLOOKUP(LEFT(A11,1),Tabela5[],2,0)</f>
        <v/>
      </c>
      <c r="C11" s="170" t="inlineStr">
        <is>
          <t>MDF - 15MM</t>
        </is>
      </c>
      <c r="D11" s="170">
        <f>VLOOKUP(TabelaSobras[[#This Row],[Tipo de Chapa/COR]],'PREÇOS MDF'!$A$7:$B$10,2,0)</f>
        <v/>
      </c>
      <c r="E11" s="169" t="n">
        <v>2200</v>
      </c>
      <c r="F11" s="169" t="n">
        <v>500</v>
      </c>
      <c r="G11" s="169">
        <f>TabelaSobras[[#This Row],[Comprimento 
Sobras (mm)]] &amp; " X " &amp; F11</f>
        <v/>
      </c>
      <c r="H11" s="170">
        <f>(TabelaSobras[[#This Row],[Comprimento 
Sobras (mm)]]*F11/1000000)</f>
        <v/>
      </c>
      <c r="I11" s="170" t="n">
        <v>1</v>
      </c>
      <c r="J11" s="170">
        <f>IF(TabelaSobras[[#This Row],[Estoque]]&lt;=$U$1,$V$1,$W$1)</f>
        <v/>
      </c>
      <c r="K11" s="170">
        <f>TabelaSobras[[#This Row],[Quantidade de Sobra]]-L11</f>
        <v/>
      </c>
      <c r="L11" s="170">
        <f>TabelaSobras[[#This Row],[Quantidade de Sobra]]-TabelaSobras[[#This Row],[Saída]]-TabelaSobras[[#This Row],[Saída 2]]</f>
        <v/>
      </c>
      <c r="M11" s="170" t="inlineStr">
        <is>
          <t>Nesher</t>
        </is>
      </c>
      <c r="N11" s="170">
        <f>TabelaSobras[[#This Row],[M²
Sobras]]*L11</f>
        <v/>
      </c>
      <c r="O11" s="170" t="n">
        <v>1</v>
      </c>
      <c r="P11" s="170" t="n"/>
      <c r="Q11" s="170" t="n"/>
      <c r="R11" s="170" t="inlineStr">
        <is>
          <t>Yuri</t>
        </is>
      </c>
      <c r="S11" s="10" t="n">
        <v>45930</v>
      </c>
      <c r="T11" s="12">
        <f>TODAY()-TabelaSobras[[#This Row],[Data do
Registro inicial]]</f>
        <v/>
      </c>
    </row>
    <row r="12" hidden="1">
      <c r="A12" s="170" t="inlineStr">
        <is>
          <t>N2508303</t>
        </is>
      </c>
      <c r="B12" s="170">
        <f>VLOOKUP(LEFT(A12,1),Tabela5[],2,0)</f>
        <v/>
      </c>
      <c r="C12" s="170" t="inlineStr">
        <is>
          <t>MDF - 15MM</t>
        </is>
      </c>
      <c r="D12" s="170">
        <f>VLOOKUP(TabelaSobras[[#This Row],[Tipo de Chapa/COR]],'PREÇOS MDF'!$A$7:$B$10,2,0)</f>
        <v/>
      </c>
      <c r="E12" s="169" t="n">
        <v>400</v>
      </c>
      <c r="F12" s="169" t="n">
        <v>263</v>
      </c>
      <c r="G12" s="169">
        <f>TabelaSobras[[#This Row],[Comprimento 
Sobras (mm)]] &amp; " X " &amp; F12</f>
        <v/>
      </c>
      <c r="H12" s="170">
        <f>(TabelaSobras[[#This Row],[Comprimento 
Sobras (mm)]]*F12/1000000)</f>
        <v/>
      </c>
      <c r="I12" s="170">
        <f>249+203+114</f>
        <v/>
      </c>
      <c r="J12" s="170">
        <f>IF(TabelaSobras[[#This Row],[Estoque]]&lt;=$U$1,$V$1,$W$1)</f>
        <v/>
      </c>
      <c r="K12" s="170">
        <f>TabelaSobras[[#This Row],[Quantidade de Sobra]]-L12</f>
        <v/>
      </c>
      <c r="L12" s="170">
        <f>TabelaSobras[[#This Row],[Quantidade de Sobra]]-TabelaSobras[[#This Row],[Saída]]-TabelaSobras[[#This Row],[Saída 2]]</f>
        <v/>
      </c>
      <c r="M12" s="170" t="inlineStr">
        <is>
          <t>Nesher</t>
        </is>
      </c>
      <c r="N12" s="170">
        <f>TabelaSobras[[#This Row],[M²
Sobras]]*L12</f>
        <v/>
      </c>
      <c r="O12" s="170" t="n">
        <v>566</v>
      </c>
      <c r="P12" s="170" t="n"/>
      <c r="Q12" s="170" t="inlineStr">
        <is>
          <t>N2508306</t>
        </is>
      </c>
      <c r="R12" s="170" t="inlineStr">
        <is>
          <t>Yuri</t>
        </is>
      </c>
      <c r="S12" s="10" t="n">
        <v>45931</v>
      </c>
      <c r="T12" s="12">
        <f>TODAY()-TabelaSobras[[#This Row],[Data do
Registro inicial]]</f>
        <v/>
      </c>
    </row>
    <row r="13" hidden="1" ht="28.8" customHeight="1">
      <c r="A13" s="170" t="inlineStr">
        <is>
          <t>L FURAÇÃO ERRADA</t>
        </is>
      </c>
      <c r="B13" s="170">
        <f>VLOOKUP(LEFT(A13,1),Tabela5[],2,0)</f>
        <v/>
      </c>
      <c r="C13" s="170" t="inlineStr">
        <is>
          <t>MDF - 15MM</t>
        </is>
      </c>
      <c r="D13" s="170">
        <f>VLOOKUP(TabelaSobras[[#This Row],[Tipo de Chapa/COR]],'PREÇOS MDF'!$A$7:$B$10,2,0)</f>
        <v/>
      </c>
      <c r="E13" s="169" t="n">
        <v>313</v>
      </c>
      <c r="F13" s="169" t="n">
        <v>297</v>
      </c>
      <c r="G13" s="169">
        <f>TabelaSobras[[#This Row],[Comprimento 
Sobras (mm)]] &amp; " X " &amp; F13</f>
        <v/>
      </c>
      <c r="H13" s="170">
        <f>(TabelaSobras[[#This Row],[Comprimento 
Sobras (mm)]]*F13/1000000)</f>
        <v/>
      </c>
      <c r="I13" s="170" t="n">
        <v>900</v>
      </c>
      <c r="J13" s="170">
        <f>IF(TabelaSobras[[#This Row],[Estoque]]&lt;=$U$1,$V$1,$W$1)</f>
        <v/>
      </c>
      <c r="K13" s="170">
        <f>TabelaSobras[[#This Row],[Quantidade de Sobra]]-L13</f>
        <v/>
      </c>
      <c r="L13" s="170">
        <f>TabelaSobras[[#This Row],[Quantidade de Sobra]]-TabelaSobras[[#This Row],[Saída]]-TabelaSobras[[#This Row],[Saída 2]]</f>
        <v/>
      </c>
      <c r="M13" s="170" t="inlineStr">
        <is>
          <t>Líder</t>
        </is>
      </c>
      <c r="N13" s="170">
        <f>TabelaSobras[[#This Row],[M²
Sobras]]*L13</f>
        <v/>
      </c>
      <c r="O13" s="170" t="n">
        <v>620</v>
      </c>
      <c r="P13" s="170" t="n">
        <v>280</v>
      </c>
      <c r="Q13" s="8" t="inlineStr">
        <is>
          <t>280 REFUGO - 620 APROVEITADAS L2506902</t>
        </is>
      </c>
      <c r="R13" s="170" t="inlineStr">
        <is>
          <t>Yuri</t>
        </is>
      </c>
      <c r="S13" s="10" t="n">
        <v>45953</v>
      </c>
      <c r="T13" s="12">
        <f>TODAY()-TabelaSobras[[#This Row],[Data do
Registro inicial]]</f>
        <v/>
      </c>
    </row>
    <row r="14" hidden="1">
      <c r="A14" s="170" t="inlineStr">
        <is>
          <t>l</t>
        </is>
      </c>
      <c r="B14" s="170">
        <f>VLOOKUP(LEFT(A14,1),Tabela5[],2,0)</f>
        <v/>
      </c>
      <c r="C14" s="170" t="inlineStr">
        <is>
          <t>MDF - 15MM</t>
        </is>
      </c>
      <c r="D14" s="170">
        <f>VLOOKUP(TabelaSobras[[#This Row],[Tipo de Chapa/COR]],'PREÇOS MDF'!$A$7:$B$10,2,0)</f>
        <v/>
      </c>
      <c r="E14" s="169" t="n">
        <v>300</v>
      </c>
      <c r="F14" s="169" t="n">
        <v>2750</v>
      </c>
      <c r="G14" s="169">
        <f>TabelaSobras[[#This Row],[Comprimento 
Sobras (mm)]] &amp; " X " &amp; F14</f>
        <v/>
      </c>
      <c r="H14" s="170">
        <f>(TabelaSobras[[#This Row],[Comprimento 
Sobras (mm)]]*F14/1000000)</f>
        <v/>
      </c>
      <c r="I14" s="170" t="n">
        <v>9</v>
      </c>
      <c r="J14" s="170">
        <f>IF(TabelaSobras[[#This Row],[Estoque]]&lt;=$U$1,$V$1,$W$1)</f>
        <v/>
      </c>
      <c r="K14" s="170">
        <f>TabelaSobras[[#This Row],[Quantidade de Sobra]]-L14</f>
        <v/>
      </c>
      <c r="L14" s="170">
        <f>TabelaSobras[[#This Row],[Quantidade de Sobra]]-TabelaSobras[[#This Row],[Saída]]-TabelaSobras[[#This Row],[Saída 2]]</f>
        <v/>
      </c>
      <c r="M14" s="170" t="inlineStr">
        <is>
          <t>Líder</t>
        </is>
      </c>
      <c r="N14" s="170">
        <f>TabelaSobras[[#This Row],[M²
Sobras]]*L14</f>
        <v/>
      </c>
      <c r="O14" s="170" t="n">
        <v>9</v>
      </c>
      <c r="P14" s="170" t="n"/>
      <c r="Q14" s="170" t="inlineStr">
        <is>
          <t>L2506501</t>
        </is>
      </c>
      <c r="R14" s="170" t="inlineStr">
        <is>
          <t>Yuri</t>
        </is>
      </c>
      <c r="S14" s="10" t="n">
        <v>45950</v>
      </c>
      <c r="T14" s="12">
        <f>TODAY()-TabelaSobras[[#This Row],[Data do
Registro inicial]]</f>
        <v/>
      </c>
    </row>
    <row r="15" hidden="1">
      <c r="A15" s="170" t="inlineStr">
        <is>
          <t>N2508602</t>
        </is>
      </c>
      <c r="B15" s="170">
        <f>VLOOKUP(LEFT(A15,1),Tabela5[],2,0)</f>
        <v/>
      </c>
      <c r="C15" s="170" t="inlineStr">
        <is>
          <t>MDF - 15MM</t>
        </is>
      </c>
      <c r="D15" s="170">
        <f>VLOOKUP(TabelaSobras[[#This Row],[Tipo de Chapa/COR]],'PREÇOS MDF'!$A$7:$B$10,2,0)</f>
        <v/>
      </c>
      <c r="E15" s="169" t="n">
        <v>400</v>
      </c>
      <c r="F15" s="169" t="n">
        <v>263</v>
      </c>
      <c r="G15" s="169">
        <f>TabelaSobras[[#This Row],[Comprimento 
Sobras (mm)]] &amp; " X " &amp; F15</f>
        <v/>
      </c>
      <c r="H15" s="170">
        <f>(TabelaSobras[[#This Row],[Comprimento 
Sobras (mm)]]*F15/1000000)</f>
        <v/>
      </c>
      <c r="I15" s="170" t="n">
        <v>114</v>
      </c>
      <c r="J15" s="170">
        <f>IF(TabelaSobras[[#This Row],[Estoque]]&lt;=$U$1,$V$1,$W$1)</f>
        <v/>
      </c>
      <c r="K15" s="170">
        <f>TabelaSobras[[#This Row],[Quantidade de Sobra]]-L15</f>
        <v/>
      </c>
      <c r="L15" s="170">
        <f>TabelaSobras[[#This Row],[Quantidade de Sobra]]-TabelaSobras[[#This Row],[Saída]]-TabelaSobras[[#This Row],[Saída 2]]</f>
        <v/>
      </c>
      <c r="M15" s="170" t="inlineStr">
        <is>
          <t>Nesher</t>
        </is>
      </c>
      <c r="N15" s="170">
        <f>TabelaSobras[[#This Row],[M²
Sobras]]*L15</f>
        <v/>
      </c>
      <c r="O15" s="170" t="n">
        <v>114</v>
      </c>
      <c r="P15" s="170" t="n"/>
      <c r="Q15" s="170" t="inlineStr">
        <is>
          <t>N2508606</t>
        </is>
      </c>
      <c r="R15" s="170" t="inlineStr">
        <is>
          <t>Yuri</t>
        </is>
      </c>
      <c r="S15" s="10" t="n">
        <v>45958</v>
      </c>
      <c r="T15" s="12">
        <f>TODAY()-TabelaSobras[[#This Row],[Data do
Registro inicial]]</f>
        <v/>
      </c>
    </row>
    <row r="16" hidden="1">
      <c r="A16" s="170" t="inlineStr">
        <is>
          <t>N2508603</t>
        </is>
      </c>
      <c r="B16" s="170">
        <f>VLOOKUP(LEFT(A16,1),Tabela5[],2,0)</f>
        <v/>
      </c>
      <c r="C16" s="170" t="inlineStr">
        <is>
          <t>MDF - 15MM</t>
        </is>
      </c>
      <c r="D16" s="170">
        <f>VLOOKUP(TabelaSobras[[#This Row],[Tipo de Chapa/COR]],'PREÇOS MDF'!$A$7:$B$10,2,0)</f>
        <v/>
      </c>
      <c r="E16" s="169" t="n">
        <v>400</v>
      </c>
      <c r="F16" s="169" t="n">
        <v>263</v>
      </c>
      <c r="G16" s="169">
        <f>TabelaSobras[[#This Row],[Comprimento 
Sobras (mm)]] &amp; " X " &amp; F16</f>
        <v/>
      </c>
      <c r="H16" s="170">
        <f>(TabelaSobras[[#This Row],[Comprimento 
Sobras (mm)]]*F16/1000000)</f>
        <v/>
      </c>
      <c r="I16" s="170" t="n">
        <v>10</v>
      </c>
      <c r="J16" s="170">
        <f>IF(TabelaSobras[[#This Row],[Estoque]]&lt;=$U$1,$V$1,$W$1)</f>
        <v/>
      </c>
      <c r="K16" s="170">
        <f>TabelaSobras[[#This Row],[Quantidade de Sobra]]-L16</f>
        <v/>
      </c>
      <c r="L16" s="170">
        <f>TabelaSobras[[#This Row],[Quantidade de Sobra]]-TabelaSobras[[#This Row],[Saída]]-TabelaSobras[[#This Row],[Saída 2]]</f>
        <v/>
      </c>
      <c r="M16" s="170" t="inlineStr">
        <is>
          <t>Nesher</t>
        </is>
      </c>
      <c r="N16" s="170">
        <f>TabelaSobras[[#This Row],[M²
Sobras]]*L16</f>
        <v/>
      </c>
      <c r="O16" s="170" t="n">
        <v>10</v>
      </c>
      <c r="P16" s="170" t="n"/>
      <c r="Q16" s="170" t="inlineStr">
        <is>
          <t>N2508606</t>
        </is>
      </c>
      <c r="R16" s="170" t="inlineStr">
        <is>
          <t>Yuri</t>
        </is>
      </c>
      <c r="S16" s="10" t="n">
        <v>45958</v>
      </c>
      <c r="T16" s="12">
        <f>TODAY()-TabelaSobras[[#This Row],[Data do
Registro inicial]]</f>
        <v/>
      </c>
    </row>
    <row r="17" hidden="1">
      <c r="A17" s="170" t="inlineStr">
        <is>
          <t>N2508605</t>
        </is>
      </c>
      <c r="B17" s="170">
        <f>VLOOKUP(LEFT(A17,1),Tabela5[],2,0)</f>
        <v/>
      </c>
      <c r="C17" s="170" t="inlineStr">
        <is>
          <t>MDF - 15MM</t>
        </is>
      </c>
      <c r="D17" s="170">
        <f>VLOOKUP(TabelaSobras[[#This Row],[Tipo de Chapa/COR]],'PREÇOS MDF'!$A$7:$B$10,2,0)</f>
        <v/>
      </c>
      <c r="E17" s="169" t="n">
        <v>400</v>
      </c>
      <c r="F17" s="169" t="n">
        <v>263</v>
      </c>
      <c r="G17" s="169">
        <f>TabelaSobras[[#This Row],[Comprimento 
Sobras (mm)]] &amp; " X " &amp; F17</f>
        <v/>
      </c>
      <c r="H17" s="170">
        <f>(TabelaSobras[[#This Row],[Comprimento 
Sobras (mm)]]*F17/1000000)</f>
        <v/>
      </c>
      <c r="I17" s="170">
        <f>203+8</f>
        <v/>
      </c>
      <c r="J17" s="170">
        <f>IF(TabelaSobras[[#This Row],[Estoque]]&lt;=$U$1,$V$1,$W$1)</f>
        <v/>
      </c>
      <c r="K17" s="170">
        <f>TabelaSobras[[#This Row],[Quantidade de Sobra]]-L17</f>
        <v/>
      </c>
      <c r="L17" s="170">
        <f>TabelaSobras[[#This Row],[Quantidade de Sobra]]-TabelaSobras[[#This Row],[Saída]]-TabelaSobras[[#This Row],[Saída 2]]</f>
        <v/>
      </c>
      <c r="M17" s="170" t="inlineStr">
        <is>
          <t>Nesher</t>
        </is>
      </c>
      <c r="N17" s="170">
        <f>TabelaSobras[[#This Row],[M²
Sobras]]*L17</f>
        <v/>
      </c>
      <c r="O17" s="170" t="n">
        <v>211</v>
      </c>
      <c r="P17" s="170" t="n"/>
      <c r="Q17" s="170" t="inlineStr">
        <is>
          <t>N2508704-05</t>
        </is>
      </c>
      <c r="R17" s="170" t="inlineStr">
        <is>
          <t>Yuri</t>
        </is>
      </c>
      <c r="S17" s="10" t="n">
        <v>45961</v>
      </c>
      <c r="T17" s="12">
        <f>TODAY()-TabelaSobras[[#This Row],[Data do
Registro inicial]]</f>
        <v/>
      </c>
    </row>
    <row r="18" hidden="1">
      <c r="A18" s="170" t="inlineStr">
        <is>
          <t>N2508703</t>
        </is>
      </c>
      <c r="B18" s="170">
        <f>VLOOKUP(LEFT(A18,1),Tabela5[],2,0)</f>
        <v/>
      </c>
      <c r="C18" s="170" t="inlineStr">
        <is>
          <t>MDF - 15MM</t>
        </is>
      </c>
      <c r="D18" s="170">
        <f>VLOOKUP(TabelaSobras[[#This Row],[Tipo de Chapa/COR]],'PREÇOS MDF'!$A$7:$B$10,2,0)</f>
        <v/>
      </c>
      <c r="E18" s="169" t="n">
        <v>400</v>
      </c>
      <c r="F18" s="169" t="n">
        <v>263</v>
      </c>
      <c r="G18" s="169">
        <f>TabelaSobras[[#This Row],[Comprimento 
Sobras (mm)]] &amp; " X " &amp; F18</f>
        <v/>
      </c>
      <c r="H18" s="170">
        <f>(TabelaSobras[[#This Row],[Comprimento 
Sobras (mm)]]*F18/1000000)</f>
        <v/>
      </c>
      <c r="I18" s="170" t="n">
        <v>37</v>
      </c>
      <c r="J18" s="170">
        <f>IF(TabelaSobras[[#This Row],[Estoque]]&lt;=$U$1,$V$1,$W$1)</f>
        <v/>
      </c>
      <c r="K18" s="170">
        <f>TabelaSobras[[#This Row],[Quantidade de Sobra]]-L18</f>
        <v/>
      </c>
      <c r="L18" s="170">
        <f>TabelaSobras[[#This Row],[Quantidade de Sobra]]-TabelaSobras[[#This Row],[Saída]]-TabelaSobras[[#This Row],[Saída 2]]</f>
        <v/>
      </c>
      <c r="M18" s="170" t="inlineStr">
        <is>
          <t>Nesher</t>
        </is>
      </c>
      <c r="N18" s="170">
        <f>TabelaSobras[[#This Row],[M²
Sobras]]*L18</f>
        <v/>
      </c>
      <c r="O18" s="170" t="n">
        <v>37</v>
      </c>
      <c r="P18" s="170" t="n"/>
      <c r="Q18" s="170" t="inlineStr">
        <is>
          <t>N2508704-05</t>
        </is>
      </c>
      <c r="R18" s="170" t="inlineStr">
        <is>
          <t>Yuri</t>
        </is>
      </c>
      <c r="S18" s="10" t="n">
        <v>45964</v>
      </c>
      <c r="T18" s="12">
        <f>TODAY()-TabelaSobras[[#This Row],[Data do
Registro inicial]]</f>
        <v/>
      </c>
    </row>
    <row r="19" hidden="1">
      <c r="A19" s="170" t="inlineStr">
        <is>
          <t>N2508802</t>
        </is>
      </c>
      <c r="B19" s="170">
        <f>VLOOKUP(LEFT(A19,1),Tabela5[],2,0)</f>
        <v/>
      </c>
      <c r="C19" s="170" t="inlineStr">
        <is>
          <t>MDF - 15MM</t>
        </is>
      </c>
      <c r="D19" s="170">
        <f>VLOOKUP(TabelaSobras[[#This Row],[Tipo de Chapa/COR]],'PREÇOS MDF'!$A$7:$B$10,2,0)</f>
        <v/>
      </c>
      <c r="E19" s="169" t="n">
        <v>229</v>
      </c>
      <c r="F19" s="169" t="n">
        <v>292</v>
      </c>
      <c r="G19" s="169">
        <f>TabelaSobras[[#This Row],[Comprimento 
Sobras (mm)]] &amp; " X " &amp; F19</f>
        <v/>
      </c>
      <c r="H19" s="170">
        <f>(TabelaSobras[[#This Row],[Comprimento 
Sobras (mm)]]*F19/1000000)</f>
        <v/>
      </c>
      <c r="I19" s="170" t="n">
        <v>108</v>
      </c>
      <c r="J19" s="170">
        <f>IF(TabelaSobras[[#This Row],[Estoque]]&lt;=$U$1,$V$1,$W$1)</f>
        <v/>
      </c>
      <c r="K19" s="170">
        <f>TabelaSobras[[#This Row],[Quantidade de Sobra]]-L19</f>
        <v/>
      </c>
      <c r="L19" s="170">
        <f>TabelaSobras[[#This Row],[Quantidade de Sobra]]-TabelaSobras[[#This Row],[Saída]]-TabelaSobras[[#This Row],[Saída 2]]</f>
        <v/>
      </c>
      <c r="M19" s="170" t="inlineStr">
        <is>
          <t>Nesher</t>
        </is>
      </c>
      <c r="N19" s="170">
        <f>TabelaSobras[[#This Row],[M²
Sobras]]*L19</f>
        <v/>
      </c>
      <c r="O19" s="170" t="n">
        <v>108</v>
      </c>
      <c r="P19" s="170" t="n"/>
      <c r="Q19" s="42" t="inlineStr">
        <is>
          <t>N2509001</t>
        </is>
      </c>
      <c r="R19" s="170" t="inlineStr">
        <is>
          <t>Yuri</t>
        </is>
      </c>
      <c r="S19" s="10" t="n">
        <v>45971</v>
      </c>
      <c r="T19" s="12">
        <f>TODAY()-TabelaSobras[[#This Row],[Data do
Registro inicial]]</f>
        <v/>
      </c>
    </row>
    <row r="20" hidden="1">
      <c r="A20" s="170" t="inlineStr">
        <is>
          <t>N2508802|01|03</t>
        </is>
      </c>
      <c r="B20" s="170">
        <f>VLOOKUP(LEFT(A20,1),Tabela5[],2,0)</f>
        <v/>
      </c>
      <c r="C20" s="170" t="inlineStr">
        <is>
          <t>MDF - 15MM</t>
        </is>
      </c>
      <c r="D20" s="170">
        <f>VLOOKUP(TabelaSobras[[#This Row],[Tipo de Chapa/COR]],'PREÇOS MDF'!$A$7:$B$10,2,0)</f>
        <v/>
      </c>
      <c r="E20" s="169" t="n">
        <v>400</v>
      </c>
      <c r="F20" s="169" t="n">
        <v>263</v>
      </c>
      <c r="G20" s="169">
        <f>TabelaSobras[[#This Row],[Comprimento 
Sobras (mm)]] &amp; " X " &amp; F20</f>
        <v/>
      </c>
      <c r="H20" s="170">
        <f>(TabelaSobras[[#This Row],[Comprimento 
Sobras (mm)]]*F20/1000000)</f>
        <v/>
      </c>
      <c r="I20" s="170">
        <f>203+56+124</f>
        <v/>
      </c>
      <c r="J20" s="170">
        <f>IF(TabelaSobras[[#This Row],[Estoque]]&lt;=$U$1,$V$1,$W$1)</f>
        <v/>
      </c>
      <c r="K20" s="170">
        <f>TabelaSobras[[#This Row],[Quantidade de Sobra]]-L20</f>
        <v/>
      </c>
      <c r="L20" s="170">
        <f>TabelaSobras[[#This Row],[Quantidade de Sobra]]-TabelaSobras[[#This Row],[Saída]]-TabelaSobras[[#This Row],[Saída 2]]</f>
        <v/>
      </c>
      <c r="M20" s="170" t="inlineStr">
        <is>
          <t>Nesher</t>
        </is>
      </c>
      <c r="N20" s="170">
        <f>TabelaSobras[[#This Row],[M²
Sobras]]*L20</f>
        <v/>
      </c>
      <c r="O20" s="170" t="n">
        <v>107</v>
      </c>
      <c r="P20" s="170" t="n">
        <v>276</v>
      </c>
      <c r="Q20" s="170" t="inlineStr">
        <is>
          <t>N2508804 | N2509006</t>
        </is>
      </c>
      <c r="R20" s="170" t="inlineStr">
        <is>
          <t>Yuri</t>
        </is>
      </c>
      <c r="S20" s="10" t="n">
        <v>45971</v>
      </c>
      <c r="T20" s="12">
        <f>TODAY()-TabelaSobras[[#This Row],[Data do
Registro inicial]]</f>
        <v/>
      </c>
    </row>
    <row r="21" hidden="1">
      <c r="A21" s="170" t="inlineStr">
        <is>
          <t>L2507101</t>
        </is>
      </c>
      <c r="B21" s="170">
        <f>VLOOKUP(LEFT(A21,1),Tabela5[],2,0)</f>
        <v/>
      </c>
      <c r="C21" s="170" t="inlineStr">
        <is>
          <t>MDF - 25MM</t>
        </is>
      </c>
      <c r="D21" s="170">
        <f>VLOOKUP(TabelaSobras[[#This Row],[Tipo de Chapa/COR]],'PREÇOS MDF'!$A$7:$B$10,2,0)</f>
        <v/>
      </c>
      <c r="E21" s="169" t="n">
        <v>2100</v>
      </c>
      <c r="F21" s="169" t="n">
        <v>450</v>
      </c>
      <c r="G21" s="169">
        <f>TabelaSobras[[#This Row],[Comprimento 
Sobras (mm)]] &amp; " X " &amp; F21</f>
        <v/>
      </c>
      <c r="H21" s="170">
        <f>(TabelaSobras[[#This Row],[Comprimento 
Sobras (mm)]]*F21/1000000)</f>
        <v/>
      </c>
      <c r="I21" s="170" t="n">
        <v>50</v>
      </c>
      <c r="J21" s="170">
        <f>IF(TabelaSobras[[#This Row],[Estoque]]&lt;=$U$1,$V$1,$W$1)</f>
        <v/>
      </c>
      <c r="K21" s="170">
        <f>TabelaSobras[[#This Row],[Quantidade de Sobra]]-L21</f>
        <v/>
      </c>
      <c r="L21" s="170">
        <f>TabelaSobras[[#This Row],[Quantidade de Sobra]]-TabelaSobras[[#This Row],[Saída]]-TabelaSobras[[#This Row],[Saída 2]]</f>
        <v/>
      </c>
      <c r="M21" s="170" t="inlineStr">
        <is>
          <t>Líder</t>
        </is>
      </c>
      <c r="N21" s="170">
        <f>TabelaSobras[[#This Row],[M²
Sobras]]*L21</f>
        <v/>
      </c>
      <c r="O21" s="170" t="n">
        <v>50</v>
      </c>
      <c r="P21" s="170" t="n"/>
      <c r="Q21" s="50" t="inlineStr">
        <is>
          <t>L2507104</t>
        </is>
      </c>
      <c r="R21" s="170" t="inlineStr">
        <is>
          <t>Yuri</t>
        </is>
      </c>
      <c r="S21" s="10" t="n">
        <v>45981</v>
      </c>
      <c r="T21" s="12">
        <f>TODAY()-TabelaSobras[[#This Row],[Data do
Registro inicial]]</f>
        <v/>
      </c>
    </row>
    <row r="22" hidden="1">
      <c r="A22" s="51" t="inlineStr">
        <is>
          <t>LOFT</t>
        </is>
      </c>
      <c r="B22" s="51">
        <f>VLOOKUP(LEFT(A22,1),Tabela5[],2,0)</f>
        <v/>
      </c>
      <c r="C22" s="51" t="inlineStr">
        <is>
          <t>MDF - 15MM</t>
        </is>
      </c>
      <c r="D22" s="170">
        <f>VLOOKUP(TabelaSobras[[#This Row],[Tipo de Chapa/COR]],'PREÇOS MDF'!$A$7:$B$10,2,0)</f>
        <v/>
      </c>
      <c r="E22" s="52" t="n">
        <v>420</v>
      </c>
      <c r="F22" s="52" t="n">
        <v>520</v>
      </c>
      <c r="G22" s="52">
        <f>TabelaSobras[[#This Row],[Comprimento 
Sobras (mm)]] &amp; " X " &amp; F22</f>
        <v/>
      </c>
      <c r="H22" s="51">
        <f>(TabelaSobras[[#This Row],[Comprimento 
Sobras (mm)]]*F22/1000000)</f>
        <v/>
      </c>
      <c r="I22" s="51" t="n">
        <v>144</v>
      </c>
      <c r="J22" s="51">
        <f>IF(TabelaSobras[[#This Row],[Estoque]]&lt;=$U$1,$V$1,$W$1)</f>
        <v/>
      </c>
      <c r="K22" s="170">
        <f>TabelaSobras[[#This Row],[Quantidade de Sobra]]-L22</f>
        <v/>
      </c>
      <c r="L22" s="51">
        <f>TabelaSobras[[#This Row],[Quantidade de Sobra]]-TabelaSobras[[#This Row],[Saída]]-TabelaSobras[[#This Row],[Saída 2]]</f>
        <v/>
      </c>
      <c r="M22" s="51" t="inlineStr">
        <is>
          <t>Líder</t>
        </is>
      </c>
      <c r="N22" s="170">
        <f>TabelaSobras[[#This Row],[M²
Sobras]]*L22</f>
        <v/>
      </c>
      <c r="O22" s="51" t="n">
        <v>144</v>
      </c>
      <c r="P22" s="51" t="n"/>
      <c r="Q22" s="51" t="inlineStr">
        <is>
          <t xml:space="preserve">RECORTE </t>
        </is>
      </c>
      <c r="R22" s="51" t="inlineStr">
        <is>
          <t>Yuri</t>
        </is>
      </c>
      <c r="S22" s="53" t="n">
        <v>45986</v>
      </c>
      <c r="T22" s="54">
        <f>TODAY()-TabelaSobras[[#This Row],[Data do
Registro inicial]]</f>
        <v/>
      </c>
    </row>
    <row r="23" hidden="1">
      <c r="A23" s="51" t="inlineStr">
        <is>
          <t>LOFT</t>
        </is>
      </c>
      <c r="B23" s="51">
        <f>VLOOKUP(LEFT(A23,1),Tabela5[],2,0)</f>
        <v/>
      </c>
      <c r="C23" s="51" t="inlineStr">
        <is>
          <t>MDF - 15MM</t>
        </is>
      </c>
      <c r="D23" s="170">
        <f>VLOOKUP(TabelaSobras[[#This Row],[Tipo de Chapa/COR]],'PREÇOS MDF'!$A$7:$B$10,2,0)</f>
        <v/>
      </c>
      <c r="E23" s="52" t="n">
        <v>590</v>
      </c>
      <c r="F23" s="52" t="n">
        <v>525</v>
      </c>
      <c r="G23" s="52">
        <f>TabelaSobras[[#This Row],[Comprimento 
Sobras (mm)]] &amp; " X " &amp; F23</f>
        <v/>
      </c>
      <c r="H23" s="51">
        <f>(TabelaSobras[[#This Row],[Comprimento 
Sobras (mm)]]*F23/1000000)</f>
        <v/>
      </c>
      <c r="I23" s="51" t="n">
        <v>430</v>
      </c>
      <c r="J23" s="51">
        <f>IF(TabelaSobras[[#This Row],[Estoque]]&lt;=$U$1,$V$1,$W$1)</f>
        <v/>
      </c>
      <c r="K23" s="170">
        <f>TabelaSobras[[#This Row],[Quantidade de Sobra]]-L23</f>
        <v/>
      </c>
      <c r="L23" s="51">
        <f>TabelaSobras[[#This Row],[Quantidade de Sobra]]-TabelaSobras[[#This Row],[Saída]]-TabelaSobras[[#This Row],[Saída 2]]</f>
        <v/>
      </c>
      <c r="M23" s="51" t="inlineStr">
        <is>
          <t>Líder</t>
        </is>
      </c>
      <c r="N23" s="170">
        <f>TabelaSobras[[#This Row],[M²
Sobras]]*L23</f>
        <v/>
      </c>
      <c r="O23" s="51" t="n">
        <v>320</v>
      </c>
      <c r="P23" s="51" t="n">
        <v>110</v>
      </c>
      <c r="Q23" s="52" t="inlineStr">
        <is>
          <t>L2507201</t>
        </is>
      </c>
      <c r="R23" s="51" t="inlineStr">
        <is>
          <t>Yuri</t>
        </is>
      </c>
      <c r="S23" s="53" t="n">
        <v>45986</v>
      </c>
      <c r="T23" s="54">
        <f>TODAY()-TabelaSobras[[#This Row],[Data do
Registro inicial]]</f>
        <v/>
      </c>
    </row>
    <row r="24" hidden="1">
      <c r="A24" s="170" t="inlineStr">
        <is>
          <t>N26017</t>
        </is>
      </c>
      <c r="B24" s="170">
        <f>VLOOKUP(LEFT(A24,1),Tabela5[],2,0)</f>
        <v/>
      </c>
      <c r="C24" s="170" t="inlineStr">
        <is>
          <t>MDF - 15MM</t>
        </is>
      </c>
      <c r="D24" s="170">
        <f>VLOOKUP(TabelaSobras[[#This Row],[Tipo de Chapa/COR]],'PREÇOS MDF'!$A$7:$B$10,2,0)</f>
        <v/>
      </c>
      <c r="E24" s="169" t="n">
        <v>400</v>
      </c>
      <c r="F24" s="169" t="n">
        <v>263</v>
      </c>
      <c r="G24" s="169">
        <f>TabelaSobras[[#This Row],[Comprimento 
Sobras (mm)]] &amp; " X " &amp; F24</f>
        <v/>
      </c>
      <c r="H24" s="170">
        <f>(TabelaSobras[[#This Row],[Comprimento 
Sobras (mm)]]*F24/1000000)</f>
        <v/>
      </c>
      <c r="I24" s="170">
        <f>574+32</f>
        <v/>
      </c>
      <c r="J24" s="170">
        <f>IF(TabelaSobras[[#This Row],[Estoque]]&lt;=$U$1,$V$1,$W$1)</f>
        <v/>
      </c>
      <c r="K24" s="170">
        <f>TabelaSobras[[#This Row],[Quantidade de Sobra]]-L24</f>
        <v/>
      </c>
      <c r="L24" s="170">
        <f>TabelaSobras[[#This Row],[Quantidade de Sobra]]-TabelaSobras[[#This Row],[Saída]]-TabelaSobras[[#This Row],[Saída 2]]</f>
        <v/>
      </c>
      <c r="M24" s="170" t="inlineStr">
        <is>
          <t>Nesher</t>
        </is>
      </c>
      <c r="N24" s="170">
        <f>TabelaSobras[[#This Row],[M²
Sobras]]*L24</f>
        <v/>
      </c>
      <c r="O24" s="170" t="n">
        <v>438</v>
      </c>
      <c r="P24" s="170" t="n">
        <v>168</v>
      </c>
      <c r="Q24" s="170" t="inlineStr">
        <is>
          <t>N26020</t>
        </is>
      </c>
      <c r="R24" s="170" t="inlineStr">
        <is>
          <t>Yuri</t>
        </is>
      </c>
      <c r="S24" s="10" t="n">
        <v>46076</v>
      </c>
      <c r="T24" s="12">
        <f>TODAY()-TabelaSobras[[#This Row],[Data do
Registro inicial]]</f>
        <v/>
      </c>
    </row>
    <row r="25" hidden="1">
      <c r="A25" s="170" t="inlineStr">
        <is>
          <t>N</t>
        </is>
      </c>
      <c r="B25" s="170">
        <f>VLOOKUP(LEFT(A25,1),Tabela5[],2,0)</f>
        <v/>
      </c>
      <c r="C25" s="170" t="inlineStr">
        <is>
          <t>MDF - 15MM</t>
        </is>
      </c>
      <c r="D25" s="170">
        <f>VLOOKUP(TabelaSobras[[#This Row],[Tipo de Chapa/COR]],'PREÇOS MDF'!$A$7:$B$10,2,0)</f>
        <v/>
      </c>
      <c r="G25" s="169">
        <f>TabelaSobras[[#This Row],[Comprimento 
Sobras (mm)]] &amp; " X " &amp; F25</f>
        <v/>
      </c>
      <c r="H25" s="170">
        <f>(TabelaSobras[[#This Row],[Comprimento 
Sobras (mm)]]*F25/1000000)</f>
        <v/>
      </c>
      <c r="I25" t="n"/>
      <c r="J25" s="170">
        <f>IF(TabelaSobras[[#This Row],[Estoque]]&lt;=$U$1,$V$1,$W$1)</f>
        <v/>
      </c>
      <c r="K25" s="170">
        <f>TabelaSobras[[#This Row],[Quantidade de Sobra]]-L25</f>
        <v/>
      </c>
      <c r="L25" s="170">
        <f>TabelaSobras[[#This Row],[Quantidade de Sobra]]-TabelaSobras[[#This Row],[Saída]]-TabelaSobras[[#This Row],[Saída 2]]</f>
        <v/>
      </c>
      <c r="M25" s="170" t="inlineStr">
        <is>
          <t>Nesher</t>
        </is>
      </c>
      <c r="N25" s="170">
        <f>TabelaSobras[[#This Row],[M²
Sobras]]*L25</f>
        <v/>
      </c>
      <c r="O25" s="170" t="n"/>
      <c r="P25" s="170" t="n"/>
      <c r="Q25" s="170" t="n"/>
      <c r="R25" s="170" t="inlineStr">
        <is>
          <t>Yuri</t>
        </is>
      </c>
      <c r="S25" s="10" t="n">
        <v>46000</v>
      </c>
      <c r="T25" s="12">
        <f>TODAY()-TabelaSobras[[#This Row],[Data do
Registro inicial]]</f>
        <v/>
      </c>
    </row>
    <row r="26" hidden="1">
      <c r="A26" s="170" t="inlineStr">
        <is>
          <t>L</t>
        </is>
      </c>
      <c r="B26" s="170">
        <f>VLOOKUP(LEFT(A26,1),Tabela5[],2,0)</f>
        <v/>
      </c>
      <c r="C26" s="170" t="inlineStr">
        <is>
          <t>MDF - 15MM</t>
        </is>
      </c>
      <c r="D26" s="170">
        <f>VLOOKUP(TabelaSobras[[#This Row],[Tipo de Chapa/COR]],'PREÇOS MDF'!$A$7:$B$10,2,0)</f>
        <v/>
      </c>
      <c r="E26" s="169" t="n">
        <v>1568</v>
      </c>
      <c r="F26" s="169" t="n">
        <v>297</v>
      </c>
      <c r="G26" s="169">
        <f>TabelaSobras[[#This Row],[Comprimento 
Sobras (mm)]] &amp; " X " &amp; F26</f>
        <v/>
      </c>
      <c r="H26" s="170">
        <f>(TabelaSobras[[#This Row],[Comprimento 
Sobras (mm)]]*F26/1000000)</f>
        <v/>
      </c>
      <c r="I26" s="170" t="n">
        <v>6</v>
      </c>
      <c r="J26" s="170">
        <f>IF(TabelaSobras[[#This Row],[Estoque]]&lt;=$U$1,$V$1,$W$1)</f>
        <v/>
      </c>
      <c r="K26" s="170">
        <f>TabelaSobras[[#This Row],[Quantidade de Sobra]]-L26</f>
        <v/>
      </c>
      <c r="L26" s="170">
        <f>TabelaSobras[[#This Row],[Quantidade de Sobra]]-TabelaSobras[[#This Row],[Saída]]-TabelaSobras[[#This Row],[Saída 2]]</f>
        <v/>
      </c>
      <c r="M26" s="170" t="inlineStr">
        <is>
          <t>Líder</t>
        </is>
      </c>
      <c r="N26" s="170">
        <f>TabelaSobras[[#This Row],[M²
Sobras]]*L26</f>
        <v/>
      </c>
      <c r="O26" s="170" t="n">
        <v>6</v>
      </c>
      <c r="P26" s="170" t="n"/>
      <c r="Q26" s="170" t="inlineStr">
        <is>
          <t>7492-93-94-95</t>
        </is>
      </c>
      <c r="R26" s="170" t="inlineStr">
        <is>
          <t>Yuri</t>
        </is>
      </c>
      <c r="S26" s="10" t="n">
        <v>46006</v>
      </c>
      <c r="T26" s="12">
        <f>TODAY()-TabelaSobras[[#This Row],[Data do
Registro inicial]]</f>
        <v/>
      </c>
    </row>
    <row r="27" hidden="1">
      <c r="A27" s="170" t="inlineStr">
        <is>
          <t>L</t>
        </is>
      </c>
      <c r="B27" s="170">
        <f>VLOOKUP(LEFT(A27,1),Tabela5[],2,0)</f>
        <v/>
      </c>
      <c r="C27" s="170" t="inlineStr">
        <is>
          <t>MDF - 15MM</t>
        </is>
      </c>
      <c r="D27" s="170">
        <f>VLOOKUP(TabelaSobras[[#This Row],[Tipo de Chapa/COR]],'PREÇOS MDF'!$A$7:$B$10,2,0)</f>
        <v/>
      </c>
      <c r="E27" s="169" t="n">
        <v>476</v>
      </c>
      <c r="F27" s="169" t="n">
        <v>297</v>
      </c>
      <c r="G27" s="169">
        <f>TabelaSobras[[#This Row],[Comprimento 
Sobras (mm)]] &amp; " X " &amp; F27</f>
        <v/>
      </c>
      <c r="H27" s="170">
        <f>(TabelaSobras[[#This Row],[Comprimento 
Sobras (mm)]]*F27/1000000)</f>
        <v/>
      </c>
      <c r="I27" s="170" t="n">
        <v>26</v>
      </c>
      <c r="J27" s="170">
        <f>IF(TabelaSobras[[#This Row],[Estoque]]&lt;=$U$1,$V$1,$W$1)</f>
        <v/>
      </c>
      <c r="K27" s="170">
        <f>TabelaSobras[[#This Row],[Quantidade de Sobra]]-L27</f>
        <v/>
      </c>
      <c r="L27" s="170">
        <f>TabelaSobras[[#This Row],[Quantidade de Sobra]]-TabelaSobras[[#This Row],[Saída]]-TabelaSobras[[#This Row],[Saída 2]]</f>
        <v/>
      </c>
      <c r="M27" s="170" t="inlineStr">
        <is>
          <t>Líder</t>
        </is>
      </c>
      <c r="N27" s="170">
        <f>TabelaSobras[[#This Row],[M²
Sobras]]*L27</f>
        <v/>
      </c>
      <c r="O27" s="170" t="n">
        <v>26</v>
      </c>
      <c r="P27" s="170" t="n"/>
      <c r="Q27" s="170" t="inlineStr">
        <is>
          <t>7492-93-94-95</t>
        </is>
      </c>
      <c r="R27" s="170" t="inlineStr">
        <is>
          <t>Yuri</t>
        </is>
      </c>
      <c r="S27" s="10" t="n">
        <v>46006</v>
      </c>
      <c r="T27" s="12">
        <f>TODAY()-TabelaSobras[[#This Row],[Data do
Registro inicial]]</f>
        <v/>
      </c>
    </row>
    <row r="28" hidden="1" ht="28.8" customHeight="1">
      <c r="A28" s="8" t="inlineStr">
        <is>
          <t>V-REFUGO (14 PÇS CRÉDITO) 160 PARA 120</t>
        </is>
      </c>
      <c r="B28" s="170">
        <f>VLOOKUP(LEFT(A28,1),Tabela5[],2,0)</f>
        <v/>
      </c>
      <c r="C28" s="170" t="inlineStr">
        <is>
          <t>MDF - 25MM</t>
        </is>
      </c>
      <c r="D28" s="170">
        <f>VLOOKUP(TabelaSobras[[#This Row],[Tipo de Chapa/COR]],'PREÇOS MDF'!$A$7:$B$10,2,0)</f>
        <v/>
      </c>
      <c r="E28" s="169" t="n">
        <v>1202</v>
      </c>
      <c r="F28" s="169" t="n">
        <v>902</v>
      </c>
      <c r="G28" s="169">
        <f>TabelaSobras[[#This Row],[Comprimento 
Sobras (mm)]] &amp; " X " &amp; F28</f>
        <v/>
      </c>
      <c r="H28" s="170">
        <f>(TabelaSobras[[#This Row],[Comprimento 
Sobras (mm)]]*F28/1000000)</f>
        <v/>
      </c>
      <c r="I28" s="170" t="n">
        <v>15</v>
      </c>
      <c r="J28" s="170">
        <f>IF(TabelaSobras[[#This Row],[Estoque]]&lt;=$U$1,$V$1,$W$1)</f>
        <v/>
      </c>
      <c r="K28" s="170">
        <f>TabelaSobras[[#This Row],[Quantidade de Sobra]]-L28</f>
        <v/>
      </c>
      <c r="L28" s="170">
        <f>TabelaSobras[[#This Row],[Quantidade de Sobra]]-TabelaSobras[[#This Row],[Saída]]-TabelaSobras[[#This Row],[Saída 2]]</f>
        <v/>
      </c>
      <c r="M28" s="170" t="inlineStr">
        <is>
          <t>Líder</t>
        </is>
      </c>
      <c r="N28" s="170">
        <f>TabelaSobras[[#This Row],[M²
Sobras]]*L28</f>
        <v/>
      </c>
      <c r="O28" s="170" t="n">
        <v>15</v>
      </c>
      <c r="P28" s="170" t="n"/>
      <c r="Q28" s="170" t="inlineStr">
        <is>
          <t>V2521801</t>
        </is>
      </c>
      <c r="R28" s="170" t="inlineStr">
        <is>
          <t>Yuri</t>
        </is>
      </c>
      <c r="S28" s="10" t="n">
        <v>46009</v>
      </c>
      <c r="T28" s="12">
        <f>TODAY()-TabelaSobras[[#This Row],[Data do
Registro inicial]]</f>
        <v/>
      </c>
    </row>
    <row r="29" hidden="1">
      <c r="A29" s="170" t="inlineStr">
        <is>
          <t>V</t>
        </is>
      </c>
      <c r="B29" s="170">
        <f>VLOOKUP(LEFT(A29,1),Tabela5[],2,0)</f>
        <v/>
      </c>
      <c r="C29" s="170" t="inlineStr">
        <is>
          <t>MDF - 25MM</t>
        </is>
      </c>
      <c r="D29" s="170">
        <f>VLOOKUP(TabelaSobras[[#This Row],[Tipo de Chapa/COR]],'PREÇOS MDF'!$A$7:$B$10,2,0)</f>
        <v/>
      </c>
      <c r="E29" s="169" t="n">
        <v>1602</v>
      </c>
      <c r="F29" s="169" t="n">
        <v>902</v>
      </c>
      <c r="G29" s="169">
        <f>TabelaSobras[[#This Row],[Comprimento 
Sobras (mm)]] &amp; " X " &amp; F29</f>
        <v/>
      </c>
      <c r="H29" s="170">
        <f>(TabelaSobras[[#This Row],[Comprimento 
Sobras (mm)]]*F29/1000000)</f>
        <v/>
      </c>
      <c r="I29" s="170" t="n">
        <v>12</v>
      </c>
      <c r="J29" s="170">
        <f>IF(TabelaSobras[[#This Row],[Estoque]]&lt;=$U$1,$V$1,$W$1)</f>
        <v/>
      </c>
      <c r="K29" s="170">
        <f>TabelaSobras[[#This Row],[Quantidade de Sobra]]-L29</f>
        <v/>
      </c>
      <c r="L29" s="170">
        <f>TabelaSobras[[#This Row],[Quantidade de Sobra]]-TabelaSobras[[#This Row],[Saída]]-TabelaSobras[[#This Row],[Saída 2]]</f>
        <v/>
      </c>
      <c r="M29" s="170" t="inlineStr">
        <is>
          <t>Líder</t>
        </is>
      </c>
      <c r="N29" s="170">
        <f>TabelaSobras[[#This Row],[M²
Sobras]]*L29</f>
        <v/>
      </c>
      <c r="O29" s="170" t="n">
        <v>12</v>
      </c>
      <c r="P29" s="170" t="n"/>
      <c r="Q29" s="170" t="inlineStr">
        <is>
          <t>V2521501</t>
        </is>
      </c>
      <c r="R29" s="170" t="inlineStr">
        <is>
          <t>Yuri</t>
        </is>
      </c>
      <c r="S29" s="10" t="n">
        <v>46010</v>
      </c>
      <c r="T29" s="12">
        <f>TODAY()-TabelaSobras[[#This Row],[Data do
Registro inicial]]</f>
        <v/>
      </c>
    </row>
    <row r="30" hidden="1">
      <c r="A30" s="170" t="inlineStr">
        <is>
          <t>N25095</t>
        </is>
      </c>
      <c r="B30" s="170">
        <f>VLOOKUP(LEFT(A30,1),Tabela5[],2,0)</f>
        <v/>
      </c>
      <c r="C30" s="170" t="inlineStr">
        <is>
          <t>MDF - 15MM</t>
        </is>
      </c>
      <c r="D30" s="170">
        <f>VLOOKUP(TabelaSobras[[#This Row],[Tipo de Chapa/COR]],'PREÇOS MDF'!$A$7:$B$10,2,0)</f>
        <v/>
      </c>
      <c r="E30" s="169" t="n">
        <v>400</v>
      </c>
      <c r="F30" s="169" t="n">
        <v>263</v>
      </c>
      <c r="G30" s="169">
        <f>TabelaSobras[[#This Row],[Comprimento 
Sobras (mm)]] &amp; " X " &amp; F30</f>
        <v/>
      </c>
      <c r="H30" s="170">
        <f>(TabelaSobras[[#This Row],[Comprimento 
Sobras (mm)]]*F30/1000000)</f>
        <v/>
      </c>
      <c r="I30" s="170">
        <f>220+76+53+60+243</f>
        <v/>
      </c>
      <c r="J30" s="170">
        <f>IF(TabelaSobras[[#This Row],[Estoque]]&lt;=$U$1,$V$1,$W$1)</f>
        <v/>
      </c>
      <c r="K30" s="170">
        <f>TabelaSobras[[#This Row],[Quantidade de Sobra]]-L30</f>
        <v/>
      </c>
      <c r="L30" s="170">
        <f>TabelaSobras[[#This Row],[Quantidade de Sobra]]-TabelaSobras[[#This Row],[Saída]]-TabelaSobras[[#This Row],[Saída 2]]</f>
        <v/>
      </c>
      <c r="M30" s="170" t="inlineStr">
        <is>
          <t>Nesher</t>
        </is>
      </c>
      <c r="N30" s="170">
        <f>TabelaSobras[[#This Row],[M²
Sobras]]*L30</f>
        <v/>
      </c>
      <c r="O30" s="170" t="n">
        <v>477</v>
      </c>
      <c r="P30" s="170" t="n">
        <v>175</v>
      </c>
      <c r="Q30" s="170" t="inlineStr">
        <is>
          <t>N26006 | N2600803</t>
        </is>
      </c>
      <c r="R30" s="170" t="inlineStr">
        <is>
          <t>Yuri</t>
        </is>
      </c>
      <c r="S30" s="10" t="n">
        <v>46028</v>
      </c>
      <c r="T30" s="12">
        <f>TODAY()-TabelaSobras[[#This Row],[Data do
Registro inicial]]</f>
        <v/>
      </c>
    </row>
    <row r="31" hidden="1">
      <c r="A31" s="170" t="inlineStr">
        <is>
          <t>N25094</t>
        </is>
      </c>
      <c r="B31" s="170">
        <f>VLOOKUP(LEFT(A31,1),Tabela5[],2,0)</f>
        <v/>
      </c>
      <c r="C31" s="170" t="inlineStr">
        <is>
          <t>MDF - 25MM</t>
        </is>
      </c>
      <c r="D31" s="170">
        <f>VLOOKUP(TabelaSobras[[#This Row],[Tipo de Chapa/COR]],'PREÇOS MDF'!$A$7:$B$10,2,0)</f>
        <v/>
      </c>
      <c r="E31" s="169" t="n">
        <v>805</v>
      </c>
      <c r="F31" s="169" t="n">
        <v>450</v>
      </c>
      <c r="G31" s="169">
        <f>TabelaSobras[[#This Row],[Comprimento 
Sobras (mm)]] &amp; " X " &amp; F31</f>
        <v/>
      </c>
      <c r="H31" s="170">
        <f>(TabelaSobras[[#This Row],[Comprimento 
Sobras (mm)]]*F31/1000000)</f>
        <v/>
      </c>
      <c r="I31" s="170" t="n">
        <v>150</v>
      </c>
      <c r="J31" s="170">
        <f>IF(TabelaSobras[[#This Row],[Estoque]]&lt;=$U$1,$V$1,$W$1)</f>
        <v/>
      </c>
      <c r="K31" s="170">
        <f>TabelaSobras[[#This Row],[Quantidade de Sobra]]-L31</f>
        <v/>
      </c>
      <c r="L31" s="170">
        <f>TabelaSobras[[#This Row],[Quantidade de Sobra]]-TabelaSobras[[#This Row],[Saída]]-TabelaSobras[[#This Row],[Saída 2]]</f>
        <v/>
      </c>
      <c r="M31" s="170" t="inlineStr">
        <is>
          <t>Nesher</t>
        </is>
      </c>
      <c r="N31" s="170">
        <f>TabelaSobras[[#This Row],[M²
Sobras]]*L31</f>
        <v/>
      </c>
      <c r="O31" s="170" t="n">
        <v>150</v>
      </c>
      <c r="P31" s="170" t="n"/>
      <c r="Q31" s="90" t="inlineStr">
        <is>
          <t>N2600205</t>
        </is>
      </c>
      <c r="R31" s="170" t="inlineStr">
        <is>
          <t>Yuri</t>
        </is>
      </c>
      <c r="S31" s="10" t="n">
        <v>46029</v>
      </c>
      <c r="T31" s="12">
        <f>TODAY()-TabelaSobras[[#This Row],[Data do
Registro inicial]]</f>
        <v/>
      </c>
    </row>
    <row r="32" hidden="1">
      <c r="A32" s="170" t="inlineStr">
        <is>
          <t>N25094</t>
        </is>
      </c>
      <c r="B32" s="170">
        <f>VLOOKUP(LEFT(A32,1),Tabela5[],2,0)</f>
        <v/>
      </c>
      <c r="C32" s="170" t="inlineStr">
        <is>
          <t>MDF - 25MM</t>
        </is>
      </c>
      <c r="D32" s="170">
        <f>VLOOKUP(TabelaSobras[[#This Row],[Tipo de Chapa/COR]],'PREÇOS MDF'!$A$7:$B$10,2,0)</f>
        <v/>
      </c>
      <c r="E32" s="169" t="n">
        <v>655</v>
      </c>
      <c r="F32" s="169" t="n">
        <v>450</v>
      </c>
      <c r="G32" s="169">
        <f>TabelaSobras[[#This Row],[Comprimento 
Sobras (mm)]] &amp; " X " &amp; F32</f>
        <v/>
      </c>
      <c r="H32" s="170">
        <f>(TabelaSobras[[#This Row],[Comprimento 
Sobras (mm)]]*F32/1000000)</f>
        <v/>
      </c>
      <c r="I32" s="170" t="n">
        <v>150</v>
      </c>
      <c r="J32" s="170">
        <f>IF(TabelaSobras[[#This Row],[Estoque]]&lt;=$U$1,$V$1,$W$1)</f>
        <v/>
      </c>
      <c r="K32" s="170">
        <f>TabelaSobras[[#This Row],[Quantidade de Sobra]]-L32</f>
        <v/>
      </c>
      <c r="L32" s="170">
        <f>TabelaSobras[[#This Row],[Quantidade de Sobra]]-TabelaSobras[[#This Row],[Saída]]-TabelaSobras[[#This Row],[Saída 2]]</f>
        <v/>
      </c>
      <c r="M32" s="170" t="inlineStr">
        <is>
          <t>Nesher</t>
        </is>
      </c>
      <c r="N32" s="170">
        <f>TabelaSobras[[#This Row],[M²
Sobras]]*L32</f>
        <v/>
      </c>
      <c r="O32" s="170" t="n">
        <v>150</v>
      </c>
      <c r="P32" s="170" t="n"/>
      <c r="Q32" s="90" t="inlineStr">
        <is>
          <t>N2601101</t>
        </is>
      </c>
      <c r="R32" s="170" t="inlineStr">
        <is>
          <t>Yuri</t>
        </is>
      </c>
      <c r="S32" s="10" t="n">
        <v>46029</v>
      </c>
      <c r="T32" s="12">
        <f>TODAY()-TabelaSobras[[#This Row],[Data do
Registro inicial]]</f>
        <v/>
      </c>
    </row>
    <row r="33" hidden="1">
      <c r="A33" s="170" t="inlineStr">
        <is>
          <t>N-SOBRAS</t>
        </is>
      </c>
      <c r="B33" s="170">
        <f>VLOOKUP(LEFT(A33,1),Tabela5[],2,0)</f>
        <v/>
      </c>
      <c r="C33" s="170" t="inlineStr">
        <is>
          <t>MDF - 15MM</t>
        </is>
      </c>
      <c r="D33" s="170">
        <f>VLOOKUP(TabelaSobras[[#This Row],[Tipo de Chapa/COR]],'PREÇOS MDF'!$A$7:$B$10,2,0)</f>
        <v/>
      </c>
      <c r="E33" s="169" t="n">
        <v>342</v>
      </c>
      <c r="F33" s="169" t="n">
        <v>297</v>
      </c>
      <c r="G33" s="169">
        <f>TabelaSobras[[#This Row],[Comprimento 
Sobras (mm)]] &amp; " X " &amp; F33</f>
        <v/>
      </c>
      <c r="H33" s="170">
        <f>(TabelaSobras[[#This Row],[Comprimento 
Sobras (mm)]]*F33/1000000)</f>
        <v/>
      </c>
      <c r="I33" s="170" t="n">
        <v>137</v>
      </c>
      <c r="J33" s="170">
        <f>IF(TabelaSobras[[#This Row],[Estoque]]&lt;=$U$1,$V$1,$W$1)</f>
        <v/>
      </c>
      <c r="K33" s="170">
        <f>TabelaSobras[[#This Row],[Quantidade de Sobra]]-L33</f>
        <v/>
      </c>
      <c r="L33" s="170">
        <f>TabelaSobras[[#This Row],[Quantidade de Sobra]]-TabelaSobras[[#This Row],[Saída]]-TabelaSobras[[#This Row],[Saída 2]]</f>
        <v/>
      </c>
      <c r="M33" s="170" t="inlineStr">
        <is>
          <t>Nesher</t>
        </is>
      </c>
      <c r="N33" s="170">
        <f>TabelaSobras[[#This Row],[M²
Sobras]]*L33</f>
        <v/>
      </c>
      <c r="O33" s="170" t="n">
        <v>137</v>
      </c>
      <c r="P33" s="170" t="n"/>
      <c r="Q33" s="90" t="inlineStr">
        <is>
          <t>N26022</t>
        </is>
      </c>
      <c r="R33" s="170" t="inlineStr">
        <is>
          <t>Yuri</t>
        </is>
      </c>
      <c r="S33" s="10" t="n">
        <v>46104</v>
      </c>
      <c r="T33" s="12">
        <f>TODAY()-TabelaSobras[[#This Row],[Data do
Registro inicial]]</f>
        <v/>
      </c>
    </row>
    <row r="34" hidden="1" ht="28.8" customHeight="1">
      <c r="A34" s="8" t="inlineStr">
        <is>
          <t>N2600902 | N2601903-04|N26017</t>
        </is>
      </c>
      <c r="B34" s="170">
        <f>VLOOKUP(LEFT(A34,1),Tabela5[],2,0)</f>
        <v/>
      </c>
      <c r="C34" s="170" t="inlineStr">
        <is>
          <t>MDF - 15MM</t>
        </is>
      </c>
      <c r="D34" s="170">
        <f>VLOOKUP(TabelaSobras[[#This Row],[Tipo de Chapa/COR]],'PREÇOS MDF'!$A$7:$B$10,2,0)</f>
        <v/>
      </c>
      <c r="E34" s="169" t="n">
        <v>313</v>
      </c>
      <c r="F34" s="169" t="n">
        <v>297</v>
      </c>
      <c r="G34" s="169">
        <f>TabelaSobras[[#This Row],[Comprimento 
Sobras (mm)]] &amp; " X " &amp; F34</f>
        <v/>
      </c>
      <c r="H34" s="170">
        <f>(TabelaSobras[[#This Row],[Comprimento 
Sobras (mm)]]*F34/1000000)</f>
        <v/>
      </c>
      <c r="I34" s="170">
        <f>90+24+189+179+132</f>
        <v/>
      </c>
      <c r="J34" s="170">
        <f>IF(TabelaSobras[[#This Row],[Estoque]]&lt;=$U$1,$V$1,$W$1)</f>
        <v/>
      </c>
      <c r="K34" s="170">
        <f>TabelaSobras[[#This Row],[Quantidade de Sobra]]-L34</f>
        <v/>
      </c>
      <c r="L34" s="170">
        <f>TabelaSobras[[#This Row],[Quantidade de Sobra]]-TabelaSobras[[#This Row],[Saída]]-TabelaSobras[[#This Row],[Saída 2]]</f>
        <v/>
      </c>
      <c r="M34" s="170" t="inlineStr">
        <is>
          <t>Nesher</t>
        </is>
      </c>
      <c r="N34" s="170">
        <f>TabelaSobras[[#This Row],[M²
Sobras]]*L34</f>
        <v/>
      </c>
      <c r="O34" s="170" t="n">
        <v>614</v>
      </c>
      <c r="P34" s="170" t="n"/>
      <c r="Q34" s="42" t="inlineStr">
        <is>
          <t>KIT NOBREZA 2100</t>
        </is>
      </c>
      <c r="R34" s="170" t="inlineStr">
        <is>
          <t>Yuri</t>
        </is>
      </c>
      <c r="S34" s="10" t="n">
        <v>46034</v>
      </c>
      <c r="T34" s="12">
        <f>TODAY()-TabelaSobras[[#This Row],[Data do
Registro inicial]]</f>
        <v/>
      </c>
    </row>
    <row r="35" hidden="1" ht="28.8" customHeight="1">
      <c r="A35" s="144" t="inlineStr">
        <is>
          <t>N-FURAÇÃO A MAIS
BALC 1 pt 3 gv120</t>
        </is>
      </c>
      <c r="B35" s="27">
        <f>VLOOKUP(LEFT(A35,1),Tabela5[],2,0)</f>
        <v/>
      </c>
      <c r="C35" s="27" t="inlineStr">
        <is>
          <t>MDF - 15MM</t>
        </is>
      </c>
      <c r="D35" s="170">
        <f>VLOOKUP(TabelaSobras[[#This Row],[Tipo de Chapa/COR]],'PREÇOS MDF'!$A$7:$B$10,2,0)</f>
        <v/>
      </c>
      <c r="E35" s="28" t="n">
        <v>780</v>
      </c>
      <c r="F35" s="28" t="n">
        <v>500</v>
      </c>
      <c r="G35" s="28">
        <f>TabelaSobras[[#This Row],[Comprimento 
Sobras (mm)]] &amp; " X " &amp; F35</f>
        <v/>
      </c>
      <c r="H35" s="27">
        <f>(TabelaSobras[[#This Row],[Comprimento 
Sobras (mm)]]*F35/1000000)</f>
        <v/>
      </c>
      <c r="I35" s="27" t="n">
        <v>60</v>
      </c>
      <c r="J35" s="27">
        <f>IF(TabelaSobras[[#This Row],[Estoque]]&lt;=$U$1,$V$1,$W$1)</f>
        <v/>
      </c>
      <c r="K35" s="170">
        <f>TabelaSobras[[#This Row],[Quantidade de Sobra]]-L35</f>
        <v/>
      </c>
      <c r="L35" s="27">
        <f>TabelaSobras[[#This Row],[Quantidade de Sobra]]-TabelaSobras[[#This Row],[Saída]]-TabelaSobras[[#This Row],[Saída 2]]</f>
        <v/>
      </c>
      <c r="M35" s="27" t="inlineStr">
        <is>
          <t>Nesher</t>
        </is>
      </c>
      <c r="N35" s="170">
        <f>TabelaSobras[[#This Row],[M²
Sobras]]*L35</f>
        <v/>
      </c>
      <c r="O35" s="27" t="n">
        <v>60</v>
      </c>
      <c r="P35" s="27" t="n"/>
      <c r="Q35" s="28" t="inlineStr">
        <is>
          <t>N2604506</t>
        </is>
      </c>
      <c r="R35" s="27" t="inlineStr">
        <is>
          <t>Yuri</t>
        </is>
      </c>
      <c r="S35" s="143" t="n">
        <v>46150</v>
      </c>
      <c r="T35" s="137">
        <f>TODAY()-TabelaSobras[[#This Row],[Data do
Registro inicial]]</f>
        <v/>
      </c>
    </row>
    <row r="36" hidden="1" ht="28.8" customHeight="1">
      <c r="A36" s="8" t="inlineStr">
        <is>
          <t>N2601002 | N2600201 AO N2600204</t>
        </is>
      </c>
      <c r="B36" s="170">
        <f>VLOOKUP(LEFT(A36,1),Tabela5[],2,0)</f>
        <v/>
      </c>
      <c r="C36" s="170" t="inlineStr">
        <is>
          <t>MDF - 15MM</t>
        </is>
      </c>
      <c r="D36" s="170">
        <f>VLOOKUP(TabelaSobras[[#This Row],[Tipo de Chapa/COR]],'PREÇOS MDF'!$A$7:$B$10,2,0)</f>
        <v/>
      </c>
      <c r="E36" s="169" t="n">
        <v>297</v>
      </c>
      <c r="F36" s="169" t="n">
        <v>319</v>
      </c>
      <c r="G36" s="169">
        <f>TabelaSobras[[#This Row],[Comprimento 
Sobras (mm)]] &amp; " X " &amp; F36</f>
        <v/>
      </c>
      <c r="H36" s="170">
        <f>(TabelaSobras[[#This Row],[Comprimento 
Sobras (mm)]]*F36/1000000)</f>
        <v/>
      </c>
      <c r="I36" s="170" t="n">
        <v>21</v>
      </c>
      <c r="J36" s="170">
        <f>IF(TabelaSobras[[#This Row],[Estoque]]&lt;=$U$1,$V$1,$W$1)</f>
        <v/>
      </c>
      <c r="K36" s="170">
        <f>TabelaSobras[[#This Row],[Quantidade de Sobra]]-L36</f>
        <v/>
      </c>
      <c r="L36" s="170">
        <f>TabelaSobras[[#This Row],[Quantidade de Sobra]]-TabelaSobras[[#This Row],[Saída]]-TabelaSobras[[#This Row],[Saída 2]]</f>
        <v/>
      </c>
      <c r="M36" s="170" t="inlineStr">
        <is>
          <t>Nesher</t>
        </is>
      </c>
      <c r="N36" s="170">
        <f>TabelaSobras[[#This Row],[M²
Sobras]]*L36</f>
        <v/>
      </c>
      <c r="O36" s="170" t="n">
        <v>21</v>
      </c>
      <c r="P36" s="170" t="n"/>
      <c r="Q36" s="170" t="inlineStr">
        <is>
          <t>N2601006</t>
        </is>
      </c>
      <c r="R36" s="170" t="inlineStr">
        <is>
          <t>Yuri</t>
        </is>
      </c>
      <c r="S36" s="10" t="n">
        <v>46037</v>
      </c>
      <c r="T36" s="12">
        <f>TODAY()-TabelaSobras[[#This Row],[Data do
Registro inicial]]</f>
        <v/>
      </c>
    </row>
    <row r="37" hidden="1" ht="28.8" customHeight="1">
      <c r="A37" s="8" t="inlineStr">
        <is>
          <t>N2601002 | N2600201 AO N2600204</t>
        </is>
      </c>
      <c r="B37" s="170">
        <f>VLOOKUP(LEFT(A37,1),Tabela5[],2,0)</f>
        <v/>
      </c>
      <c r="C37" s="170" t="inlineStr">
        <is>
          <t>MDF - 15MM</t>
        </is>
      </c>
      <c r="D37" s="170">
        <f>VLOOKUP(TabelaSobras[[#This Row],[Tipo de Chapa/COR]],'PREÇOS MDF'!$A$7:$B$10,2,0)</f>
        <v/>
      </c>
      <c r="E37" s="169" t="n">
        <v>343</v>
      </c>
      <c r="F37" s="169" t="n">
        <v>297</v>
      </c>
      <c r="G37" s="169">
        <f>TabelaSobras[[#This Row],[Comprimento 
Sobras (mm)]] &amp; " X " &amp; F37</f>
        <v/>
      </c>
      <c r="H37" s="170">
        <f>(TabelaSobras[[#This Row],[Comprimento 
Sobras (mm)]]*F37/1000000)</f>
        <v/>
      </c>
      <c r="I37" s="170" t="n">
        <v>50</v>
      </c>
      <c r="J37" s="170">
        <f>IF(TabelaSobras[[#This Row],[Estoque]]&lt;=$U$1,$V$1,$W$1)</f>
        <v/>
      </c>
      <c r="K37" s="170">
        <f>TabelaSobras[[#This Row],[Quantidade de Sobra]]-L37</f>
        <v/>
      </c>
      <c r="L37" s="170">
        <f>TabelaSobras[[#This Row],[Quantidade de Sobra]]-TabelaSobras[[#This Row],[Saída]]-TabelaSobras[[#This Row],[Saída 2]]</f>
        <v/>
      </c>
      <c r="M37" s="170" t="inlineStr">
        <is>
          <t>Nesher</t>
        </is>
      </c>
      <c r="N37" s="170">
        <f>TabelaSobras[[#This Row],[M²
Sobras]]*L37</f>
        <v/>
      </c>
      <c r="O37" s="170" t="n">
        <v>12</v>
      </c>
      <c r="P37" s="170" t="n">
        <v>38</v>
      </c>
      <c r="Q37" s="170" t="inlineStr">
        <is>
          <t>N2601006 | N2600802</t>
        </is>
      </c>
      <c r="R37" s="170" t="inlineStr">
        <is>
          <t>Yuri</t>
        </is>
      </c>
      <c r="S37" s="10" t="n">
        <v>46037</v>
      </c>
      <c r="T37" s="12">
        <f>TODAY()-TabelaSobras[[#This Row],[Data do
Registro inicial]]</f>
        <v/>
      </c>
    </row>
    <row r="38" hidden="1" ht="28.8" customHeight="1">
      <c r="A38" s="8" t="inlineStr">
        <is>
          <t>N2601002 | N2600201 AO N2600204</t>
        </is>
      </c>
      <c r="B38" s="170">
        <f>VLOOKUP(LEFT(A38,1),Tabela5[],2,0)</f>
        <v/>
      </c>
      <c r="C38" s="170" t="inlineStr">
        <is>
          <t>MDF - 15MM</t>
        </is>
      </c>
      <c r="D38" s="170">
        <f>VLOOKUP(TabelaSobras[[#This Row],[Tipo de Chapa/COR]],'PREÇOS MDF'!$A$7:$B$10,2,0)</f>
        <v/>
      </c>
      <c r="E38" s="169" t="n">
        <v>297</v>
      </c>
      <c r="F38" s="169" t="n">
        <v>368</v>
      </c>
      <c r="G38" s="169">
        <f>TabelaSobras[[#This Row],[Comprimento 
Sobras (mm)]] &amp; " X " &amp; F38</f>
        <v/>
      </c>
      <c r="H38" s="170">
        <f>(TabelaSobras[[#This Row],[Comprimento 
Sobras (mm)]]*F38/1000000)</f>
        <v/>
      </c>
      <c r="I38" s="170" t="n">
        <v>24</v>
      </c>
      <c r="J38" s="170">
        <f>IF(TabelaSobras[[#This Row],[Estoque]]&lt;=$U$1,$V$1,$W$1)</f>
        <v/>
      </c>
      <c r="K38" s="170">
        <f>TabelaSobras[[#This Row],[Quantidade de Sobra]]-L38</f>
        <v/>
      </c>
      <c r="L38" s="170">
        <f>TabelaSobras[[#This Row],[Quantidade de Sobra]]-TabelaSobras[[#This Row],[Saída]]-TabelaSobras[[#This Row],[Saída 2]]</f>
        <v/>
      </c>
      <c r="M38" s="170" t="inlineStr">
        <is>
          <t>Nesher</t>
        </is>
      </c>
      <c r="N38" s="170">
        <f>TabelaSobras[[#This Row],[M²
Sobras]]*L38</f>
        <v/>
      </c>
      <c r="O38" s="170" t="n">
        <v>24</v>
      </c>
      <c r="P38" s="170" t="n"/>
      <c r="Q38" s="170" t="inlineStr">
        <is>
          <t>N2600802</t>
        </is>
      </c>
      <c r="R38" s="170" t="inlineStr">
        <is>
          <t>Yuri</t>
        </is>
      </c>
      <c r="S38" s="10" t="n">
        <v>46037</v>
      </c>
      <c r="T38" s="12">
        <f>TODAY()-TabelaSobras[[#This Row],[Data do
Registro inicial]]</f>
        <v/>
      </c>
    </row>
    <row r="39" hidden="1">
      <c r="A39" s="170" t="inlineStr">
        <is>
          <t>N2601007 | N2601006</t>
        </is>
      </c>
      <c r="B39" s="170">
        <f>VLOOKUP(LEFT(A39,1),Tabela5[],2,0)</f>
        <v/>
      </c>
      <c r="C39" s="170" t="inlineStr">
        <is>
          <t>MDF - 15MM</t>
        </is>
      </c>
      <c r="D39" s="170">
        <f>VLOOKUP(TabelaSobras[[#This Row],[Tipo de Chapa/COR]],'PREÇOS MDF'!$A$7:$B$10,2,0)</f>
        <v/>
      </c>
      <c r="E39" s="169" t="n">
        <v>400</v>
      </c>
      <c r="F39" s="169" t="n">
        <v>92</v>
      </c>
      <c r="G39" s="169">
        <f>TabelaSobras[[#This Row],[Comprimento 
Sobras (mm)]] &amp; " X " &amp; F39</f>
        <v/>
      </c>
      <c r="H39" s="170">
        <f>(TabelaSobras[[#This Row],[Comprimento 
Sobras (mm)]]*F39/1000000)</f>
        <v/>
      </c>
      <c r="I39" s="170" t="n">
        <v>87</v>
      </c>
      <c r="J39" s="170">
        <f>IF(TabelaSobras[[#This Row],[Estoque]]&lt;=$U$1,$V$1,$W$1)</f>
        <v/>
      </c>
      <c r="K39" s="170">
        <f>TabelaSobras[[#This Row],[Quantidade de Sobra]]-L39</f>
        <v/>
      </c>
      <c r="L39" s="170">
        <f>TabelaSobras[[#This Row],[Quantidade de Sobra]]-TabelaSobras[[#This Row],[Saída]]-TabelaSobras[[#This Row],[Saída 2]]</f>
        <v/>
      </c>
      <c r="M39" s="170" t="inlineStr">
        <is>
          <t>Nesher</t>
        </is>
      </c>
      <c r="N39" s="170">
        <f>TabelaSobras[[#This Row],[M²
Sobras]]*L39</f>
        <v/>
      </c>
      <c r="O39" s="170" t="n">
        <v>87</v>
      </c>
      <c r="P39" s="170" t="n"/>
      <c r="Q39" s="170" t="inlineStr">
        <is>
          <t>N2600801</t>
        </is>
      </c>
      <c r="R39" s="170" t="inlineStr">
        <is>
          <t>Yuri</t>
        </is>
      </c>
      <c r="S39" s="10" t="n">
        <v>46038</v>
      </c>
      <c r="T39" s="12">
        <f>TODAY()-TabelaSobras[[#This Row],[Data do
Registro inicial]]</f>
        <v/>
      </c>
    </row>
    <row r="40" hidden="1">
      <c r="A40" s="170" t="inlineStr">
        <is>
          <t>N2601007 | N2601006</t>
        </is>
      </c>
      <c r="B40" s="170">
        <f>VLOOKUP(LEFT(A40,1),Tabela5[],2,0)</f>
        <v/>
      </c>
      <c r="C40" s="170" t="inlineStr">
        <is>
          <t>MDF - 15MM</t>
        </is>
      </c>
      <c r="D40" s="170">
        <f>VLOOKUP(TabelaSobras[[#This Row],[Tipo de Chapa/COR]],'PREÇOS MDF'!$A$7:$B$10,2,0)</f>
        <v/>
      </c>
      <c r="E40" s="169" t="n">
        <v>2200</v>
      </c>
      <c r="F40" s="169" t="n">
        <v>92</v>
      </c>
      <c r="G40" s="169">
        <f>TabelaSobras[[#This Row],[Comprimento 
Sobras (mm)]] &amp; " X " &amp; F40</f>
        <v/>
      </c>
      <c r="H40" s="170">
        <f>(TabelaSobras[[#This Row],[Comprimento 
Sobras (mm)]]*F40/1000000)</f>
        <v/>
      </c>
      <c r="I40" s="170" t="n">
        <v>63</v>
      </c>
      <c r="J40" s="170">
        <f>IF(TabelaSobras[[#This Row],[Estoque]]&lt;=$U$1,$V$1,$W$1)</f>
        <v/>
      </c>
      <c r="K40" s="170">
        <f>TabelaSobras[[#This Row],[Quantidade de Sobra]]-L40</f>
        <v/>
      </c>
      <c r="L40" s="170">
        <f>TabelaSobras[[#This Row],[Quantidade de Sobra]]-TabelaSobras[[#This Row],[Saída]]-TabelaSobras[[#This Row],[Saída 2]]</f>
        <v/>
      </c>
      <c r="M40" s="170" t="inlineStr">
        <is>
          <t>Nesher</t>
        </is>
      </c>
      <c r="N40" s="170">
        <f>TabelaSobras[[#This Row],[M²
Sobras]]*L40</f>
        <v/>
      </c>
      <c r="O40" s="170" t="n">
        <v>12</v>
      </c>
      <c r="P40" s="170" t="n">
        <v>51</v>
      </c>
      <c r="Q40" s="170" t="inlineStr">
        <is>
          <t>N2600206</t>
        </is>
      </c>
      <c r="R40" s="170" t="inlineStr">
        <is>
          <t>Yuri</t>
        </is>
      </c>
      <c r="S40" s="10" t="n">
        <v>46041</v>
      </c>
      <c r="T40" s="12">
        <f>TODAY()-TabelaSobras[[#This Row],[Data do
Registro inicial]]</f>
        <v/>
      </c>
    </row>
    <row r="41" hidden="1">
      <c r="A41" s="170" t="inlineStr">
        <is>
          <t>N2600205 AO N2601101</t>
        </is>
      </c>
      <c r="B41" s="170">
        <f>VLOOKUP(LEFT(A41,1),Tabela5[],2,0)</f>
        <v/>
      </c>
      <c r="C41" s="170" t="inlineStr">
        <is>
          <t>MDF - 15MM</t>
        </is>
      </c>
      <c r="D41" s="170">
        <f>VLOOKUP(TabelaSobras[[#This Row],[Tipo de Chapa/COR]],'PREÇOS MDF'!$A$7:$B$10,2,0)</f>
        <v/>
      </c>
      <c r="E41" s="169" t="n">
        <v>343</v>
      </c>
      <c r="F41" s="169" t="n">
        <v>297</v>
      </c>
      <c r="G41" s="169">
        <f>TabelaSobras[[#This Row],[Comprimento 
Sobras (mm)]] &amp; " X " &amp; F41</f>
        <v/>
      </c>
      <c r="H41" s="170">
        <f>(TabelaSobras[[#This Row],[Comprimento 
Sobras (mm)]]*F41/1000000)</f>
        <v/>
      </c>
      <c r="I41" s="170" t="n">
        <v>50</v>
      </c>
      <c r="J41" s="170">
        <f>IF(TabelaSobras[[#This Row],[Estoque]]&lt;=$U$1,$V$1,$W$1)</f>
        <v/>
      </c>
      <c r="K41" s="170">
        <f>TabelaSobras[[#This Row],[Quantidade de Sobra]]-L41</f>
        <v/>
      </c>
      <c r="L41" s="170">
        <f>TabelaSobras[[#This Row],[Quantidade de Sobra]]-TabelaSobras[[#This Row],[Saída]]-TabelaSobras[[#This Row],[Saída 2]]</f>
        <v/>
      </c>
      <c r="M41" s="170" t="inlineStr">
        <is>
          <t>Nesher</t>
        </is>
      </c>
      <c r="N41" s="170">
        <f>TabelaSobras[[#This Row],[M²
Sobras]]*L41</f>
        <v/>
      </c>
      <c r="O41" s="170" t="n">
        <v>50</v>
      </c>
      <c r="P41" s="170" t="n"/>
      <c r="Q41" s="170" t="inlineStr">
        <is>
          <t>N2600802</t>
        </is>
      </c>
      <c r="R41" s="170" t="inlineStr">
        <is>
          <t>Yuri</t>
        </is>
      </c>
      <c r="S41" s="10" t="n">
        <v>46042</v>
      </c>
      <c r="T41" s="12">
        <f>TODAY()-TabelaSobras[[#This Row],[Data do
Registro inicial]]</f>
        <v/>
      </c>
    </row>
    <row r="42" hidden="1">
      <c r="A42" s="170" t="inlineStr">
        <is>
          <t>NESHER REALEZA PREMIUM</t>
        </is>
      </c>
      <c r="B42" s="170">
        <f>VLOOKUP(LEFT(A42,1),Tabela5[],2,0)</f>
        <v/>
      </c>
      <c r="C42" s="170" t="inlineStr">
        <is>
          <t>MDF - 15MM</t>
        </is>
      </c>
      <c r="D42" s="170">
        <f>VLOOKUP(TabelaSobras[[#This Row],[Tipo de Chapa/COR]],'PREÇOS MDF'!$A$7:$B$10,2,0)</f>
        <v/>
      </c>
      <c r="E42" s="169" t="n">
        <v>650</v>
      </c>
      <c r="F42" s="169" t="n">
        <v>331</v>
      </c>
      <c r="G42" s="169">
        <f>TabelaSobras[[#This Row],[Comprimento 
Sobras (mm)]] &amp; " X " &amp; F42</f>
        <v/>
      </c>
      <c r="H42" s="170">
        <f>(TabelaSobras[[#This Row],[Comprimento 
Sobras (mm)]]*F42/1000000)</f>
        <v/>
      </c>
      <c r="I42" s="170" t="n">
        <v>312</v>
      </c>
      <c r="J42" s="170">
        <f>IF(TabelaSobras[[#This Row],[Estoque]]&lt;=$U$1,$V$1,$W$1)</f>
        <v/>
      </c>
      <c r="K42" s="170">
        <f>TabelaSobras[[#This Row],[Quantidade de Sobra]]-L42</f>
        <v/>
      </c>
      <c r="L42" s="170">
        <f>TabelaSobras[[#This Row],[Quantidade de Sobra]]-TabelaSobras[[#This Row],[Saída]]-TabelaSobras[[#This Row],[Saída 2]]</f>
        <v/>
      </c>
      <c r="M42" s="170" t="inlineStr">
        <is>
          <t>Nesher</t>
        </is>
      </c>
      <c r="N42" s="170">
        <f>TabelaSobras[[#This Row],[M²
Sobras]]*L42</f>
        <v/>
      </c>
      <c r="O42" s="170" t="n">
        <v>312</v>
      </c>
      <c r="P42" s="170" t="n"/>
      <c r="Q42" s="49" t="inlineStr">
        <is>
          <t>REALEZA PREMIIUM</t>
        </is>
      </c>
      <c r="R42" s="170" t="inlineStr">
        <is>
          <t>Yuri</t>
        </is>
      </c>
      <c r="S42" s="10" t="n">
        <v>46044</v>
      </c>
      <c r="T42" s="12">
        <f>TODAY()-TabelaSobras[[#This Row],[Data do
Registro inicial]]</f>
        <v/>
      </c>
    </row>
    <row r="43" hidden="1">
      <c r="A43" s="170" t="inlineStr">
        <is>
          <t>NESHER REALEZA PREMIUM</t>
        </is>
      </c>
      <c r="B43" s="170">
        <f>VLOOKUP(LEFT(A43,1),Tabela5[],2,0)</f>
        <v/>
      </c>
      <c r="C43" s="170" t="inlineStr">
        <is>
          <t>MDF - 15MM</t>
        </is>
      </c>
      <c r="D43" s="170">
        <f>VLOOKUP(TabelaSobras[[#This Row],[Tipo de Chapa/COR]],'PREÇOS MDF'!$A$7:$B$10,2,0)</f>
        <v/>
      </c>
      <c r="E43" s="169" t="n">
        <v>801</v>
      </c>
      <c r="F43" s="169" t="n">
        <v>331</v>
      </c>
      <c r="G43" s="169">
        <f>TabelaSobras[[#This Row],[Comprimento 
Sobras (mm)]] &amp; " X " &amp; F43</f>
        <v/>
      </c>
      <c r="H43" s="170">
        <f>(TabelaSobras[[#This Row],[Comprimento 
Sobras (mm)]]*F43/1000000)</f>
        <v/>
      </c>
      <c r="I43" s="170" t="n">
        <v>258</v>
      </c>
      <c r="J43" s="170">
        <f>IF(TabelaSobras[[#This Row],[Estoque]]&lt;=$U$1,$V$1,$W$1)</f>
        <v/>
      </c>
      <c r="K43" s="170">
        <f>TabelaSobras[[#This Row],[Quantidade de Sobra]]-L43</f>
        <v/>
      </c>
      <c r="L43" s="170">
        <f>TabelaSobras[[#This Row],[Quantidade de Sobra]]-TabelaSobras[[#This Row],[Saída]]-TabelaSobras[[#This Row],[Saída 2]]</f>
        <v/>
      </c>
      <c r="M43" s="170" t="inlineStr">
        <is>
          <t>Nesher</t>
        </is>
      </c>
      <c r="N43" s="170">
        <f>TabelaSobras[[#This Row],[M²
Sobras]]*L43</f>
        <v/>
      </c>
      <c r="O43" s="170" t="n">
        <v>258</v>
      </c>
      <c r="P43" s="170" t="n"/>
      <c r="Q43" s="49" t="inlineStr">
        <is>
          <t>REALEZA PREMIIUM</t>
        </is>
      </c>
      <c r="R43" s="170" t="inlineStr">
        <is>
          <t>Yuri</t>
        </is>
      </c>
      <c r="S43" s="10" t="n">
        <v>46044</v>
      </c>
      <c r="T43" s="12">
        <f>TODAY()-TabelaSobras[[#This Row],[Data do
Registro inicial]]</f>
        <v/>
      </c>
    </row>
    <row r="44" hidden="1" ht="28.8" customHeight="1">
      <c r="A44" s="8" t="inlineStr">
        <is>
          <t>N2600205 AO N2601101 | N26015</t>
        </is>
      </c>
      <c r="B44" s="170">
        <f>VLOOKUP(LEFT(A44,1),Tabela5[],2,0)</f>
        <v/>
      </c>
      <c r="C44" s="170" t="inlineStr">
        <is>
          <t>MDF - 25MM</t>
        </is>
      </c>
      <c r="D44" s="170">
        <f>VLOOKUP(TabelaSobras[[#This Row],[Tipo de Chapa/COR]],'PREÇOS MDF'!$A$7:$B$10,2,0)</f>
        <v/>
      </c>
      <c r="E44" s="169" t="n">
        <v>1205</v>
      </c>
      <c r="F44" s="169" t="n">
        <v>450</v>
      </c>
      <c r="G44" s="169">
        <f>TabelaSobras[[#This Row],[Comprimento 
Sobras (mm)]] &amp; " X " &amp; F44</f>
        <v/>
      </c>
      <c r="H44" s="170">
        <f>(TabelaSobras[[#This Row],[Comprimento 
Sobras (mm)]]*F44/1000000)</f>
        <v/>
      </c>
      <c r="I44" s="170">
        <f>8+50</f>
        <v/>
      </c>
      <c r="J44" s="170">
        <f>IF(TabelaSobras[[#This Row],[Estoque]]&lt;=$U$1,$V$1,$W$1)</f>
        <v/>
      </c>
      <c r="K44" s="170">
        <f>TabelaSobras[[#This Row],[Quantidade de Sobra]]-L44</f>
        <v/>
      </c>
      <c r="L44" s="170">
        <f>TabelaSobras[[#This Row],[Quantidade de Sobra]]-TabelaSobras[[#This Row],[Saída]]-TabelaSobras[[#This Row],[Saída 2]]</f>
        <v/>
      </c>
      <c r="M44" s="170" t="inlineStr">
        <is>
          <t>Nesher</t>
        </is>
      </c>
      <c r="N44" s="170">
        <f>TabelaSobras[[#This Row],[M²
Sobras]]*L44</f>
        <v/>
      </c>
      <c r="O44" s="170" t="n">
        <v>58</v>
      </c>
      <c r="P44" s="170" t="n"/>
      <c r="Q44" s="91" t="inlineStr">
        <is>
          <t>REALEZA PREMIIUM N26018</t>
        </is>
      </c>
      <c r="R44" s="170" t="inlineStr">
        <is>
          <t>Yuri</t>
        </is>
      </c>
      <c r="S44" s="10" t="n">
        <v>46045</v>
      </c>
      <c r="T44" s="12">
        <f>TODAY()-TabelaSobras[[#This Row],[Data do
Registro inicial]]</f>
        <v/>
      </c>
    </row>
    <row r="45" hidden="1" ht="28.8" customHeight="1">
      <c r="A45" s="8" t="inlineStr">
        <is>
          <t>N2600205 AO N2601101 | N26015</t>
        </is>
      </c>
      <c r="B45" s="170">
        <f>VLOOKUP(LEFT(A45,1),Tabela5[],2,0)</f>
        <v/>
      </c>
      <c r="C45" s="170" t="inlineStr">
        <is>
          <t>MDF - 25MM</t>
        </is>
      </c>
      <c r="D45" s="170">
        <f>VLOOKUP(TabelaSobras[[#This Row],[Tipo de Chapa/COR]],'PREÇOS MDF'!$A$7:$B$10,2,0)</f>
        <v/>
      </c>
      <c r="E45" s="169" t="n">
        <v>805</v>
      </c>
      <c r="F45" s="169" t="n">
        <v>450</v>
      </c>
      <c r="G45" s="169">
        <f>TabelaSobras[[#This Row],[Comprimento 
Sobras (mm)]] &amp; " X " &amp; F45</f>
        <v/>
      </c>
      <c r="H45" s="170">
        <f>(TabelaSobras[[#This Row],[Comprimento 
Sobras (mm)]]*F45/1000000)</f>
        <v/>
      </c>
      <c r="I45" s="170">
        <f>51+3+50</f>
        <v/>
      </c>
      <c r="J45" s="170">
        <f>IF(TabelaSobras[[#This Row],[Estoque]]&lt;=$U$1,$V$1,$W$1)</f>
        <v/>
      </c>
      <c r="K45" s="170">
        <f>TabelaSobras[[#This Row],[Quantidade de Sobra]]-L45</f>
        <v/>
      </c>
      <c r="L45" s="170">
        <f>TabelaSobras[[#This Row],[Quantidade de Sobra]]-TabelaSobras[[#This Row],[Saída]]-TabelaSobras[[#This Row],[Saída 2]]</f>
        <v/>
      </c>
      <c r="M45" s="170" t="inlineStr">
        <is>
          <t>Nesher</t>
        </is>
      </c>
      <c r="N45" s="170">
        <f>TabelaSobras[[#This Row],[M²
Sobras]]*L45</f>
        <v/>
      </c>
      <c r="O45" s="170" t="n">
        <v>104</v>
      </c>
      <c r="P45" s="170" t="n"/>
      <c r="Q45" s="91" t="inlineStr">
        <is>
          <t>REALEZA PREMIIUM N26018</t>
        </is>
      </c>
      <c r="R45" s="170" t="inlineStr">
        <is>
          <t>Yuri</t>
        </is>
      </c>
      <c r="S45" s="10" t="n">
        <v>46045</v>
      </c>
      <c r="T45" s="12">
        <f>TODAY()-TabelaSobras[[#This Row],[Data do
Registro inicial]]</f>
        <v/>
      </c>
    </row>
    <row r="46" hidden="1" ht="28.8" customHeight="1">
      <c r="A46" s="8" t="inlineStr">
        <is>
          <t>N2600205 AO N2601101 | N26015</t>
        </is>
      </c>
      <c r="B46" s="170">
        <f>VLOOKUP(LEFT(A46,1),Tabela5[],2,0)</f>
        <v/>
      </c>
      <c r="C46" s="170" t="inlineStr">
        <is>
          <t>MDF - 25MM</t>
        </is>
      </c>
      <c r="D46" s="170">
        <f>VLOOKUP(TabelaSobras[[#This Row],[Tipo de Chapa/COR]],'PREÇOS MDF'!$A$7:$B$10,2,0)</f>
        <v/>
      </c>
      <c r="E46" s="169" t="n">
        <v>655</v>
      </c>
      <c r="F46" s="169" t="n">
        <v>450</v>
      </c>
      <c r="G46" s="169">
        <f>TabelaSobras[[#This Row],[Comprimento 
Sobras (mm)]] &amp; " X " &amp; F46</f>
        <v/>
      </c>
      <c r="H46" s="170">
        <f>(TabelaSobras[[#This Row],[Comprimento 
Sobras (mm)]]*F46/1000000)</f>
        <v/>
      </c>
      <c r="I46" s="170">
        <f>50+4+55</f>
        <v/>
      </c>
      <c r="J46" s="170">
        <f>IF(TabelaSobras[[#This Row],[Estoque]]&lt;=$U$1,$V$1,$W$1)</f>
        <v/>
      </c>
      <c r="K46" s="170">
        <f>TabelaSobras[[#This Row],[Quantidade de Sobra]]-L46</f>
        <v/>
      </c>
      <c r="L46" s="170">
        <f>TabelaSobras[[#This Row],[Quantidade de Sobra]]-TabelaSobras[[#This Row],[Saída]]-TabelaSobras[[#This Row],[Saída 2]]</f>
        <v/>
      </c>
      <c r="M46" s="170" t="inlineStr">
        <is>
          <t>Nesher</t>
        </is>
      </c>
      <c r="N46" s="170">
        <f>TabelaSobras[[#This Row],[M²
Sobras]]*L46</f>
        <v/>
      </c>
      <c r="O46" s="170" t="n">
        <v>109</v>
      </c>
      <c r="P46" s="170" t="n"/>
      <c r="Q46" s="49" t="inlineStr">
        <is>
          <t>REALEZA PREMIIUM</t>
        </is>
      </c>
      <c r="R46" s="170" t="inlineStr">
        <is>
          <t>Yuri</t>
        </is>
      </c>
      <c r="S46" s="10" t="n">
        <v>46045</v>
      </c>
      <c r="T46" s="12">
        <f>TODAY()-TabelaSobras[[#This Row],[Data do
Registro inicial]]</f>
        <v/>
      </c>
    </row>
    <row r="47" hidden="1">
      <c r="A47" s="170" t="inlineStr">
        <is>
          <t>N2600205 AO N2601101</t>
        </is>
      </c>
      <c r="B47" s="170">
        <f>VLOOKUP(LEFT(A47,1),Tabela5[],2,0)</f>
        <v/>
      </c>
      <c r="C47" s="170" t="inlineStr">
        <is>
          <t>MDF - 15MM</t>
        </is>
      </c>
      <c r="D47" s="170">
        <f>VLOOKUP(TabelaSobras[[#This Row],[Tipo de Chapa/COR]],'PREÇOS MDF'!$A$7:$B$10,2,0)</f>
        <v/>
      </c>
      <c r="E47" s="169" t="n">
        <v>400</v>
      </c>
      <c r="F47" s="169" t="n">
        <v>263</v>
      </c>
      <c r="G47" s="169">
        <f>TabelaSobras[[#This Row],[Comprimento 
Sobras (mm)]] &amp; " X " &amp; F47</f>
        <v/>
      </c>
      <c r="H47" s="170">
        <f>(TabelaSobras[[#This Row],[Comprimento 
Sobras (mm)]]*F47/1000000)</f>
        <v/>
      </c>
      <c r="I47" s="170" t="n">
        <v>376</v>
      </c>
      <c r="J47" s="170">
        <f>IF(TabelaSobras[[#This Row],[Estoque]]&lt;=$U$1,$V$1,$W$1)</f>
        <v/>
      </c>
      <c r="K47" s="170">
        <f>TabelaSobras[[#This Row],[Quantidade de Sobra]]-L47</f>
        <v/>
      </c>
      <c r="L47" s="170">
        <f>TabelaSobras[[#This Row],[Quantidade de Sobra]]-TabelaSobras[[#This Row],[Saída]]-TabelaSobras[[#This Row],[Saída 2]]</f>
        <v/>
      </c>
      <c r="M47" s="170" t="inlineStr">
        <is>
          <t>Nesher</t>
        </is>
      </c>
      <c r="N47" s="170">
        <f>TabelaSobras[[#This Row],[M²
Sobras]]*L47</f>
        <v/>
      </c>
      <c r="O47" s="170" t="n">
        <v>376</v>
      </c>
      <c r="P47" s="170" t="n"/>
      <c r="Q47" s="170" t="inlineStr">
        <is>
          <t>N2601302</t>
        </is>
      </c>
      <c r="R47" s="170" t="inlineStr">
        <is>
          <t>Yuri</t>
        </is>
      </c>
      <c r="S47" s="10" t="n">
        <v>46048</v>
      </c>
      <c r="T47" s="12">
        <f>TODAY()-TabelaSobras[[#This Row],[Data do
Registro inicial]]</f>
        <v/>
      </c>
    </row>
    <row r="48" hidden="1">
      <c r="A48" s="170" t="inlineStr">
        <is>
          <t>N26018</t>
        </is>
      </c>
      <c r="B48" s="170">
        <f>VLOOKUP(LEFT(A48,1),Tabela5[],2,0)</f>
        <v/>
      </c>
      <c r="C48" s="170" t="inlineStr">
        <is>
          <t>MDF - 15MM</t>
        </is>
      </c>
      <c r="D48" s="170">
        <f>VLOOKUP(TabelaSobras[[#This Row],[Tipo de Chapa/COR]],'PREÇOS MDF'!$A$7:$B$10,2,0)</f>
        <v/>
      </c>
      <c r="E48" s="169" t="n">
        <v>400</v>
      </c>
      <c r="F48" s="169" t="n">
        <v>263</v>
      </c>
      <c r="G48" s="169">
        <f>TabelaSobras[[#This Row],[Comprimento 
Sobras (mm)]] &amp; " X " &amp; F48</f>
        <v/>
      </c>
      <c r="H48" s="170">
        <f>(TabelaSobras[[#This Row],[Comprimento 
Sobras (mm)]]*F48/1000000)</f>
        <v/>
      </c>
      <c r="I48" s="170" t="n">
        <v>445</v>
      </c>
      <c r="J48" s="170">
        <f>IF(TabelaSobras[[#This Row],[Estoque]]&lt;=$U$1,$V$1,$W$1)</f>
        <v/>
      </c>
      <c r="K48" s="170">
        <f>TabelaSobras[[#This Row],[Quantidade de Sobra]]-L48</f>
        <v/>
      </c>
      <c r="L48" s="170">
        <f>TabelaSobras[[#This Row],[Quantidade de Sobra]]-TabelaSobras[[#This Row],[Saída]]-TabelaSobras[[#This Row],[Saída 2]]</f>
        <v/>
      </c>
      <c r="M48" s="170" t="inlineStr">
        <is>
          <t>Nesher</t>
        </is>
      </c>
      <c r="N48" s="170">
        <f>TabelaSobras[[#This Row],[M²
Sobras]]*L48</f>
        <v/>
      </c>
      <c r="O48" s="170" t="n">
        <v>445</v>
      </c>
      <c r="P48" s="170" t="n"/>
      <c r="Q48" s="170" t="n"/>
      <c r="R48" s="170" t="inlineStr">
        <is>
          <t>Yuri</t>
        </is>
      </c>
      <c r="S48" s="10" t="n">
        <v>46083</v>
      </c>
      <c r="T48" s="12">
        <f>TODAY()-TabelaSobras[[#This Row],[Data do
Registro inicial]]</f>
        <v/>
      </c>
    </row>
    <row r="49" hidden="1">
      <c r="A49" s="170" t="inlineStr">
        <is>
          <t>N26010|N2601903-04</t>
        </is>
      </c>
      <c r="B49" s="170">
        <f>VLOOKUP(LEFT(A49,1),Tabela5[],2,0)</f>
        <v/>
      </c>
      <c r="C49" s="170" t="inlineStr">
        <is>
          <t>MDF - 15MM</t>
        </is>
      </c>
      <c r="D49" s="170">
        <f>VLOOKUP(TabelaSobras[[#This Row],[Tipo de Chapa/COR]],'PREÇOS MDF'!$A$7:$B$10,2,0)</f>
        <v/>
      </c>
      <c r="E49" s="169" t="n">
        <v>400</v>
      </c>
      <c r="F49" s="169" t="n">
        <v>263</v>
      </c>
      <c r="G49" s="169">
        <f>TabelaSobras[[#This Row],[Comprimento 
Sobras (mm)]] &amp; " X " &amp; F49</f>
        <v/>
      </c>
      <c r="H49" s="170">
        <f>(TabelaSobras[[#This Row],[Comprimento 
Sobras (mm)]]*F49/1000000)</f>
        <v/>
      </c>
      <c r="I49" s="170">
        <f>180+32+147</f>
        <v/>
      </c>
      <c r="J49" s="170">
        <f>IF(TabelaSobras[[#This Row],[Estoque]]&lt;=$U$1,$V$1,$W$1)</f>
        <v/>
      </c>
      <c r="K49" s="170">
        <f>TabelaSobras[[#This Row],[Quantidade de Sobra]]-L49</f>
        <v/>
      </c>
      <c r="L49" s="170">
        <f>TabelaSobras[[#This Row],[Quantidade de Sobra]]-TabelaSobras[[#This Row],[Saída]]-TabelaSobras[[#This Row],[Saída 2]]</f>
        <v/>
      </c>
      <c r="M49" s="170" t="inlineStr">
        <is>
          <t>Nesher</t>
        </is>
      </c>
      <c r="N49" s="170">
        <f>TabelaSobras[[#This Row],[M²
Sobras]]*L49</f>
        <v/>
      </c>
      <c r="O49" s="170" t="n">
        <v>359</v>
      </c>
      <c r="P49" s="170" t="n"/>
      <c r="Q49" s="170" t="n"/>
      <c r="R49" s="170" t="inlineStr">
        <is>
          <t>Yuri</t>
        </is>
      </c>
      <c r="S49" s="10" t="n">
        <v>46076</v>
      </c>
      <c r="T49" s="12">
        <f>TODAY()-TabelaSobras[[#This Row],[Data do
Registro inicial]]</f>
        <v/>
      </c>
    </row>
    <row r="50" hidden="1">
      <c r="A50" s="170" t="inlineStr">
        <is>
          <t>N26010|N2601903-04</t>
        </is>
      </c>
      <c r="B50" s="170">
        <f>VLOOKUP(LEFT(A50,1),Tabela5[],2,0)</f>
        <v/>
      </c>
      <c r="C50" s="170" t="inlineStr">
        <is>
          <t>MDF - 15MM</t>
        </is>
      </c>
      <c r="D50" s="170">
        <f>VLOOKUP(TabelaSobras[[#This Row],[Tipo de Chapa/COR]],'PREÇOS MDF'!$A$7:$B$10,2,0)</f>
        <v/>
      </c>
      <c r="E50" s="169" t="n">
        <v>400</v>
      </c>
      <c r="F50" s="169" t="n">
        <v>92</v>
      </c>
      <c r="G50" s="169">
        <f>TabelaSobras[[#This Row],[Comprimento 
Sobras (mm)]] &amp; " X " &amp; F50</f>
        <v/>
      </c>
      <c r="H50" s="170">
        <f>(TabelaSobras[[#This Row],[Comprimento 
Sobras (mm)]]*F50/1000000)</f>
        <v/>
      </c>
      <c r="I50" s="170">
        <f>289+638+378</f>
        <v/>
      </c>
      <c r="J50" s="170">
        <f>IF(TabelaSobras[[#This Row],[Estoque]]&lt;=$U$1,$V$1,$W$1)</f>
        <v/>
      </c>
      <c r="K50" s="170">
        <f>TabelaSobras[[#This Row],[Quantidade de Sobra]]-L50</f>
        <v/>
      </c>
      <c r="L50" s="170">
        <f>TabelaSobras[[#This Row],[Quantidade de Sobra]]-TabelaSobras[[#This Row],[Saída]]-TabelaSobras[[#This Row],[Saída 2]]</f>
        <v/>
      </c>
      <c r="M50" s="170" t="inlineStr">
        <is>
          <t>Nesher</t>
        </is>
      </c>
      <c r="N50" s="170">
        <f>TabelaSobras[[#This Row],[M²
Sobras]]*L50</f>
        <v/>
      </c>
      <c r="O50" s="170" t="n">
        <v>907</v>
      </c>
      <c r="P50" s="170" t="n">
        <v>398</v>
      </c>
      <c r="Q50" s="170" t="inlineStr">
        <is>
          <t>N2601702|N2601704</t>
        </is>
      </c>
      <c r="R50" s="170" t="inlineStr">
        <is>
          <t>Yuri</t>
        </is>
      </c>
      <c r="S50" s="10" t="n">
        <v>46076</v>
      </c>
      <c r="T50" s="12">
        <f>TODAY()-TabelaSobras[[#This Row],[Data do
Registro inicial]]</f>
        <v/>
      </c>
    </row>
    <row r="51" hidden="1">
      <c r="A51" s="170" t="inlineStr">
        <is>
          <t>N-PORTAS DE VIDRO</t>
        </is>
      </c>
      <c r="B51" s="170">
        <f>VLOOKUP(LEFT(A51,1),Tabela5[],2,0)</f>
        <v/>
      </c>
      <c r="C51" s="170" t="inlineStr">
        <is>
          <t>MDF - 15MM</t>
        </is>
      </c>
      <c r="D51" s="170">
        <f>VLOOKUP(TabelaSobras[[#This Row],[Tipo de Chapa/COR]],'PREÇOS MDF'!$A$7:$B$10,2,0)</f>
        <v/>
      </c>
      <c r="E51" s="169" t="n">
        <v>1060</v>
      </c>
      <c r="F51" s="169" t="n">
        <v>280</v>
      </c>
      <c r="G51" s="169">
        <f>TabelaSobras[[#This Row],[Comprimento 
Sobras (mm)]] &amp; " X " &amp; F51</f>
        <v/>
      </c>
      <c r="H51" s="170">
        <f>(TabelaSobras[[#This Row],[Comprimento 
Sobras (mm)]]*F51/1000000)</f>
        <v/>
      </c>
      <c r="I51" s="170" t="n">
        <v>115</v>
      </c>
      <c r="J51" s="170">
        <f>IF(TabelaSobras[[#This Row],[Estoque]]&lt;=$U$1,$V$1,$W$1)</f>
        <v/>
      </c>
      <c r="K51" s="170">
        <f>TabelaSobras[[#This Row],[Quantidade de Sobra]]-L51</f>
        <v/>
      </c>
      <c r="L51" s="170">
        <f>TabelaSobras[[#This Row],[Quantidade de Sobra]]-TabelaSobras[[#This Row],[Saída]]-TabelaSobras[[#This Row],[Saída 2]]</f>
        <v/>
      </c>
      <c r="M51" s="170" t="inlineStr">
        <is>
          <t>Nesher</t>
        </is>
      </c>
      <c r="N51" s="170">
        <f>TabelaSobras[[#This Row],[M²
Sobras]]*L51</f>
        <v/>
      </c>
      <c r="O51" s="170" t="n">
        <v>24</v>
      </c>
      <c r="P51" s="170" t="n">
        <v>91</v>
      </c>
      <c r="Q51" s="170" t="inlineStr">
        <is>
          <t>N26018 - KIT NOBR</t>
        </is>
      </c>
      <c r="R51" s="170" t="inlineStr">
        <is>
          <t>Yuri</t>
        </is>
      </c>
      <c r="S51" s="10" t="n">
        <v>46076</v>
      </c>
      <c r="T51" s="12">
        <f>TODAY()-TabelaSobras[[#This Row],[Data do
Registro inicial]]</f>
        <v/>
      </c>
    </row>
    <row r="52" hidden="1">
      <c r="A52" s="170" t="inlineStr">
        <is>
          <t>N-PORTAS DE VIDRO</t>
        </is>
      </c>
      <c r="B52" s="170">
        <f>VLOOKUP(LEFT(A52,1),Tabela5[],2,0)</f>
        <v/>
      </c>
      <c r="C52" s="170" t="inlineStr">
        <is>
          <t>MDF - 15MM</t>
        </is>
      </c>
      <c r="D52" s="170">
        <f>VLOOKUP(TabelaSobras[[#This Row],[Tipo de Chapa/COR]],'PREÇOS MDF'!$A$7:$B$10,2,0)</f>
        <v/>
      </c>
      <c r="E52" s="169" t="n">
        <v>390</v>
      </c>
      <c r="F52" s="169" t="n">
        <v>440</v>
      </c>
      <c r="G52" s="169">
        <f>TabelaSobras[[#This Row],[Comprimento 
Sobras (mm)]] &amp; " X " &amp; F52</f>
        <v/>
      </c>
      <c r="H52" s="170">
        <f>(TabelaSobras[[#This Row],[Comprimento 
Sobras (mm)]]*F52/1000000)</f>
        <v/>
      </c>
      <c r="I52" s="170" t="n">
        <v>158</v>
      </c>
      <c r="J52" s="170">
        <f>IF(TabelaSobras[[#This Row],[Estoque]]&lt;=$U$1,$V$1,$W$1)</f>
        <v/>
      </c>
      <c r="K52" s="170">
        <f>TabelaSobras[[#This Row],[Quantidade de Sobra]]-L52</f>
        <v/>
      </c>
      <c r="L52" s="170">
        <f>TabelaSobras[[#This Row],[Quantidade de Sobra]]-TabelaSobras[[#This Row],[Saída]]-TabelaSobras[[#This Row],[Saída 2]]</f>
        <v/>
      </c>
      <c r="M52" s="170" t="inlineStr">
        <is>
          <t>Nesher</t>
        </is>
      </c>
      <c r="N52" s="170">
        <f>TabelaSobras[[#This Row],[M²
Sobras]]*L52</f>
        <v/>
      </c>
      <c r="O52" s="170" t="n">
        <v>158</v>
      </c>
      <c r="P52" s="170" t="n"/>
      <c r="Q52" s="170" t="inlineStr">
        <is>
          <t>N26018 - KIT NOBR</t>
        </is>
      </c>
      <c r="R52" s="170" t="inlineStr">
        <is>
          <t>Yuri</t>
        </is>
      </c>
      <c r="S52" s="10" t="n">
        <v>46076</v>
      </c>
      <c r="T52" s="12">
        <f>TODAY()-TabelaSobras[[#This Row],[Data do
Registro inicial]]</f>
        <v/>
      </c>
    </row>
    <row r="53" hidden="1" ht="28.8" customHeight="1">
      <c r="A53" s="8" t="inlineStr">
        <is>
          <t>N-SOBRAS NATURE GAVETINHA</t>
        </is>
      </c>
      <c r="B53" s="170">
        <f>VLOOKUP(LEFT(A53,1),Tabela5[],2,0)</f>
        <v/>
      </c>
      <c r="C53" s="170" t="inlineStr">
        <is>
          <t>MDF - 15MM</t>
        </is>
      </c>
      <c r="D53" s="170">
        <f>VLOOKUP(TabelaSobras[[#This Row],[Tipo de Chapa/COR]],'PREÇOS MDF'!$A$7:$B$10,2,0)</f>
        <v/>
      </c>
      <c r="E53" s="169" t="n">
        <v>400</v>
      </c>
      <c r="F53" s="169" t="n">
        <v>92</v>
      </c>
      <c r="G53" s="169">
        <f>TabelaSobras[[#This Row],[Comprimento 
Sobras (mm)]] &amp; " X " &amp; F53</f>
        <v/>
      </c>
      <c r="H53" s="170">
        <f>(TabelaSobras[[#This Row],[Comprimento 
Sobras (mm)]]*F53/1000000)</f>
        <v/>
      </c>
      <c r="I53" s="170" t="n">
        <v>610</v>
      </c>
      <c r="J53" s="170">
        <f>IF(TabelaSobras[[#This Row],[Estoque]]&lt;=$U$1,$V$1,$W$1)</f>
        <v/>
      </c>
      <c r="K53" s="170">
        <f>TabelaSobras[[#This Row],[Quantidade de Sobra]]-L53</f>
        <v/>
      </c>
      <c r="L53" s="170">
        <f>TabelaSobras[[#This Row],[Quantidade de Sobra]]-TabelaSobras[[#This Row],[Saída]]-TabelaSobras[[#This Row],[Saída 2]]</f>
        <v/>
      </c>
      <c r="M53" s="170" t="inlineStr">
        <is>
          <t>Nesher</t>
        </is>
      </c>
      <c r="N53" s="170">
        <f>TabelaSobras[[#This Row],[M²
Sobras]]*L53</f>
        <v/>
      </c>
      <c r="O53" s="170" t="n">
        <v>610</v>
      </c>
      <c r="P53" s="170" t="n"/>
      <c r="Q53" s="170" t="inlineStr">
        <is>
          <t>N2601702|N2601704</t>
        </is>
      </c>
      <c r="R53" s="170" t="inlineStr">
        <is>
          <t>Yuri</t>
        </is>
      </c>
      <c r="S53" s="10" t="n">
        <v>46076</v>
      </c>
      <c r="T53" s="12">
        <f>TODAY()-TabelaSobras[[#This Row],[Data do
Registro inicial]]</f>
        <v/>
      </c>
    </row>
    <row r="54" hidden="1">
      <c r="A54" s="170" t="inlineStr">
        <is>
          <t>N26004 - PEÇA P/PORTA</t>
        </is>
      </c>
      <c r="B54" s="170">
        <f>VLOOKUP(LEFT(A54,1),Tabela5[],2,0)</f>
        <v/>
      </c>
      <c r="C54" s="170" t="inlineStr">
        <is>
          <t>MDF - 15MM</t>
        </is>
      </c>
      <c r="D54" s="170">
        <f>VLOOKUP(TabelaSobras[[#This Row],[Tipo de Chapa/COR]],'PREÇOS MDF'!$A$7:$B$10,2,0)</f>
        <v/>
      </c>
      <c r="E54" s="169" t="n">
        <v>400</v>
      </c>
      <c r="F54" s="169" t="n">
        <v>263</v>
      </c>
      <c r="G54" s="169">
        <f>TabelaSobras[[#This Row],[Comprimento 
Sobras (mm)]] &amp; " X " &amp; F54</f>
        <v/>
      </c>
      <c r="H54" s="170">
        <f>(TabelaSobras[[#This Row],[Comprimento 
Sobras (mm)]]*F54/1000000)</f>
        <v/>
      </c>
      <c r="I54" s="170">
        <f>175+189</f>
        <v/>
      </c>
      <c r="J54" s="170">
        <f>IF(TabelaSobras[[#This Row],[Estoque]]&lt;=$U$1,$V$1,$W$1)</f>
        <v/>
      </c>
      <c r="K54" s="170">
        <f>TabelaSobras[[#This Row],[Quantidade de Sobra]]-L54</f>
        <v/>
      </c>
      <c r="L54" s="170">
        <f>TabelaSobras[[#This Row],[Quantidade de Sobra]]-TabelaSobras[[#This Row],[Saída]]-TabelaSobras[[#This Row],[Saída 2]]</f>
        <v/>
      </c>
      <c r="M54" s="170" t="inlineStr">
        <is>
          <t>Nesher</t>
        </is>
      </c>
      <c r="N54" s="170">
        <f>TabelaSobras[[#This Row],[M²
Sobras]]*L54</f>
        <v/>
      </c>
      <c r="O54" s="170" t="n">
        <v>175</v>
      </c>
      <c r="P54" s="170" t="n">
        <v>189</v>
      </c>
      <c r="Q54" s="170" t="inlineStr">
        <is>
          <t>N2601302 | N2601601</t>
        </is>
      </c>
      <c r="R54" s="170" t="inlineStr">
        <is>
          <t>Yuri</t>
        </is>
      </c>
      <c r="S54" s="10" t="n">
        <v>46050</v>
      </c>
      <c r="T54" s="12">
        <f>TODAY()-TabelaSobras[[#This Row],[Data do
Registro inicial]]</f>
        <v/>
      </c>
    </row>
    <row r="55" hidden="1" ht="72" customHeight="1">
      <c r="A55" s="8" t="inlineStr">
        <is>
          <t>V2521801 | V2521901 | V2522001 | V2522101 | V2522201 | V2600101 | V2600201 | V2600601 (TAMPO 120)</t>
        </is>
      </c>
      <c r="B55" s="170">
        <f>VLOOKUP(LEFT(A55,1),Tabela5[],2,0)</f>
        <v/>
      </c>
      <c r="C55" s="170" t="inlineStr">
        <is>
          <t>MDF - 25MM</t>
        </is>
      </c>
      <c r="D55" s="170">
        <f>VLOOKUP(TabelaSobras[[#This Row],[Tipo de Chapa/COR]],'PREÇOS MDF'!$A$7:$B$10,2,0)</f>
        <v/>
      </c>
      <c r="E55" s="169" t="n">
        <v>1202</v>
      </c>
      <c r="F55" s="169" t="n">
        <v>902</v>
      </c>
      <c r="G55" s="169">
        <f>TabelaSobras[[#This Row],[Comprimento 
Sobras (mm)]] &amp; " X " &amp; F55</f>
        <v/>
      </c>
      <c r="H55" s="170">
        <f>(TabelaSobras[[#This Row],[Comprimento 
Sobras (mm)]]*F55/1000000)</f>
        <v/>
      </c>
      <c r="I55" s="170" t="n">
        <v>18</v>
      </c>
      <c r="J55" s="170">
        <f>IF(TabelaSobras[[#This Row],[Estoque]]&lt;=$U$1,$V$1,$W$1)</f>
        <v/>
      </c>
      <c r="K55" s="170">
        <f>TabelaSobras[[#This Row],[Quantidade de Sobra]]-L55</f>
        <v/>
      </c>
      <c r="L55" s="170">
        <f>TabelaSobras[[#This Row],[Quantidade de Sobra]]-TabelaSobras[[#This Row],[Saída]]-TabelaSobras[[#This Row],[Saída 2]]</f>
        <v/>
      </c>
      <c r="M55" s="170" t="inlineStr">
        <is>
          <t>Líder</t>
        </is>
      </c>
      <c r="N55" s="170">
        <f>TabelaSobras[[#This Row],[M²
Sobras]]*L55</f>
        <v/>
      </c>
      <c r="O55" s="170" t="n">
        <v>18</v>
      </c>
      <c r="P55" s="170" t="n"/>
      <c r="Q55" s="170" t="inlineStr">
        <is>
          <t>V2603401 AO V2605201</t>
        </is>
      </c>
      <c r="R55" s="170" t="inlineStr">
        <is>
          <t>Yuri</t>
        </is>
      </c>
      <c r="S55" s="10" t="n">
        <v>46048</v>
      </c>
      <c r="T55" s="12">
        <f>TODAY()-TabelaSobras[[#This Row],[Data do
Registro inicial]]</f>
        <v/>
      </c>
    </row>
    <row r="56" hidden="1">
      <c r="A56" s="170" t="inlineStr">
        <is>
          <t>L</t>
        </is>
      </c>
      <c r="B56" s="170">
        <f>VLOOKUP(LEFT(A56,1),Tabela5[],2,0)</f>
        <v/>
      </c>
      <c r="C56" s="170" t="inlineStr">
        <is>
          <t>MDF - 15MM</t>
        </is>
      </c>
      <c r="D56" s="170">
        <f>VLOOKUP(TabelaSobras[[#This Row],[Tipo de Chapa/COR]],'PREÇOS MDF'!$A$7:$B$10,2,0)</f>
        <v/>
      </c>
      <c r="G56" s="169">
        <f>TabelaSobras[[#This Row],[Comprimento 
Sobras (mm)]] &amp; " X " &amp; F56</f>
        <v/>
      </c>
      <c r="H56" s="170">
        <f>(TabelaSobras[[#This Row],[Comprimento 
Sobras (mm)]]*F56/1000000)</f>
        <v/>
      </c>
      <c r="J56" s="170">
        <f>IF(TabelaSobras[[#This Row],[Estoque]]&lt;=$U$1,$V$1,$W$1)</f>
        <v/>
      </c>
      <c r="K56" s="170">
        <f>TabelaSobras[[#This Row],[Quantidade de Sobra]]-L56</f>
        <v/>
      </c>
      <c r="L56" s="170">
        <f>TabelaSobras[[#This Row],[Quantidade de Sobra]]-TabelaSobras[[#This Row],[Saída]]-TabelaSobras[[#This Row],[Saída 2]]</f>
        <v/>
      </c>
      <c r="M56" s="170" t="n"/>
      <c r="N56" s="170">
        <f>TabelaSobras[[#This Row],[M²
Sobras]]*L56</f>
        <v/>
      </c>
      <c r="O56" s="170" t="n"/>
      <c r="P56" s="170" t="n"/>
      <c r="Q56" s="170" t="n"/>
      <c r="R56" s="170" t="n"/>
      <c r="S56" s="10" t="n"/>
      <c r="T56" s="12">
        <f>TODAY()-TabelaSobras[[#This Row],[Data do
Registro inicial]]</f>
        <v/>
      </c>
    </row>
    <row r="57" hidden="1">
      <c r="A57" s="49" t="inlineStr">
        <is>
          <t>N-EXPOSITOR SP-2026</t>
        </is>
      </c>
      <c r="B57" s="49">
        <f>VLOOKUP(LEFT(A57,1),Tabela5[],2,0)</f>
        <v/>
      </c>
      <c r="C57" s="49" t="inlineStr">
        <is>
          <t>MDF - 15MM</t>
        </is>
      </c>
      <c r="D57" s="170">
        <f>VLOOKUP(TabelaSobras[[#This Row],[Tipo de Chapa/COR]],'PREÇOS MDF'!$A$7:$B$10,2,0)</f>
        <v/>
      </c>
      <c r="E57" s="50" t="n">
        <v>400</v>
      </c>
      <c r="F57" s="50" t="n">
        <v>263</v>
      </c>
      <c r="G57" s="50">
        <f>TabelaSobras[[#This Row],[Comprimento 
Sobras (mm)]] &amp; " X " &amp; F57</f>
        <v/>
      </c>
      <c r="H57" s="49">
        <f>(TabelaSobras[[#This Row],[Comprimento 
Sobras (mm)]]*F57/1000000)</f>
        <v/>
      </c>
      <c r="I57" s="49" t="n">
        <v>366</v>
      </c>
      <c r="J57" s="49">
        <f>IF(TabelaSobras[[#This Row],[Estoque]]&lt;=$U$1,$V$1,$W$1)</f>
        <v/>
      </c>
      <c r="K57" s="170">
        <f>TabelaSobras[[#This Row],[Quantidade de Sobra]]-L57</f>
        <v/>
      </c>
      <c r="L57" s="49">
        <f>TabelaSobras[[#This Row],[Quantidade de Sobra]]-TabelaSobras[[#This Row],[Saída]]-TabelaSobras[[#This Row],[Saída 2]]</f>
        <v/>
      </c>
      <c r="M57" s="49" t="inlineStr">
        <is>
          <t>Nesher</t>
        </is>
      </c>
      <c r="N57" s="170">
        <f>TabelaSobras[[#This Row],[M²
Sobras]]*L57</f>
        <v/>
      </c>
      <c r="O57" s="49" t="n">
        <v>366</v>
      </c>
      <c r="P57" s="49" t="n"/>
      <c r="Q57" s="49" t="inlineStr">
        <is>
          <t>CORTADO</t>
        </is>
      </c>
      <c r="R57" s="49" t="inlineStr">
        <is>
          <t>Yuri</t>
        </is>
      </c>
      <c r="S57" s="104" t="n">
        <v>46071</v>
      </c>
      <c r="T57" s="105">
        <f>TODAY()-TabelaSobras[[#This Row],[Data do
Registro inicial]]</f>
        <v/>
      </c>
    </row>
    <row r="58" hidden="1">
      <c r="A58" s="49" t="inlineStr">
        <is>
          <t>N-EXPOSITOR SP-2026</t>
        </is>
      </c>
      <c r="B58" s="49">
        <f>VLOOKUP(LEFT(A58,1),Tabela5[],2,0)</f>
        <v/>
      </c>
      <c r="C58" s="49" t="inlineStr">
        <is>
          <t>MDF - 15MM</t>
        </is>
      </c>
      <c r="D58" s="170">
        <f>VLOOKUP(TabelaSobras[[#This Row],[Tipo de Chapa/COR]],'PREÇOS MDF'!$A$7:$B$10,2,0)</f>
        <v/>
      </c>
      <c r="E58" s="50" t="n">
        <v>2200</v>
      </c>
      <c r="F58" s="50" t="n">
        <v>70</v>
      </c>
      <c r="G58" s="50">
        <f>TabelaSobras[[#This Row],[Comprimento 
Sobras (mm)]] &amp; " X " &amp; F58</f>
        <v/>
      </c>
      <c r="H58" s="49">
        <f>(TabelaSobras[[#This Row],[Comprimento 
Sobras (mm)]]*F58/1000000)</f>
        <v/>
      </c>
      <c r="I58" s="49" t="n">
        <v>172</v>
      </c>
      <c r="J58" s="49">
        <f>IF(TabelaSobras[[#This Row],[Estoque]]&lt;=$U$1,$V$1,$W$1)</f>
        <v/>
      </c>
      <c r="K58" s="170">
        <f>TabelaSobras[[#This Row],[Quantidade de Sobra]]-L58</f>
        <v/>
      </c>
      <c r="L58" s="49">
        <f>TabelaSobras[[#This Row],[Quantidade de Sobra]]-TabelaSobras[[#This Row],[Saída]]-TabelaSobras[[#This Row],[Saída 2]]</f>
        <v/>
      </c>
      <c r="M58" s="49" t="inlineStr">
        <is>
          <t>Nesher</t>
        </is>
      </c>
      <c r="N58" s="170">
        <f>TabelaSobras[[#This Row],[M²
Sobras]]*L58</f>
        <v/>
      </c>
      <c r="O58" s="49" t="n">
        <v>172</v>
      </c>
      <c r="P58" s="49" t="n"/>
      <c r="Q58" s="49" t="inlineStr">
        <is>
          <t>CORTADO | N26020</t>
        </is>
      </c>
      <c r="R58" s="49" t="inlineStr">
        <is>
          <t>Yuri</t>
        </is>
      </c>
      <c r="S58" s="104" t="n">
        <v>46071</v>
      </c>
      <c r="T58" s="105">
        <f>TODAY()-TabelaSobras[[#This Row],[Data do
Registro inicial]]</f>
        <v/>
      </c>
    </row>
    <row r="59" hidden="1">
      <c r="A59" s="49" t="inlineStr">
        <is>
          <t>N-PISO SP-2026</t>
        </is>
      </c>
      <c r="B59" s="49">
        <f>VLOOKUP(LEFT(A59,1),Tabela5[],2,0)</f>
        <v/>
      </c>
      <c r="C59" s="49" t="inlineStr">
        <is>
          <t>MDF - 15MM</t>
        </is>
      </c>
      <c r="D59" s="170">
        <f>VLOOKUP(TabelaSobras[[#This Row],[Tipo de Chapa/COR]],'PREÇOS MDF'!$A$7:$B$10,2,0)</f>
        <v/>
      </c>
      <c r="E59" s="50" t="n">
        <v>400</v>
      </c>
      <c r="F59" s="50" t="n">
        <v>263</v>
      </c>
      <c r="G59" s="50">
        <f>TabelaSobras[[#This Row],[Comprimento 
Sobras (mm)]] &amp; " X " &amp; F59</f>
        <v/>
      </c>
      <c r="H59" s="49">
        <f>(TabelaSobras[[#This Row],[Comprimento 
Sobras (mm)]]*F59/1000000)</f>
        <v/>
      </c>
      <c r="I59" s="49" t="n">
        <v>115</v>
      </c>
      <c r="J59" s="49">
        <f>IF(TabelaSobras[[#This Row],[Estoque]]&lt;=$U$1,$V$1,$W$1)</f>
        <v/>
      </c>
      <c r="K59" s="170">
        <f>TabelaSobras[[#This Row],[Quantidade de Sobra]]-L59</f>
        <v/>
      </c>
      <c r="L59" s="49">
        <f>TabelaSobras[[#This Row],[Quantidade de Sobra]]-TabelaSobras[[#This Row],[Saída]]-TabelaSobras[[#This Row],[Saída 2]]</f>
        <v/>
      </c>
      <c r="M59" s="49" t="inlineStr">
        <is>
          <t>Nesher</t>
        </is>
      </c>
      <c r="N59" s="170">
        <f>TabelaSobras[[#This Row],[M²
Sobras]]*L59</f>
        <v/>
      </c>
      <c r="O59" s="49" t="n">
        <v>115</v>
      </c>
      <c r="P59" s="49" t="n"/>
      <c r="Q59" s="49" t="inlineStr">
        <is>
          <t>CORTADO</t>
        </is>
      </c>
      <c r="R59" s="49" t="inlineStr">
        <is>
          <t>Yuri</t>
        </is>
      </c>
      <c r="S59" s="104" t="n">
        <v>46071</v>
      </c>
      <c r="T59" s="105">
        <f>TODAY()-TabelaSobras[[#This Row],[Data do
Registro inicial]]</f>
        <v/>
      </c>
    </row>
    <row r="60" hidden="1">
      <c r="A60" s="170" t="inlineStr">
        <is>
          <t>N26017</t>
        </is>
      </c>
      <c r="B60" s="170">
        <f>VLOOKUP(LEFT(A60,1),Tabela5[],2,0)</f>
        <v/>
      </c>
      <c r="C60" s="170" t="inlineStr">
        <is>
          <t>MDF - 15MM</t>
        </is>
      </c>
      <c r="D60" s="170">
        <f>VLOOKUP(TabelaSobras[[#This Row],[Tipo de Chapa/COR]],'PREÇOS MDF'!$A$7:$B$10,2,0)</f>
        <v/>
      </c>
      <c r="E60" s="169" t="n">
        <v>565</v>
      </c>
      <c r="F60" s="169" t="n">
        <v>92</v>
      </c>
      <c r="G60" s="169">
        <f>TabelaSobras[[#This Row],[Comprimento 
Sobras (mm)]] &amp; " X " &amp; F60</f>
        <v/>
      </c>
      <c r="H60" s="170">
        <f>(TabelaSobras[[#This Row],[Comprimento 
Sobras (mm)]]*F60/1000000)</f>
        <v/>
      </c>
      <c r="I60" s="170" t="n">
        <v>63</v>
      </c>
      <c r="J60" s="170">
        <f>IF(TabelaSobras[[#This Row],[Estoque]]&lt;=$U$1,$V$1,$W$1)</f>
        <v/>
      </c>
      <c r="K60" s="170">
        <f>TabelaSobras[[#This Row],[Quantidade de Sobra]]-L60</f>
        <v/>
      </c>
      <c r="L60" s="170">
        <f>TabelaSobras[[#This Row],[Quantidade de Sobra]]-TabelaSobras[[#This Row],[Saída]]-TabelaSobras[[#This Row],[Saída 2]]</f>
        <v/>
      </c>
      <c r="M60" s="170" t="inlineStr">
        <is>
          <t>Nesher</t>
        </is>
      </c>
      <c r="N60" s="170">
        <f>TabelaSobras[[#This Row],[M²
Sobras]]*L60</f>
        <v/>
      </c>
      <c r="O60" s="170" t="n">
        <v>63</v>
      </c>
      <c r="P60" s="170" t="n"/>
      <c r="Q60" s="170" t="inlineStr">
        <is>
          <t>N26020</t>
        </is>
      </c>
      <c r="R60" s="170" t="inlineStr">
        <is>
          <t>Yuri</t>
        </is>
      </c>
      <c r="S60" s="10" t="n">
        <v>46076</v>
      </c>
      <c r="T60" s="12">
        <f>TODAY()-TabelaSobras[[#This Row],[Data do
Registro inicial]]</f>
        <v/>
      </c>
    </row>
    <row r="61" hidden="1" ht="15.6" customHeight="1">
      <c r="A61" s="119" t="inlineStr">
        <is>
          <t>N- ERRO DE FURAÇÃO</t>
        </is>
      </c>
      <c r="B61" s="119">
        <f>VLOOKUP(LEFT(A61,1),Tabela5[],2,0)</f>
        <v/>
      </c>
      <c r="C61" s="119" t="inlineStr">
        <is>
          <t>MDF - 15MM</t>
        </is>
      </c>
      <c r="D61" s="170">
        <f>VLOOKUP(TabelaSobras[[#This Row],[Tipo de Chapa/COR]],'PREÇOS MDF'!$A$7:$B$10,2,0)</f>
        <v/>
      </c>
      <c r="E61" s="99" t="n">
        <v>2095</v>
      </c>
      <c r="F61" s="99" t="n">
        <v>428</v>
      </c>
      <c r="G61" s="99">
        <f>TabelaSobras[[#This Row],[Comprimento 
Sobras (mm)]] &amp; " X " &amp; F61</f>
        <v/>
      </c>
      <c r="H61" s="119">
        <f>(TabelaSobras[[#This Row],[Comprimento 
Sobras (mm)]]*F61/1000000)</f>
        <v/>
      </c>
      <c r="I61" s="119" t="n">
        <v>243</v>
      </c>
      <c r="J61" s="119">
        <f>IF(TabelaSobras[[#This Row],[Estoque]]&lt;=$U$1,$V$1,$W$1)</f>
        <v/>
      </c>
      <c r="K61" s="170">
        <f>TabelaSobras[[#This Row],[Quantidade de Sobra]]-L61</f>
        <v/>
      </c>
      <c r="L61" s="119">
        <f>TabelaSobras[[#This Row],[Quantidade de Sobra]]-TabelaSobras[[#This Row],[Saída]]-TabelaSobras[[#This Row],[Saída 2]]</f>
        <v/>
      </c>
      <c r="M61" s="119" t="inlineStr">
        <is>
          <t>Nesher</t>
        </is>
      </c>
      <c r="N61" s="170">
        <f>TabelaSobras[[#This Row],[M²
Sobras]]*L61</f>
        <v/>
      </c>
      <c r="O61" s="119" t="n">
        <v>243</v>
      </c>
      <c r="P61" s="119" t="n"/>
      <c r="Q61" s="99" t="inlineStr">
        <is>
          <t>APROVEITAR - N2602303</t>
        </is>
      </c>
      <c r="R61" s="119" t="inlineStr">
        <is>
          <t>Yuri</t>
        </is>
      </c>
      <c r="S61" s="120" t="n">
        <v>46090</v>
      </c>
      <c r="T61" s="121">
        <f>TODAY()-TabelaSobras[[#This Row],[Data do
Registro inicial]]</f>
        <v/>
      </c>
    </row>
    <row r="62" hidden="1">
      <c r="A62" s="170" t="inlineStr">
        <is>
          <t>N26017</t>
        </is>
      </c>
      <c r="B62" s="170">
        <f>VLOOKUP(LEFT(A62,1),Tabela5[],2,0)</f>
        <v/>
      </c>
      <c r="C62" s="170" t="inlineStr">
        <is>
          <t>MDF - 15MM</t>
        </is>
      </c>
      <c r="D62" s="170">
        <f>VLOOKUP(TabelaSobras[[#This Row],[Tipo de Chapa/COR]],'PREÇOS MDF'!$A$7:$B$10,2,0)</f>
        <v/>
      </c>
      <c r="E62" s="169" t="n">
        <v>705</v>
      </c>
      <c r="F62" s="169" t="n">
        <v>70</v>
      </c>
      <c r="G62" s="169">
        <f>TabelaSobras[[#This Row],[Comprimento 
Sobras (mm)]] &amp; " X " &amp; F62</f>
        <v/>
      </c>
      <c r="H62" s="170">
        <f>(TabelaSobras[[#This Row],[Comprimento 
Sobras (mm)]]*F62/1000000)</f>
        <v/>
      </c>
      <c r="I62" s="170" t="n">
        <v>720</v>
      </c>
      <c r="J62" s="170">
        <f>IF(TabelaSobras[[#This Row],[Estoque]]&lt;=$U$1,$V$1,$W$1)</f>
        <v/>
      </c>
      <c r="K62" s="170">
        <f>TabelaSobras[[#This Row],[Quantidade de Sobra]]-L62</f>
        <v/>
      </c>
      <c r="L62" s="170">
        <f>TabelaSobras[[#This Row],[Quantidade de Sobra]]-TabelaSobras[[#This Row],[Saída]]-TabelaSobras[[#This Row],[Saída 2]]</f>
        <v/>
      </c>
      <c r="M62" s="170" t="inlineStr">
        <is>
          <t>Nesher</t>
        </is>
      </c>
      <c r="N62" s="170">
        <f>TabelaSobras[[#This Row],[M²
Sobras]]*L62</f>
        <v/>
      </c>
      <c r="O62" s="170" t="n">
        <v>720</v>
      </c>
      <c r="P62" s="170" t="n"/>
      <c r="Q62" s="42" t="inlineStr">
        <is>
          <t>CONDESSA PAN 4PT</t>
        </is>
      </c>
      <c r="R62" s="170" t="inlineStr">
        <is>
          <t>Yuri</t>
        </is>
      </c>
      <c r="S62" s="10" t="n">
        <v>46076</v>
      </c>
      <c r="T62" s="12">
        <f>TODAY()-TabelaSobras[[#This Row],[Data do
Registro inicial]]</f>
        <v/>
      </c>
    </row>
    <row r="63" hidden="1">
      <c r="A63" s="170" t="inlineStr">
        <is>
          <t>N26017</t>
        </is>
      </c>
      <c r="B63" s="170">
        <f>VLOOKUP(LEFT(A63,1),Tabela5[],2,0)</f>
        <v/>
      </c>
      <c r="C63" s="170" t="inlineStr">
        <is>
          <t>MDF - 15MM</t>
        </is>
      </c>
      <c r="D63" s="170">
        <f>VLOOKUP(TabelaSobras[[#This Row],[Tipo de Chapa/COR]],'PREÇOS MDF'!$A$7:$B$10,2,0)</f>
        <v/>
      </c>
      <c r="E63" s="169" t="n">
        <v>384</v>
      </c>
      <c r="F63" s="169" t="n">
        <v>70</v>
      </c>
      <c r="G63" s="169">
        <f>TabelaSobras[[#This Row],[Comprimento 
Sobras (mm)]] &amp; " X " &amp; F63</f>
        <v/>
      </c>
      <c r="H63" s="170">
        <f>(TabelaSobras[[#This Row],[Comprimento 
Sobras (mm)]]*F63/1000000)</f>
        <v/>
      </c>
      <c r="I63" s="170" t="n">
        <v>240</v>
      </c>
      <c r="J63" s="170">
        <f>IF(TabelaSobras[[#This Row],[Estoque]]&lt;=$U$1,$V$1,$W$1)</f>
        <v/>
      </c>
      <c r="K63" s="170">
        <f>TabelaSobras[[#This Row],[Quantidade de Sobra]]-L63</f>
        <v/>
      </c>
      <c r="L63" s="170">
        <f>TabelaSobras[[#This Row],[Quantidade de Sobra]]-TabelaSobras[[#This Row],[Saída]]-TabelaSobras[[#This Row],[Saída 2]]</f>
        <v/>
      </c>
      <c r="M63" s="170" t="inlineStr">
        <is>
          <t>Nesher</t>
        </is>
      </c>
      <c r="N63" s="170">
        <f>TabelaSobras[[#This Row],[M²
Sobras]]*L63</f>
        <v/>
      </c>
      <c r="O63" s="170" t="n">
        <v>240</v>
      </c>
      <c r="P63" s="170" t="n"/>
      <c r="Q63" s="42" t="inlineStr">
        <is>
          <t>CONDESSA PAN 4PT</t>
        </is>
      </c>
      <c r="R63" s="170" t="inlineStr">
        <is>
          <t>Yuri</t>
        </is>
      </c>
      <c r="S63" s="10" t="n">
        <v>46076</v>
      </c>
      <c r="T63" s="12">
        <f>TODAY()-TabelaSobras[[#This Row],[Data do
Registro inicial]]</f>
        <v/>
      </c>
    </row>
    <row r="64" hidden="1">
      <c r="A64" s="49" t="inlineStr">
        <is>
          <t>N26025</t>
        </is>
      </c>
      <c r="B64" s="49">
        <f>VLOOKUP(LEFT(A64,1),Tabela5[],2,0)</f>
        <v/>
      </c>
      <c r="C64" s="49" t="inlineStr">
        <is>
          <t>MDF - 15MM</t>
        </is>
      </c>
      <c r="D64" s="170">
        <f>VLOOKUP(TabelaSobras[[#This Row],[Tipo de Chapa/COR]],'PREÇOS MDF'!$A$7:$B$10,2,0)</f>
        <v/>
      </c>
      <c r="E64" s="50" t="n">
        <v>2064</v>
      </c>
      <c r="F64" s="50" t="n">
        <v>297</v>
      </c>
      <c r="G64" s="50">
        <f>TabelaSobras[[#This Row],[Comprimento 
Sobras (mm)]] &amp; " X " &amp; F64</f>
        <v/>
      </c>
      <c r="H64" s="49">
        <f>(TabelaSobras[[#This Row],[Comprimento 
Sobras (mm)]]*F64/1000000)</f>
        <v/>
      </c>
      <c r="I64" s="49">
        <f>67+40</f>
        <v/>
      </c>
      <c r="J64" s="49">
        <f>IF(TabelaSobras[[#This Row],[Estoque]]&lt;=$U$1,$V$1,$W$1)</f>
        <v/>
      </c>
      <c r="K64" s="170">
        <f>TabelaSobras[[#This Row],[Quantidade de Sobra]]-L64</f>
        <v/>
      </c>
      <c r="L64" s="49">
        <f>TabelaSobras[[#This Row],[Quantidade de Sobra]]-TabelaSobras[[#This Row],[Saída]]-TabelaSobras[[#This Row],[Saída 2]]</f>
        <v/>
      </c>
      <c r="M64" s="49" t="inlineStr">
        <is>
          <t>Nesher</t>
        </is>
      </c>
      <c r="N64" s="170">
        <f>TabelaSobras[[#This Row],[M²
Sobras]]*L64</f>
        <v/>
      </c>
      <c r="O64" s="49" t="n">
        <v>107</v>
      </c>
      <c r="P64" s="49" t="n"/>
      <c r="Q64" s="49" t="inlineStr">
        <is>
          <t>KIT NOBREZA 2100</t>
        </is>
      </c>
      <c r="R64" s="49" t="inlineStr">
        <is>
          <t>Yuri</t>
        </is>
      </c>
      <c r="S64" s="104" t="n">
        <v>46105</v>
      </c>
      <c r="T64" s="105">
        <f>TODAY()-TabelaSobras[[#This Row],[Data do
Registro inicial]]</f>
        <v/>
      </c>
    </row>
    <row r="65" hidden="1">
      <c r="A65" s="170" t="inlineStr">
        <is>
          <t>L</t>
        </is>
      </c>
      <c r="B65" s="170">
        <f>VLOOKUP(LEFT(A65,1),Tabela5[],2,0)</f>
        <v/>
      </c>
      <c r="C65" s="170" t="inlineStr">
        <is>
          <t>MDF - 15MM</t>
        </is>
      </c>
      <c r="D65" s="170">
        <f>VLOOKUP(TabelaSobras[[#This Row],[Tipo de Chapa/COR]],'PREÇOS MDF'!$A$7:$B$10,2,0)</f>
        <v/>
      </c>
      <c r="E65" s="169" t="n">
        <v>2200</v>
      </c>
      <c r="F65" s="169" t="n">
        <v>263</v>
      </c>
      <c r="G65" s="169">
        <f>TabelaSobras[[#This Row],[Comprimento 
Sobras (mm)]] &amp; " X " &amp; F65</f>
        <v/>
      </c>
      <c r="H65" s="170">
        <f>(TabelaSobras[[#This Row],[Comprimento 
Sobras (mm)]]*F65/1000000)</f>
        <v/>
      </c>
      <c r="I65" s="170" t="n">
        <v>120</v>
      </c>
      <c r="J65" s="51">
        <f>IF(TabelaSobras[[#This Row],[Estoque]]&lt;=$U$1,$V$1,$W$1)</f>
        <v/>
      </c>
      <c r="K65" s="170">
        <f>TabelaSobras[[#This Row],[Quantidade de Sobra]]-L65</f>
        <v/>
      </c>
      <c r="L65" s="170">
        <f>TabelaSobras[[#This Row],[Quantidade de Sobra]]-TabelaSobras[[#This Row],[Saída]]-TabelaSobras[[#This Row],[Saída 2]]</f>
        <v/>
      </c>
      <c r="M65" s="170" t="inlineStr">
        <is>
          <t>Líder</t>
        </is>
      </c>
      <c r="N65" s="170">
        <f>TabelaSobras[[#This Row],[M²
Sobras]]*L65</f>
        <v/>
      </c>
      <c r="O65" s="170" t="n">
        <v>120</v>
      </c>
      <c r="P65" s="170" t="n"/>
      <c r="Q65" s="51" t="inlineStr">
        <is>
          <t>ENVIAR P/NESHER</t>
        </is>
      </c>
      <c r="R65" s="170" t="inlineStr">
        <is>
          <t>Yuri</t>
        </is>
      </c>
      <c r="S65" s="10" t="n">
        <v>46063</v>
      </c>
      <c r="T65" s="12">
        <f>TODAY()-TabelaSobras[[#This Row],[Data do
Registro inicial]]</f>
        <v/>
      </c>
    </row>
    <row r="66" hidden="1">
      <c r="A66" s="170" t="inlineStr">
        <is>
          <t>EXPOSITOR FEIRA CARUARU</t>
        </is>
      </c>
      <c r="B66" s="170">
        <f>VLOOKUP(LEFT(A66,1),Tabela5[],2,0)</f>
        <v/>
      </c>
      <c r="C66" s="170" t="inlineStr">
        <is>
          <t>MDF - 15MM</t>
        </is>
      </c>
      <c r="D66" s="170">
        <f>VLOOKUP(TabelaSobras[[#This Row],[Tipo de Chapa/COR]],'PREÇOS MDF'!$A$7:$B$10,2,0)</f>
        <v/>
      </c>
      <c r="E66" s="169" t="n">
        <v>400</v>
      </c>
      <c r="F66" s="169" t="n">
        <v>263</v>
      </c>
      <c r="G66" s="169">
        <f>TabelaSobras[[#This Row],[Comprimento 
Sobras (mm)]] &amp; " X " &amp; F66</f>
        <v/>
      </c>
      <c r="H66" s="170">
        <f>(TabelaSobras[[#This Row],[Comprimento 
Sobras (mm)]]*F66/1000000)</f>
        <v/>
      </c>
      <c r="I66" s="170" t="n">
        <v>230</v>
      </c>
      <c r="J66" s="170">
        <f>IF(TabelaSobras[[#This Row],[Estoque]]&lt;=$U$1,$V$1,$W$1)</f>
        <v/>
      </c>
      <c r="K66" s="170">
        <f>TabelaSobras[[#This Row],[Quantidade de Sobra]]-L66</f>
        <v/>
      </c>
      <c r="L66" s="170">
        <f>TabelaSobras[[#This Row],[Quantidade de Sobra]]-TabelaSobras[[#This Row],[Saída]]-TabelaSobras[[#This Row],[Saída 2]]</f>
        <v/>
      </c>
      <c r="M66" s="170" t="inlineStr">
        <is>
          <t>Nesher</t>
        </is>
      </c>
      <c r="N66" s="170">
        <f>TabelaSobras[[#This Row],[M²
Sobras]]*L66</f>
        <v/>
      </c>
      <c r="O66" s="170" t="n">
        <v>230</v>
      </c>
      <c r="P66" s="170" t="n"/>
      <c r="Q66" s="42" t="inlineStr">
        <is>
          <t>NÃO FOI CORTADO</t>
        </is>
      </c>
      <c r="R66" s="170" t="inlineStr">
        <is>
          <t>Yuri</t>
        </is>
      </c>
      <c r="S66" s="10" t="n">
        <v>46084</v>
      </c>
      <c r="T66" s="12">
        <f>TODAY()-TabelaSobras[[#This Row],[Data do
Registro inicial]]</f>
        <v/>
      </c>
    </row>
    <row r="67" hidden="1">
      <c r="A67" s="115" t="inlineStr">
        <is>
          <t>N- SOBRAS DE VIDRO</t>
        </is>
      </c>
      <c r="B67" s="116">
        <f>VLOOKUP(LEFT(A67,1),Tabela5[],2,0)</f>
        <v/>
      </c>
      <c r="C67" s="116" t="inlineStr">
        <is>
          <t>MDF - 15MM</t>
        </is>
      </c>
      <c r="D67" s="170">
        <f>VLOOKUP(TabelaSobras[[#This Row],[Tipo de Chapa/COR]],'PREÇOS MDF'!$A$7:$B$10,2,0)</f>
        <v/>
      </c>
      <c r="E67" s="115" t="n">
        <v>2045</v>
      </c>
      <c r="F67" s="115" t="n">
        <v>225</v>
      </c>
      <c r="G67" s="115">
        <f>TabelaSobras[[#This Row],[Comprimento 
Sobras (mm)]] &amp; " X " &amp; F67</f>
        <v/>
      </c>
      <c r="H67" s="116">
        <f>(TabelaSobras[[#This Row],[Comprimento 
Sobras (mm)]]*F67/1000000)</f>
        <v/>
      </c>
      <c r="I67" s="116">
        <f>144+115+160+159</f>
        <v/>
      </c>
      <c r="J67" s="116">
        <f>IF(TabelaSobras[[#This Row],[Estoque]]&lt;=$U$1,$V$1,$W$1)</f>
        <v/>
      </c>
      <c r="K67" s="170">
        <f>TabelaSobras[[#This Row],[Quantidade de Sobra]]-L67</f>
        <v/>
      </c>
      <c r="L67" s="116">
        <f>TabelaSobras[[#This Row],[Quantidade de Sobra]]-TabelaSobras[[#This Row],[Saída]]-TabelaSobras[[#This Row],[Saída 2]]</f>
        <v/>
      </c>
      <c r="M67" s="116" t="inlineStr">
        <is>
          <t>Nesher</t>
        </is>
      </c>
      <c r="N67" s="170">
        <f>TabelaSobras[[#This Row],[M²
Sobras]]*L67</f>
        <v/>
      </c>
      <c r="O67" s="116" t="n">
        <v>578</v>
      </c>
      <c r="P67" s="116" t="n"/>
      <c r="Q67" s="116" t="inlineStr">
        <is>
          <t>N26023</t>
        </is>
      </c>
      <c r="R67" s="116" t="inlineStr">
        <is>
          <t>Yuri</t>
        </is>
      </c>
      <c r="S67" s="117" t="n">
        <v>46092</v>
      </c>
      <c r="T67" s="118">
        <f>TODAY()-TabelaSobras[[#This Row],[Data do
Registro inicial]]</f>
        <v/>
      </c>
    </row>
    <row r="68" hidden="1">
      <c r="A68" s="139" t="inlineStr">
        <is>
          <t>N- SOBRAS DE VIDRO</t>
        </is>
      </c>
      <c r="B68" s="138">
        <f>VLOOKUP(LEFT(A68,1),Tabela5[],2,0)</f>
        <v/>
      </c>
      <c r="C68" s="138" t="inlineStr">
        <is>
          <t>MDF - 15MM</t>
        </is>
      </c>
      <c r="D68" s="170">
        <f>VLOOKUP(TabelaSobras[[#This Row],[Tipo de Chapa/COR]],'PREÇOS MDF'!$A$7:$B$10,2,0)</f>
        <v/>
      </c>
      <c r="E68" s="139" t="n">
        <v>654</v>
      </c>
      <c r="F68" s="139" t="n">
        <v>265</v>
      </c>
      <c r="G68" s="139">
        <f>TabelaSobras[[#This Row],[Comprimento 
Sobras (mm)]] &amp; " X " &amp; F68</f>
        <v/>
      </c>
      <c r="H68" s="138">
        <f>(TabelaSobras[[#This Row],[Comprimento 
Sobras (mm)]]*F68/1000000)</f>
        <v/>
      </c>
      <c r="I68" s="138">
        <f>300+225</f>
        <v/>
      </c>
      <c r="J68" s="138">
        <f>IF(TabelaSobras[[#This Row],[Estoque]]&lt;=$U$1,$V$1,$W$1)</f>
        <v/>
      </c>
      <c r="K68" s="170">
        <f>TabelaSobras[[#This Row],[Quantidade de Sobra]]-L68</f>
        <v/>
      </c>
      <c r="L68" s="138">
        <f>TabelaSobras[[#This Row],[Quantidade de Sobra]]-TabelaSobras[[#This Row],[Saída]]-TabelaSobras[[#This Row],[Saída 2]]</f>
        <v/>
      </c>
      <c r="M68" s="138" t="inlineStr">
        <is>
          <t>Nesher</t>
        </is>
      </c>
      <c r="N68" s="170">
        <f>TabelaSobras[[#This Row],[M²
Sobras]]*L68</f>
        <v/>
      </c>
      <c r="O68" s="138">
        <f>75+300+150</f>
        <v/>
      </c>
      <c r="P68" s="138" t="n"/>
      <c r="Q68" s="138" t="inlineStr">
        <is>
          <t>N26046 | N2603603</t>
        </is>
      </c>
      <c r="R68" s="138" t="inlineStr">
        <is>
          <t>Yuri</t>
        </is>
      </c>
      <c r="S68" s="142" t="n">
        <v>46148</v>
      </c>
      <c r="T68" s="141">
        <f>TODAY()-TabelaSobras[[#This Row],[Data do
Registro inicial]]</f>
        <v/>
      </c>
    </row>
    <row r="69" hidden="1">
      <c r="A69" s="139" t="inlineStr">
        <is>
          <t>N- SOBRAS DE VIDRO</t>
        </is>
      </c>
      <c r="B69" s="138">
        <f>VLOOKUP(LEFT(A69,1),Tabela5[],2,0)</f>
        <v/>
      </c>
      <c r="C69" s="138" t="inlineStr">
        <is>
          <t>MDF - 15MM</t>
        </is>
      </c>
      <c r="D69" s="170">
        <f>VLOOKUP(TabelaSobras[[#This Row],[Tipo de Chapa/COR]],'PREÇOS MDF'!$A$7:$B$10,2,0)</f>
        <v/>
      </c>
      <c r="E69" s="139" t="n">
        <v>654</v>
      </c>
      <c r="F69" s="139" t="n">
        <v>452</v>
      </c>
      <c r="G69" s="139">
        <f>TabelaSobras[[#This Row],[Comprimento 
Sobras (mm)]] &amp; " X " &amp; F69</f>
        <v/>
      </c>
      <c r="H69" s="138">
        <f>(TabelaSobras[[#This Row],[Comprimento 
Sobras (mm)]]*F69/1000000)</f>
        <v/>
      </c>
      <c r="I69" s="138" t="n">
        <v>905</v>
      </c>
      <c r="J69" s="138">
        <f>IF(TabelaSobras[[#This Row],[Estoque]]&lt;=$U$1,$V$1,$W$1)</f>
        <v/>
      </c>
      <c r="K69" s="170">
        <f>TabelaSobras[[#This Row],[Quantidade de Sobra]]-L69</f>
        <v/>
      </c>
      <c r="L69" s="138">
        <f>TabelaSobras[[#This Row],[Quantidade de Sobra]]-TabelaSobras[[#This Row],[Saída]]-TabelaSobras[[#This Row],[Saída 2]]</f>
        <v/>
      </c>
      <c r="M69" s="138" t="inlineStr">
        <is>
          <t>Nesher</t>
        </is>
      </c>
      <c r="N69" s="170">
        <f>TabelaSobras[[#This Row],[M²
Sobras]]*L69</f>
        <v/>
      </c>
      <c r="O69" s="138" t="n">
        <v>905</v>
      </c>
      <c r="P69" s="138" t="n"/>
      <c r="Q69" s="139" t="inlineStr">
        <is>
          <t>N2603603</t>
        </is>
      </c>
      <c r="R69" s="138" t="inlineStr">
        <is>
          <t>Yuri</t>
        </is>
      </c>
      <c r="S69" s="142" t="n">
        <v>46148</v>
      </c>
      <c r="T69" s="141">
        <f>TODAY()-TabelaSobras[[#This Row],[Data do
Registro inicial]]</f>
        <v/>
      </c>
    </row>
    <row r="70" hidden="1">
      <c r="A70" s="139" t="inlineStr">
        <is>
          <t>N</t>
        </is>
      </c>
      <c r="B70" s="138">
        <f>VLOOKUP(LEFT(A70,1),Tabela5[],2,0)</f>
        <v/>
      </c>
      <c r="C70" s="138" t="inlineStr">
        <is>
          <t>MDF - 25MM</t>
        </is>
      </c>
      <c r="D70" s="170">
        <f>VLOOKUP(TabelaSobras[[#This Row],[Tipo de Chapa/COR]],'PREÇOS MDF'!$A$7:$B$10,2,0)</f>
        <v/>
      </c>
      <c r="E70" s="139" t="n"/>
      <c r="F70" s="139" t="n"/>
      <c r="G70" s="139">
        <f>TabelaSobras[[#This Row],[Comprimento 
Sobras (mm)]] &amp; " X " &amp; F70</f>
        <v/>
      </c>
      <c r="H70" s="138">
        <f>(TabelaSobras[[#This Row],[Comprimento 
Sobras (mm)]]*F70/1000000)</f>
        <v/>
      </c>
      <c r="I70" s="138" t="n"/>
      <c r="J70" s="138">
        <f>IF(TabelaSobras[[#This Row],[Estoque]]&lt;=$U$1,$V$1,$W$1)</f>
        <v/>
      </c>
      <c r="K70" s="170">
        <f>TabelaSobras[[#This Row],[Quantidade de Sobra]]-L70</f>
        <v/>
      </c>
      <c r="L70" s="138">
        <f>TabelaSobras[[#This Row],[Quantidade de Sobra]]-TabelaSobras[[#This Row],[Saída]]-TabelaSobras[[#This Row],[Saída 2]]</f>
        <v/>
      </c>
      <c r="M70" s="138" t="n"/>
      <c r="N70" s="170">
        <f>TabelaSobras[[#This Row],[M²
Sobras]]*L70</f>
        <v/>
      </c>
      <c r="O70" s="138" t="n"/>
      <c r="P70" s="138" t="n"/>
      <c r="Q70" s="139" t="n"/>
      <c r="R70" s="138" t="n"/>
      <c r="S70" s="142" t="n"/>
      <c r="T70" s="141">
        <f>TODAY()-TabelaSobras[[#This Row],[Data do
Registro inicial]]</f>
        <v/>
      </c>
    </row>
    <row r="71" hidden="1">
      <c r="A71" s="170" t="inlineStr">
        <is>
          <t>N26006</t>
        </is>
      </c>
      <c r="B71" s="170">
        <f>VLOOKUP(LEFT(A71,1),Tabela5[],2,0)</f>
        <v/>
      </c>
      <c r="C71" s="170" t="inlineStr">
        <is>
          <t>MDF - 18MM</t>
        </is>
      </c>
      <c r="D71" s="170">
        <f>VLOOKUP(TabelaSobras[[#This Row],[Tipo de Chapa/COR]],'PREÇOS MDF'!$A$7:$B$10,2,0)</f>
        <v/>
      </c>
      <c r="E71" s="169" t="n">
        <v>779</v>
      </c>
      <c r="F71" s="169" t="n">
        <v>103</v>
      </c>
      <c r="G71" s="169">
        <f>TabelaSobras[[#This Row],[Comprimento 
Sobras (mm)]] &amp; " X " &amp; F71</f>
        <v/>
      </c>
      <c r="H71" s="170">
        <f>(TabelaSobras[[#This Row],[Comprimento 
Sobras (mm)]]*F71/1000000)</f>
        <v/>
      </c>
      <c r="I71" s="170" t="n">
        <v>40</v>
      </c>
      <c r="J71" s="170">
        <f>IF(TabelaSobras[[#This Row],[Estoque]]&lt;=$U$1,$V$1,$W$1)</f>
        <v/>
      </c>
      <c r="K71" s="170">
        <f>TabelaSobras[[#This Row],[Quantidade de Sobra]]-L71</f>
        <v/>
      </c>
      <c r="L71" s="170">
        <f>TabelaSobras[[#This Row],[Quantidade de Sobra]]-TabelaSobras[[#This Row],[Saída]]-TabelaSobras[[#This Row],[Saída 2]]</f>
        <v/>
      </c>
      <c r="M71" s="170" t="inlineStr">
        <is>
          <t>Nesher</t>
        </is>
      </c>
      <c r="N71" s="170">
        <f>TabelaSobras[[#This Row],[M²
Sobras]]*L71</f>
        <v/>
      </c>
      <c r="O71" s="170" t="n">
        <v>40</v>
      </c>
      <c r="P71" s="170" t="n"/>
      <c r="Q71" s="170" t="n"/>
      <c r="R71" s="170" t="inlineStr">
        <is>
          <t>Yuri</t>
        </is>
      </c>
      <c r="S71" s="10" t="n">
        <v>46038</v>
      </c>
      <c r="T71" s="12">
        <f>TODAY()-TabelaSobras[[#This Row],[Data do
Registro inicial]]</f>
        <v/>
      </c>
    </row>
    <row r="72" hidden="1">
      <c r="A72" s="139" t="inlineStr">
        <is>
          <t>N -SOBRAS DE VIDRO</t>
        </is>
      </c>
      <c r="B72" s="138">
        <f>VLOOKUP(LEFT(A72,1),Tabela5[],2,0)</f>
        <v/>
      </c>
      <c r="C72" s="138" t="inlineStr">
        <is>
          <t>MDF - 15MM</t>
        </is>
      </c>
      <c r="D72" s="170">
        <f>VLOOKUP(TabelaSobras[[#This Row],[Tipo de Chapa/COR]],'PREÇOS MDF'!$A$7:$B$10,2,0)</f>
        <v/>
      </c>
      <c r="E72" s="139" t="n">
        <v>675</v>
      </c>
      <c r="F72" s="139" t="n">
        <v>450</v>
      </c>
      <c r="G72" s="139">
        <f>TabelaSobras[[#This Row],[Comprimento 
Sobras (mm)]] &amp; " X " &amp; F72</f>
        <v/>
      </c>
      <c r="H72" s="138">
        <f>(TabelaSobras[[#This Row],[Comprimento 
Sobras (mm)]]*F72/1000000)</f>
        <v/>
      </c>
      <c r="I72" s="138">
        <f>180+204+77</f>
        <v/>
      </c>
      <c r="J72" s="138">
        <f>IF(TabelaSobras[[#This Row],[Estoque]]&lt;=$U$1,$V$1,$W$1)</f>
        <v/>
      </c>
      <c r="K72" s="170">
        <f>TabelaSobras[[#This Row],[Quantidade de Sobra]]-L72</f>
        <v/>
      </c>
      <c r="L72" s="138">
        <f>TabelaSobras[[#This Row],[Quantidade de Sobra]]-TabelaSobras[[#This Row],[Saída]]-TabelaSobras[[#This Row],[Saída 2]]</f>
        <v/>
      </c>
      <c r="M72" s="138" t="inlineStr">
        <is>
          <t>Nesher</t>
        </is>
      </c>
      <c r="N72" s="170">
        <f>TabelaSobras[[#This Row],[M²
Sobras]]*L72</f>
        <v/>
      </c>
      <c r="O72" s="138">
        <f>180+281</f>
        <v/>
      </c>
      <c r="P72" s="138" t="n"/>
      <c r="Q72" s="55" t="inlineStr">
        <is>
          <t>Loft - Pan 65</t>
        </is>
      </c>
      <c r="R72" s="138" t="inlineStr">
        <is>
          <t>Yuri</t>
        </is>
      </c>
      <c r="S72" s="142" t="n">
        <v>46192</v>
      </c>
      <c r="T72" s="141">
        <f>TODAY()-TabelaSobras[[#This Row],[Data do
Registro inicial]]</f>
        <v/>
      </c>
    </row>
    <row r="73">
      <c r="A73" s="139" t="inlineStr">
        <is>
          <t>N -SOBRAS DE VIDRO</t>
        </is>
      </c>
      <c r="B73" s="138">
        <f>VLOOKUP(LEFT(A73,1),Tabela5[],2,0)</f>
        <v/>
      </c>
      <c r="C73" s="138" t="inlineStr">
        <is>
          <t>MDF - 15MM</t>
        </is>
      </c>
      <c r="D73" s="170">
        <f>VLOOKUP(TabelaSobras[[#This Row],[Tipo de Chapa/COR]],'PREÇOS MDF'!$A$7:$B$10,2,0)</f>
        <v/>
      </c>
      <c r="E73" s="139" t="n">
        <v>675</v>
      </c>
      <c r="F73" s="139" t="n">
        <v>270</v>
      </c>
      <c r="G73" s="139">
        <f>TabelaSobras[[#This Row],[Comprimento 
Sobras (mm)]] &amp; " X " &amp; F73</f>
        <v/>
      </c>
      <c r="H73" s="138">
        <f>(TabelaSobras[[#This Row],[Comprimento 
Sobras (mm)]]*F73/1000000)</f>
        <v/>
      </c>
      <c r="I73" s="138">
        <f>198+150+262+314+68</f>
        <v/>
      </c>
      <c r="J73" s="138">
        <f>IF(TabelaSobras[[#This Row],[Estoque]]&lt;=$U$1,$V$1,$W$1)</f>
        <v/>
      </c>
      <c r="K73" s="170">
        <f>TabelaSobras[[#This Row],[Quantidade de Sobra]]-L73</f>
        <v/>
      </c>
      <c r="L73" s="138">
        <f>TabelaSobras[[#This Row],[Quantidade de Sobra]]-TabelaSobras[[#This Row],[Saída]]-TabelaSobras[[#This Row],[Saída 2]]</f>
        <v/>
      </c>
      <c r="M73" s="138" t="inlineStr">
        <is>
          <t>Nesher</t>
        </is>
      </c>
      <c r="N73" s="170">
        <f>TabelaSobras[[#This Row],[M²
Sobras]]*L73</f>
        <v/>
      </c>
      <c r="O73" s="138" t="n">
        <v>175</v>
      </c>
      <c r="P73" s="138">
        <f>262+150</f>
        <v/>
      </c>
      <c r="Q73" s="139" t="inlineStr">
        <is>
          <t xml:space="preserve">5503 | </t>
        </is>
      </c>
      <c r="R73" s="138" t="inlineStr">
        <is>
          <t>Yuri</t>
        </is>
      </c>
      <c r="S73" s="142" t="n">
        <v>46192</v>
      </c>
      <c r="T73" s="141">
        <f>TODAY()-TabelaSobras[[#This Row],[Data do
Registro inicial]]</f>
        <v/>
      </c>
    </row>
    <row r="74" hidden="1">
      <c r="A74" s="170" t="inlineStr">
        <is>
          <t>N-TESTE TECMATIC</t>
        </is>
      </c>
      <c r="B74" s="170">
        <f>VLOOKUP(LEFT(A74,1),Tabela5[],2,0)</f>
        <v/>
      </c>
      <c r="C74" s="170" t="inlineStr">
        <is>
          <t>MDF - 15MM</t>
        </is>
      </c>
      <c r="D74" s="170">
        <f>VLOOKUP(TabelaSobras[[#This Row],[Tipo de Chapa/COR]],'PREÇOS MDF'!$A$7:$B$10,2,0)</f>
        <v/>
      </c>
      <c r="E74" s="169" t="n">
        <v>670</v>
      </c>
      <c r="F74" s="169" t="n">
        <v>500</v>
      </c>
      <c r="G74" s="169">
        <f>TabelaSobras[[#This Row],[Comprimento 
Sobras (mm)]] &amp; " X " &amp; F74</f>
        <v/>
      </c>
      <c r="H74" s="170">
        <f>(TabelaSobras[[#This Row],[Comprimento 
Sobras (mm)]]*F74/1000000)</f>
        <v/>
      </c>
      <c r="I74" s="170" t="n">
        <v>84</v>
      </c>
      <c r="J74" s="170">
        <f>IF(TabelaSobras[[#This Row],[Estoque]]&lt;=$U$1,$V$1,$W$1)</f>
        <v/>
      </c>
      <c r="K74" s="170">
        <f>TabelaSobras[[#This Row],[Quantidade de Sobra]]-L74</f>
        <v/>
      </c>
      <c r="L74" s="170">
        <f>TabelaSobras[[#This Row],[Quantidade de Sobra]]-TabelaSobras[[#This Row],[Saída]]-TabelaSobras[[#This Row],[Saída 2]]</f>
        <v/>
      </c>
      <c r="M74" s="170" t="inlineStr">
        <is>
          <t>Nesher</t>
        </is>
      </c>
      <c r="N74" s="170">
        <f>TabelaSobras[[#This Row],[M²
Sobras]]*L74</f>
        <v/>
      </c>
      <c r="O74" s="170" t="n">
        <v>84</v>
      </c>
      <c r="P74" s="170" t="n"/>
      <c r="Q74" s="170" t="n"/>
      <c r="R74" s="170" t="inlineStr">
        <is>
          <t>Yuri</t>
        </is>
      </c>
      <c r="S74" s="10" t="n">
        <v>46100</v>
      </c>
      <c r="T74" s="12">
        <f>TODAY()-TabelaSobras[[#This Row],[Data do
Registro inicial]]</f>
        <v/>
      </c>
    </row>
    <row r="75" hidden="1">
      <c r="A75" s="42" t="inlineStr">
        <is>
          <t>L-SOBRAS DE TAMPO</t>
        </is>
      </c>
      <c r="B75" s="42">
        <f>VLOOKUP(LEFT(A75,1),Tabela5[],2,0)</f>
        <v/>
      </c>
      <c r="C75" s="42" t="inlineStr">
        <is>
          <t>MDF - 25MM</t>
        </is>
      </c>
      <c r="D75" s="170">
        <f>VLOOKUP(TabelaSobras[[#This Row],[Tipo de Chapa/COR]],'PREÇOS MDF'!$A$7:$B$10,2,0)</f>
        <v/>
      </c>
      <c r="E75" s="55" t="n">
        <v>2200</v>
      </c>
      <c r="F75" s="55" t="n">
        <v>450</v>
      </c>
      <c r="G75" s="55">
        <f>TabelaSobras[[#This Row],[Comprimento 
Sobras (mm)]] &amp; " X " &amp; F75</f>
        <v/>
      </c>
      <c r="H75" s="42">
        <f>(TabelaSobras[[#This Row],[Comprimento 
Sobras (mm)]]*F75/1000000)</f>
        <v/>
      </c>
      <c r="I75" s="42" t="n">
        <v>102</v>
      </c>
      <c r="J75" s="42">
        <f>IF(TabelaSobras[[#This Row],[Estoque]]&lt;=$U$1,$V$1,$W$1)</f>
        <v/>
      </c>
      <c r="K75" s="170">
        <f>TabelaSobras[[#This Row],[Quantidade de Sobra]]-L75</f>
        <v/>
      </c>
      <c r="L75" s="42">
        <f>TabelaSobras[[#This Row],[Quantidade de Sobra]]-TabelaSobras[[#This Row],[Saída]]-TabelaSobras[[#This Row],[Saída 2]]</f>
        <v/>
      </c>
      <c r="M75" s="42" t="inlineStr">
        <is>
          <t>Nesher</t>
        </is>
      </c>
      <c r="N75" s="170">
        <f>TabelaSobras[[#This Row],[M²
Sobras]]*L75</f>
        <v/>
      </c>
      <c r="O75" s="42" t="n">
        <v>102</v>
      </c>
      <c r="P75" s="42" t="n"/>
      <c r="Q75" s="42" t="inlineStr">
        <is>
          <t>KIT REALEZA 220</t>
        </is>
      </c>
      <c r="R75" s="42" t="inlineStr">
        <is>
          <t>Yuri</t>
        </is>
      </c>
      <c r="S75" s="113" t="n">
        <v>46100</v>
      </c>
      <c r="T75" s="114">
        <f>TODAY()-TabelaSobras[[#This Row],[Data do
Registro inicial]]</f>
        <v/>
      </c>
    </row>
    <row r="76" hidden="1">
      <c r="A76" s="49" t="inlineStr">
        <is>
          <t>N-FURAÇÃO A MAIS</t>
        </is>
      </c>
      <c r="B76" s="49">
        <f>VLOOKUP(LEFT(A76,1),Tabela5[],2,0)</f>
        <v/>
      </c>
      <c r="C76" s="49" t="inlineStr">
        <is>
          <t>MDF - 15MM</t>
        </is>
      </c>
      <c r="D76" s="170">
        <f>VLOOKUP(TabelaSobras[[#This Row],[Tipo de Chapa/COR]],'PREÇOS MDF'!$A$7:$B$10,2,0)</f>
        <v/>
      </c>
      <c r="E76" s="50" t="n">
        <v>1568</v>
      </c>
      <c r="F76" s="50" t="n">
        <v>297</v>
      </c>
      <c r="G76" s="50">
        <f>TabelaSobras[[#This Row],[Comprimento 
Sobras (mm)]] &amp; " X " &amp; F76</f>
        <v/>
      </c>
      <c r="H76" s="49">
        <f>(TabelaSobras[[#This Row],[Comprimento 
Sobras (mm)]]*F76/1000000)</f>
        <v/>
      </c>
      <c r="I76" s="49" t="n">
        <v>22</v>
      </c>
      <c r="J76" s="49">
        <f>IF(TabelaSobras[[#This Row],[Estoque]]&lt;=$U$1,$V$1,$W$1)</f>
        <v/>
      </c>
      <c r="K76" s="170">
        <f>TabelaSobras[[#This Row],[Quantidade de Sobra]]-L76</f>
        <v/>
      </c>
      <c r="L76" s="49">
        <f>TabelaSobras[[#This Row],[Quantidade de Sobra]]-TabelaSobras[[#This Row],[Saída]]-TabelaSobras[[#This Row],[Saída 2]]</f>
        <v/>
      </c>
      <c r="M76" s="49" t="inlineStr">
        <is>
          <t>Nesher</t>
        </is>
      </c>
      <c r="N76" s="170">
        <f>TabelaSobras[[#This Row],[M²
Sobras]]*L76</f>
        <v/>
      </c>
      <c r="O76" s="49" t="n">
        <v>22</v>
      </c>
      <c r="P76" s="49" t="n"/>
      <c r="Q76" s="49" t="inlineStr">
        <is>
          <t xml:space="preserve">KIT NOBREZA </t>
        </is>
      </c>
      <c r="R76" s="49" t="inlineStr">
        <is>
          <t>Yuri</t>
        </is>
      </c>
      <c r="S76" s="104" t="n">
        <v>46101</v>
      </c>
      <c r="T76" s="105">
        <f>TODAY()-TabelaSobras[[#This Row],[Data do
Registro inicial]]</f>
        <v/>
      </c>
    </row>
    <row r="77" hidden="1" ht="15.6" customHeight="1">
      <c r="A77" s="50" t="inlineStr">
        <is>
          <t>N-SOBRA PARA CRISTALEIRA</t>
        </is>
      </c>
      <c r="B77" s="49">
        <f>VLOOKUP(LEFT(A77,1),Tabela5[],2,0)</f>
        <v/>
      </c>
      <c r="C77" s="49" t="inlineStr">
        <is>
          <t>MDF - 15MM</t>
        </is>
      </c>
      <c r="D77" s="170">
        <f>VLOOKUP(TabelaSobras[[#This Row],[Tipo de Chapa/COR]],'PREÇOS MDF'!$A$7:$B$10,2,0)</f>
        <v/>
      </c>
      <c r="E77" s="50" t="n">
        <v>670</v>
      </c>
      <c r="F77" s="50" t="n">
        <v>70</v>
      </c>
      <c r="G77" s="50">
        <f>TabelaSobras[[#This Row],[Comprimento 
Sobras (mm)]] &amp; " X " &amp; F77</f>
        <v/>
      </c>
      <c r="H77" s="49">
        <f>(TabelaSobras[[#This Row],[Comprimento 
Sobras (mm)]]*F77/1000000)</f>
        <v/>
      </c>
      <c r="I77" s="49" t="n">
        <v>1600</v>
      </c>
      <c r="J77" s="49">
        <f>IF(TabelaSobras[[#This Row],[Estoque]]&lt;=$U$1,$V$1,$W$1)</f>
        <v/>
      </c>
      <c r="K77" s="170">
        <f>TabelaSobras[[#This Row],[Quantidade de Sobra]]-L77</f>
        <v/>
      </c>
      <c r="L77" s="49">
        <f>TabelaSobras[[#This Row],[Quantidade de Sobra]]-TabelaSobras[[#This Row],[Saída]]-TabelaSobras[[#This Row],[Saída 2]]</f>
        <v/>
      </c>
      <c r="M77" s="49" t="inlineStr">
        <is>
          <t>Nesher</t>
        </is>
      </c>
      <c r="N77" s="170">
        <f>TabelaSobras[[#This Row],[M²
Sobras]]*L77</f>
        <v/>
      </c>
      <c r="O77" s="49" t="n">
        <v>1600</v>
      </c>
      <c r="P77" s="49" t="n"/>
      <c r="Q77" s="119" t="inlineStr">
        <is>
          <t>CRISTALEIRA</t>
        </is>
      </c>
      <c r="R77" s="49" t="inlineStr">
        <is>
          <t>Yuri</t>
        </is>
      </c>
      <c r="S77" s="104" t="n">
        <v>46094</v>
      </c>
      <c r="T77" s="105">
        <f>TODAY()-TabelaSobras[[#This Row],[Data do
Registro inicial]]</f>
        <v/>
      </c>
    </row>
    <row r="78">
      <c r="A78" s="139" t="inlineStr">
        <is>
          <t>N- SOBRAS DE VIDRO</t>
        </is>
      </c>
      <c r="B78" s="138">
        <f>VLOOKUP(LEFT(A78,1),Tabela5[],2,0)</f>
        <v/>
      </c>
      <c r="C78" s="138" t="inlineStr">
        <is>
          <t>MDF - 15MM</t>
        </is>
      </c>
      <c r="D78" s="170">
        <f>VLOOKUP(TabelaSobras[[#This Row],[Tipo de Chapa/COR]],'PREÇOS MDF'!$A$7:$B$10,2,0)</f>
        <v/>
      </c>
      <c r="E78" s="139" t="n">
        <v>1065</v>
      </c>
      <c r="F78" s="139" t="n">
        <v>270</v>
      </c>
      <c r="G78" s="139">
        <f>TabelaSobras[[#This Row],[Comprimento 
Sobras (mm)]] &amp; " X " &amp; F78</f>
        <v/>
      </c>
      <c r="H78" s="138">
        <f>(TabelaSobras[[#This Row],[Comprimento 
Sobras (mm)]]*F78/1000000)</f>
        <v/>
      </c>
      <c r="I78" s="138">
        <f>92+170+148</f>
        <v/>
      </c>
      <c r="J78" s="138">
        <f>IF(TabelaSobras[[#This Row],[Estoque]]&lt;=$U$1,$V$1,$W$1)</f>
        <v/>
      </c>
      <c r="K78" s="170">
        <f>TabelaSobras[[#This Row],[Quantidade de Sobra]]-L78</f>
        <v/>
      </c>
      <c r="L78" s="138">
        <f>TabelaSobras[[#This Row],[Quantidade de Sobra]]-TabelaSobras[[#This Row],[Saída]]-TabelaSobras[[#This Row],[Saída 2]]</f>
        <v/>
      </c>
      <c r="M78" s="138" t="inlineStr">
        <is>
          <t>Nesher</t>
        </is>
      </c>
      <c r="N78" s="170">
        <f>TabelaSobras[[#This Row],[M²
Sobras]]*L78</f>
        <v/>
      </c>
      <c r="O78" s="138">
        <f>75+150+150</f>
        <v/>
      </c>
      <c r="P78" s="138" t="n"/>
      <c r="Q78" s="138" t="inlineStr">
        <is>
          <t>972x70 | 488X50</t>
        </is>
      </c>
      <c r="R78" s="138" t="inlineStr">
        <is>
          <t>Yuri</t>
        </is>
      </c>
      <c r="S78" s="142" t="n">
        <v>46192</v>
      </c>
      <c r="T78" s="141">
        <f>TODAY()-TabelaSobras[[#This Row],[Data do
Registro inicial]]</f>
        <v/>
      </c>
    </row>
    <row r="79" hidden="1">
      <c r="A79" s="139" t="inlineStr">
        <is>
          <t>N- SOBRAS DE VIDRO</t>
        </is>
      </c>
      <c r="B79" s="138">
        <f>VLOOKUP(LEFT(A79,1),Tabela5[],2,0)</f>
        <v/>
      </c>
      <c r="C79" s="138" t="inlineStr">
        <is>
          <t>MDF - 15MM</t>
        </is>
      </c>
      <c r="D79" s="115">
        <f>VLOOKUP(TabelaSobras[[#This Row],[Tipo de Chapa/COR]],'PREÇOS MDF'!$A$7:$B$10,2,0)</f>
        <v/>
      </c>
      <c r="E79" s="139" t="n">
        <v>2050</v>
      </c>
      <c r="F79" s="139" t="n">
        <v>225</v>
      </c>
      <c r="G79" s="139">
        <f>TabelaSobras[[#This Row],[Comprimento 
Sobras (mm)]] &amp; " X " &amp; F79</f>
        <v/>
      </c>
      <c r="H79" s="138">
        <f>(TabelaSobras[[#This Row],[Comprimento 
Sobras (mm)]]*F79/1000000)</f>
        <v/>
      </c>
      <c r="I79" s="138">
        <f>310+930</f>
        <v/>
      </c>
      <c r="J79" s="138">
        <f>IF(TabelaSobras[[#This Row],[Estoque]]&lt;=$U$1,$V$1,$W$1)</f>
        <v/>
      </c>
      <c r="K79" s="116">
        <f>TabelaSobras[[#This Row],[Quantidade de Sobra]]-L79</f>
        <v/>
      </c>
      <c r="L79" s="138">
        <f>TabelaSobras[[#This Row],[Quantidade de Sobra]]-TabelaSobras[[#This Row],[Saída]]-TabelaSobras[[#This Row],[Saída 2]]</f>
        <v/>
      </c>
      <c r="M79" s="138" t="inlineStr">
        <is>
          <t>Nesher</t>
        </is>
      </c>
      <c r="N79" s="116">
        <f>TabelaSobras[[#This Row],[M²
Sobras]]*L79</f>
        <v/>
      </c>
      <c r="O79" s="138" t="n">
        <v>400</v>
      </c>
      <c r="P79" s="138">
        <f>108+732</f>
        <v/>
      </c>
      <c r="Q79" s="140" t="inlineStr">
        <is>
          <t>N2603101-02-03-04</t>
        </is>
      </c>
      <c r="R79" s="138" t="inlineStr">
        <is>
          <t>Yuri</t>
        </is>
      </c>
      <c r="S79" s="142" t="n">
        <v>46148</v>
      </c>
      <c r="T79" s="141">
        <f>TODAY()-TabelaSobras[[#This Row],[Data do
Registro inicial]]</f>
        <v/>
      </c>
    </row>
    <row r="80" hidden="1" ht="28.8" customHeight="1">
      <c r="A80" s="136" t="inlineStr">
        <is>
          <t>N-FURAÇÃO ERRADA - BALCÃO CONDESSA 120</t>
        </is>
      </c>
      <c r="B80" s="49">
        <f>VLOOKUP(LEFT(A80,1),Tabela5[],2,0)</f>
        <v/>
      </c>
      <c r="C80" s="49" t="inlineStr">
        <is>
          <t>MDF - 15MM</t>
        </is>
      </c>
      <c r="D80" s="170">
        <f>VLOOKUP(TabelaSobras[[#This Row],[Tipo de Chapa/COR]],'PREÇOS MDF'!$A$7:$B$10,2,0)</f>
        <v/>
      </c>
      <c r="E80" s="50" t="n">
        <v>780</v>
      </c>
      <c r="F80" s="50" t="n">
        <v>500</v>
      </c>
      <c r="G80" s="50">
        <f>TabelaSobras[[#This Row],[Comprimento 
Sobras (mm)]] &amp; " X " &amp; F80</f>
        <v/>
      </c>
      <c r="H80" s="49">
        <f>(TabelaSobras[[#This Row],[Comprimento 
Sobras (mm)]]*F80/1000000)</f>
        <v/>
      </c>
      <c r="I80" s="49" t="n">
        <v>300</v>
      </c>
      <c r="J80" s="49">
        <f>IF(TabelaSobras[[#This Row],[Estoque]]&lt;=$U$1,$V$1,$W$1)</f>
        <v/>
      </c>
      <c r="K80" s="170">
        <f>TabelaSobras[[#This Row],[Quantidade de Sobra]]-L80</f>
        <v/>
      </c>
      <c r="L80" s="49">
        <f>TabelaSobras[[#This Row],[Quantidade de Sobra]]-TabelaSobras[[#This Row],[Saída]]-TabelaSobras[[#This Row],[Saída 2]]</f>
        <v/>
      </c>
      <c r="M80" s="49" t="inlineStr">
        <is>
          <t>Nesher</t>
        </is>
      </c>
      <c r="N80" s="170">
        <f>TabelaSobras[[#This Row],[M²
Sobras]]*L80</f>
        <v/>
      </c>
      <c r="O80" s="49" t="n">
        <v>300</v>
      </c>
      <c r="P80" s="49" t="n"/>
      <c r="Q80" s="49" t="inlineStr">
        <is>
          <t>BALC CONDESSA</t>
        </is>
      </c>
      <c r="R80" s="49" t="inlineStr">
        <is>
          <t>Yuri</t>
        </is>
      </c>
      <c r="S80" s="104" t="n">
        <v>46104</v>
      </c>
      <c r="T80" s="105">
        <f>TODAY()-TabelaSobras[[#This Row],[Data do
Registro inicial]]</f>
        <v/>
      </c>
    </row>
    <row r="81" hidden="1">
      <c r="A81" s="49" t="inlineStr">
        <is>
          <t>N26025</t>
        </is>
      </c>
      <c r="B81" s="49">
        <f>VLOOKUP(LEFT(A81,1),Tabela5[],2,0)</f>
        <v/>
      </c>
      <c r="C81" s="49" t="inlineStr">
        <is>
          <t>MDF - 15MM</t>
        </is>
      </c>
      <c r="D81" s="170">
        <f>VLOOKUP(TabelaSobras[[#This Row],[Tipo de Chapa/COR]],'PREÇOS MDF'!$A$7:$B$10,2,0)</f>
        <v/>
      </c>
      <c r="E81" s="50" t="n">
        <v>770</v>
      </c>
      <c r="F81" s="50" t="n">
        <v>297</v>
      </c>
      <c r="G81" s="50">
        <f>TabelaSobras[[#This Row],[Comprimento 
Sobras (mm)]] &amp; " X " &amp; F81</f>
        <v/>
      </c>
      <c r="H81" s="49">
        <f>(TabelaSobras[[#This Row],[Comprimento 
Sobras (mm)]]*F81/1000000)</f>
        <v/>
      </c>
      <c r="I81" s="49">
        <f>67*3</f>
        <v/>
      </c>
      <c r="J81" s="49">
        <f>IF(TabelaSobras[[#This Row],[Estoque]]&lt;=$U$1,$V$1,$W$1)</f>
        <v/>
      </c>
      <c r="K81" s="170">
        <f>TabelaSobras[[#This Row],[Quantidade de Sobra]]-L81</f>
        <v/>
      </c>
      <c r="L81" s="49">
        <f>TabelaSobras[[#This Row],[Quantidade de Sobra]]-TabelaSobras[[#This Row],[Saída]]-TabelaSobras[[#This Row],[Saída 2]]</f>
        <v/>
      </c>
      <c r="M81" s="49" t="inlineStr">
        <is>
          <t>Nesher</t>
        </is>
      </c>
      <c r="N81" s="170">
        <f>TabelaSobras[[#This Row],[M²
Sobras]]*L81</f>
        <v/>
      </c>
      <c r="O81" s="49" t="n">
        <v>201</v>
      </c>
      <c r="P81" s="49" t="n"/>
      <c r="Q81" s="49" t="inlineStr">
        <is>
          <t>N26025</t>
        </is>
      </c>
      <c r="R81" s="49" t="inlineStr">
        <is>
          <t>Yuri</t>
        </is>
      </c>
      <c r="S81" s="104" t="n">
        <v>46105</v>
      </c>
      <c r="T81" s="105">
        <f>TODAY()-TabelaSobras[[#This Row],[Data do
Registro inicial]]</f>
        <v/>
      </c>
    </row>
    <row r="82" hidden="1">
      <c r="A82" s="49" t="inlineStr">
        <is>
          <t>N</t>
        </is>
      </c>
      <c r="B82" s="49">
        <f>VLOOKUP(LEFT(A82,1),Tabela5[],2,0)</f>
        <v/>
      </c>
      <c r="C82" s="49" t="inlineStr">
        <is>
          <t>MDF - 15MM</t>
        </is>
      </c>
      <c r="D82" s="170">
        <f>VLOOKUP(TabelaSobras[[#This Row],[Tipo de Chapa/COR]],'PREÇOS MDF'!$A$7:$B$10,2,0)</f>
        <v/>
      </c>
      <c r="E82" s="50" t="n">
        <v>783</v>
      </c>
      <c r="F82" s="50" t="n">
        <v>297</v>
      </c>
      <c r="G82" s="50">
        <f>TabelaSobras[[#This Row],[Comprimento 
Sobras (mm)]] &amp; " X " &amp; F82</f>
        <v/>
      </c>
      <c r="H82" s="49">
        <f>(TabelaSobras[[#This Row],[Comprimento 
Sobras (mm)]]*F82/1000000)</f>
        <v/>
      </c>
      <c r="I82" s="49" t="n">
        <v>369</v>
      </c>
      <c r="J82" s="49">
        <f>IF(TabelaSobras[[#This Row],[Estoque]]&lt;=$U$1,$V$1,$W$1)</f>
        <v/>
      </c>
      <c r="K82" s="170">
        <f>TabelaSobras[[#This Row],[Quantidade de Sobra]]-L82</f>
        <v/>
      </c>
      <c r="L82" s="49">
        <f>TabelaSobras[[#This Row],[Quantidade de Sobra]]-TabelaSobras[[#This Row],[Saída]]-TabelaSobras[[#This Row],[Saída 2]]</f>
        <v/>
      </c>
      <c r="M82" s="49" t="inlineStr">
        <is>
          <t>Nesher</t>
        </is>
      </c>
      <c r="N82" s="170">
        <f>TabelaSobras[[#This Row],[M²
Sobras]]*L82</f>
        <v/>
      </c>
      <c r="O82" s="49" t="n">
        <v>369</v>
      </c>
      <c r="P82" s="49" t="n"/>
      <c r="Q82" s="49" t="n"/>
      <c r="R82" s="49" t="inlineStr">
        <is>
          <t>Yuri</t>
        </is>
      </c>
      <c r="S82" s="104" t="n">
        <v>46136</v>
      </c>
      <c r="T82" s="105">
        <f>TODAY()-TabelaSobras[[#This Row],[Data do
Registro inicial]]</f>
        <v/>
      </c>
    </row>
    <row r="83" hidden="1">
      <c r="A83" s="170" t="inlineStr">
        <is>
          <t>N-GAVETÃO ESQ</t>
        </is>
      </c>
      <c r="B83" s="170">
        <f>VLOOKUP(LEFT(A83,1),Tabela5[],2,0)</f>
        <v/>
      </c>
      <c r="C83" s="170" t="inlineStr">
        <is>
          <t>MDF - 15MM</t>
        </is>
      </c>
      <c r="D83" s="170">
        <f>VLOOKUP(TabelaSobras[[#This Row],[Tipo de Chapa/COR]],'PREÇOS MDF'!$A$7:$B$10,2,0)</f>
        <v/>
      </c>
      <c r="E83" s="169" t="n">
        <v>400</v>
      </c>
      <c r="F83" s="169" t="n">
        <v>263</v>
      </c>
      <c r="G83" s="169">
        <f>TabelaSobras[[#This Row],[Comprimento 
Sobras (mm)]] &amp; " X " &amp; F83</f>
        <v/>
      </c>
      <c r="H83" s="170">
        <f>(TabelaSobras[[#This Row],[Comprimento 
Sobras (mm)]]*F83/1000000)</f>
        <v/>
      </c>
      <c r="I83" s="170" t="n">
        <v>447</v>
      </c>
      <c r="J83" s="170">
        <f>IF(TabelaSobras[[#This Row],[Estoque]]&lt;=$U$1,$V$1,$W$1)</f>
        <v/>
      </c>
      <c r="K83" s="170">
        <f>TabelaSobras[[#This Row],[Quantidade de Sobra]]-L83</f>
        <v/>
      </c>
      <c r="L83" s="170">
        <f>TabelaSobras[[#This Row],[Quantidade de Sobra]]-TabelaSobras[[#This Row],[Saída]]-TabelaSobras[[#This Row],[Saída 2]]</f>
        <v/>
      </c>
      <c r="M83" s="170" t="inlineStr">
        <is>
          <t>Nesher</t>
        </is>
      </c>
      <c r="N83" s="170">
        <f>TabelaSobras[[#This Row],[M²
Sobras]]*L83</f>
        <v/>
      </c>
      <c r="O83" s="170" t="n">
        <v>300</v>
      </c>
      <c r="P83" s="170" t="n">
        <v>147</v>
      </c>
      <c r="Q83" s="170" t="inlineStr">
        <is>
          <t>N26025 | N26027</t>
        </is>
      </c>
      <c r="R83" s="170" t="inlineStr">
        <is>
          <t>Yuri</t>
        </is>
      </c>
      <c r="S83" s="10" t="n">
        <v>46112</v>
      </c>
      <c r="T83" s="12">
        <f>TODAY()-TabelaSobras[[#This Row],[Data do
Registro inicial]]</f>
        <v/>
      </c>
    </row>
    <row r="84" hidden="1">
      <c r="A84" s="42" t="inlineStr">
        <is>
          <t>N26024</t>
        </is>
      </c>
      <c r="B84" s="42">
        <f>VLOOKUP(LEFT(A84,1),Tabela5[],2,0)</f>
        <v/>
      </c>
      <c r="C84" s="42" t="inlineStr">
        <is>
          <t>MDF - 25MM</t>
        </is>
      </c>
      <c r="D84" s="170">
        <f>VLOOKUP(TabelaSobras[[#This Row],[Tipo de Chapa/COR]],'PREÇOS MDF'!$A$7:$B$10,2,0)</f>
        <v/>
      </c>
      <c r="E84" s="55" t="n">
        <v>2100</v>
      </c>
      <c r="F84" s="55" t="n">
        <v>450</v>
      </c>
      <c r="G84" s="55">
        <f>TabelaSobras[[#This Row],[Comprimento 
Sobras (mm)]] &amp; " X " &amp; F84</f>
        <v/>
      </c>
      <c r="H84" s="42">
        <f>(TabelaSobras[[#This Row],[Comprimento 
Sobras (mm)]]*F84/1000000)</f>
        <v/>
      </c>
      <c r="I84" s="42">
        <f>147+26</f>
        <v/>
      </c>
      <c r="J84" s="42">
        <f>IF(TabelaSobras[[#This Row],[Estoque]]&lt;=$U$1,$V$1,$W$1)</f>
        <v/>
      </c>
      <c r="K84" s="170">
        <f>TabelaSobras[[#This Row],[Quantidade de Sobra]]-L84</f>
        <v/>
      </c>
      <c r="L84" s="42">
        <f>TabelaSobras[[#This Row],[Quantidade de Sobra]]-TabelaSobras[[#This Row],[Saída]]-TabelaSobras[[#This Row],[Saída 2]]</f>
        <v/>
      </c>
      <c r="M84" s="42" t="inlineStr">
        <is>
          <t>Nesher</t>
        </is>
      </c>
      <c r="N84" s="170">
        <f>TabelaSobras[[#This Row],[M²
Sobras]]*L84</f>
        <v/>
      </c>
      <c r="O84" s="42" t="n">
        <v>173</v>
      </c>
      <c r="P84" s="42" t="n"/>
      <c r="Q84" s="42" t="inlineStr">
        <is>
          <t>KIT NOBREZA (4101)</t>
        </is>
      </c>
      <c r="R84" s="42" t="inlineStr">
        <is>
          <t>Yuri</t>
        </is>
      </c>
      <c r="S84" s="113" t="n">
        <v>46112</v>
      </c>
      <c r="T84" s="114">
        <f>TODAY()-TabelaSobras[[#This Row],[Data do
Registro inicial]]</f>
        <v/>
      </c>
    </row>
    <row r="85" hidden="1">
      <c r="A85" s="42" t="inlineStr">
        <is>
          <t>N26024</t>
        </is>
      </c>
      <c r="B85" s="42">
        <f>VLOOKUP(LEFT(A85,1),Tabela5[],2,0)</f>
        <v/>
      </c>
      <c r="C85" s="42" t="inlineStr">
        <is>
          <t>MDF - 15MM</t>
        </is>
      </c>
      <c r="D85" s="170">
        <f>VLOOKUP(TabelaSobras[[#This Row],[Tipo de Chapa/COR]],'PREÇOS MDF'!$A$7:$B$10,2,0)</f>
        <v/>
      </c>
      <c r="E85" s="55" t="n">
        <v>987</v>
      </c>
      <c r="F85" s="55" t="n">
        <v>413</v>
      </c>
      <c r="G85" s="55">
        <f>TabelaSobras[[#This Row],[Comprimento 
Sobras (mm)]] &amp; " X " &amp; F85</f>
        <v/>
      </c>
      <c r="H85" s="42">
        <f>(TabelaSobras[[#This Row],[Comprimento 
Sobras (mm)]]*F85/1000000)</f>
        <v/>
      </c>
      <c r="I85" s="42" t="n">
        <v>26</v>
      </c>
      <c r="J85" s="42">
        <f>IF(TabelaSobras[[#This Row],[Estoque]]&lt;=$U$1,$V$1,$W$1)</f>
        <v/>
      </c>
      <c r="K85" s="170">
        <f>TabelaSobras[[#This Row],[Quantidade de Sobra]]-L85</f>
        <v/>
      </c>
      <c r="L85" s="42">
        <f>TabelaSobras[[#This Row],[Quantidade de Sobra]]-TabelaSobras[[#This Row],[Saída]]-TabelaSobras[[#This Row],[Saída 2]]</f>
        <v/>
      </c>
      <c r="M85" s="42" t="inlineStr">
        <is>
          <t>Nesher</t>
        </is>
      </c>
      <c r="N85" s="170">
        <f>TabelaSobras[[#This Row],[M²
Sobras]]*L85</f>
        <v/>
      </c>
      <c r="O85" s="42" t="n">
        <v>26</v>
      </c>
      <c r="P85" s="42" t="n"/>
      <c r="Q85" s="42" t="inlineStr">
        <is>
          <t>KIT REALEZA 220</t>
        </is>
      </c>
      <c r="R85" s="42" t="inlineStr">
        <is>
          <t>Yuri</t>
        </is>
      </c>
      <c r="S85" s="113" t="n">
        <v>46113</v>
      </c>
      <c r="T85" s="114">
        <f>TODAY()-TabelaSobras[[#This Row],[Data do
Registro inicial]]</f>
        <v/>
      </c>
    </row>
    <row r="86" hidden="1">
      <c r="A86" s="170" t="inlineStr">
        <is>
          <t>N</t>
        </is>
      </c>
      <c r="B86" s="170">
        <f>VLOOKUP(LEFT(A86,1),Tabela5[],2,0)</f>
        <v/>
      </c>
      <c r="C86" s="170" t="inlineStr">
        <is>
          <t>MDF - 15MM</t>
        </is>
      </c>
      <c r="D86" s="170">
        <f>VLOOKUP(TabelaSobras[[#This Row],[Tipo de Chapa/COR]],'PREÇOS MDF'!$A$7:$B$10,2,0)</f>
        <v/>
      </c>
      <c r="E86" s="169" t="n">
        <v>770</v>
      </c>
      <c r="F86" s="169" t="n">
        <v>300</v>
      </c>
      <c r="G86" s="169">
        <f>TabelaSobras[[#This Row],[Comprimento 
Sobras (mm)]] &amp; " X " &amp; F86</f>
        <v/>
      </c>
      <c r="H86" s="170">
        <f>(TabelaSobras[[#This Row],[Comprimento 
Sobras (mm)]]*F86/1000000)</f>
        <v/>
      </c>
      <c r="I86" s="170">
        <f>360+235</f>
        <v/>
      </c>
      <c r="J86" s="170">
        <f>IF(TabelaSobras[[#This Row],[Estoque]]&lt;=$U$1,$V$1,$W$1)</f>
        <v/>
      </c>
      <c r="K86" s="170">
        <f>TabelaSobras[[#This Row],[Quantidade de Sobra]]-L86</f>
        <v/>
      </c>
      <c r="L86" s="170">
        <f>TabelaSobras[[#This Row],[Quantidade de Sobra]]-TabelaSobras[[#This Row],[Saída]]-TabelaSobras[[#This Row],[Saída 2]]</f>
        <v/>
      </c>
      <c r="M86" s="170" t="inlineStr">
        <is>
          <t>Nesher</t>
        </is>
      </c>
      <c r="N86" s="170">
        <f>TabelaSobras[[#This Row],[M²
Sobras]]*L86</f>
        <v/>
      </c>
      <c r="O86" s="170" t="n">
        <v>595</v>
      </c>
      <c r="P86" s="170" t="n"/>
      <c r="Q86" s="170" t="n"/>
      <c r="R86" s="170" t="n"/>
      <c r="S86" s="10" t="n">
        <v>46136</v>
      </c>
      <c r="T86" s="12">
        <f>TODAY()-TabelaSobras[[#This Row],[Data do
Registro inicial]]</f>
        <v/>
      </c>
    </row>
    <row r="87" hidden="1">
      <c r="A87" s="170" t="inlineStr">
        <is>
          <t>NATURE</t>
        </is>
      </c>
      <c r="B87" s="170">
        <f>VLOOKUP(LEFT(A87,1),Tabela5[],2,0)</f>
        <v/>
      </c>
      <c r="C87" s="170" t="inlineStr">
        <is>
          <t>MDF - 15MM</t>
        </is>
      </c>
      <c r="D87" s="170">
        <f>VLOOKUP(TabelaSobras[[#This Row],[Tipo de Chapa/COR]],'PREÇOS MDF'!$A$7:$B$10,2,0)</f>
        <v/>
      </c>
      <c r="E87" s="169" t="n">
        <v>1170</v>
      </c>
      <c r="F87" s="169" t="n">
        <v>297</v>
      </c>
      <c r="G87" s="169">
        <f>TabelaSobras[[#This Row],[Comprimento 
Sobras (mm)]] &amp; " X " &amp; F87</f>
        <v/>
      </c>
      <c r="H87" s="170">
        <f>(TabelaSobras[[#This Row],[Comprimento 
Sobras (mm)]]*F87/1000000)</f>
        <v/>
      </c>
      <c r="I87" s="170" t="n">
        <v>148</v>
      </c>
      <c r="J87" s="170">
        <f>IF(TabelaSobras[[#This Row],[Estoque]]&lt;=$U$1,$V$1,$W$1)</f>
        <v/>
      </c>
      <c r="K87" s="170">
        <f>TabelaSobras[[#This Row],[Quantidade de Sobra]]-L87</f>
        <v/>
      </c>
      <c r="L87" s="170">
        <f>TabelaSobras[[#This Row],[Quantidade de Sobra]]-TabelaSobras[[#This Row],[Saída]]-TabelaSobras[[#This Row],[Saída 2]]</f>
        <v/>
      </c>
      <c r="M87" s="170" t="inlineStr">
        <is>
          <t>Nesher</t>
        </is>
      </c>
      <c r="N87" s="170">
        <f>TabelaSobras[[#This Row],[M²
Sobras]]*L87</f>
        <v/>
      </c>
      <c r="O87" s="170" t="n">
        <v>148</v>
      </c>
      <c r="P87" s="170" t="n"/>
      <c r="Q87" s="170" t="inlineStr">
        <is>
          <t>N30</t>
        </is>
      </c>
      <c r="R87" s="170" t="n"/>
      <c r="S87" s="10" t="n">
        <v>46136</v>
      </c>
      <c r="T87" s="12">
        <f>TODAY()-TabelaSobras[[#This Row],[Data do
Registro inicial]]</f>
        <v/>
      </c>
    </row>
    <row r="88" hidden="1">
      <c r="A88" s="170" t="inlineStr">
        <is>
          <t>N</t>
        </is>
      </c>
      <c r="B88" s="170">
        <f>VLOOKUP(LEFT(A88,1),Tabela5[],2,0)</f>
        <v/>
      </c>
      <c r="C88" s="170" t="inlineStr">
        <is>
          <t>MDF - 15MM</t>
        </is>
      </c>
      <c r="D88" s="170">
        <f>VLOOKUP(TabelaSobras[[#This Row],[Tipo de Chapa/COR]],'PREÇOS MDF'!$A$7:$B$10,2,0)</f>
        <v/>
      </c>
      <c r="E88" s="169" t="n">
        <v>987</v>
      </c>
      <c r="F88" s="169" t="n">
        <v>326</v>
      </c>
      <c r="G88" s="169">
        <f>TabelaSobras[[#This Row],[Comprimento 
Sobras (mm)]] &amp; " X " &amp; F88</f>
        <v/>
      </c>
      <c r="H88" s="170">
        <f>(TabelaSobras[[#This Row],[Comprimento 
Sobras (mm)]]*F88/1000000)</f>
        <v/>
      </c>
      <c r="I88" s="170" t="n">
        <v>19</v>
      </c>
      <c r="J88" s="170">
        <f>IF(TabelaSobras[[#This Row],[Estoque]]&lt;=$U$1,$V$1,$W$1)</f>
        <v/>
      </c>
      <c r="K88" s="170">
        <f>TabelaSobras[[#This Row],[Quantidade de Sobra]]-L88</f>
        <v/>
      </c>
      <c r="L88" s="170">
        <f>TabelaSobras[[#This Row],[Quantidade de Sobra]]-TabelaSobras[[#This Row],[Saída]]-TabelaSobras[[#This Row],[Saída 2]]</f>
        <v/>
      </c>
      <c r="M88" s="170" t="inlineStr">
        <is>
          <t>Nesher</t>
        </is>
      </c>
      <c r="N88" s="170">
        <f>TabelaSobras[[#This Row],[M²
Sobras]]*L88</f>
        <v/>
      </c>
      <c r="O88" s="170" t="n">
        <v>19</v>
      </c>
      <c r="P88" s="170" t="n"/>
      <c r="Q88" s="170" t="inlineStr">
        <is>
          <t>N32</t>
        </is>
      </c>
      <c r="R88" s="170" t="n"/>
      <c r="S88" s="10" t="n">
        <v>46136</v>
      </c>
      <c r="T88" s="12">
        <f>TODAY()-TabelaSobras[[#This Row],[Data do
Registro inicial]]</f>
        <v/>
      </c>
    </row>
    <row r="89" hidden="1">
      <c r="A89" s="170" t="inlineStr">
        <is>
          <t>N</t>
        </is>
      </c>
      <c r="B89" s="170">
        <f>VLOOKUP(LEFT(A89,1),Tabela5[],2,0)</f>
        <v/>
      </c>
      <c r="C89" s="170" t="inlineStr">
        <is>
          <t>MDF - 15MM</t>
        </is>
      </c>
      <c r="D89" s="170">
        <f>VLOOKUP(TabelaSobras[[#This Row],[Tipo de Chapa/COR]],'PREÇOS MDF'!$A$7:$B$10,2,0)</f>
        <v/>
      </c>
      <c r="E89" s="169" t="n">
        <v>770</v>
      </c>
      <c r="F89" s="169" t="n">
        <v>588</v>
      </c>
      <c r="G89" s="169">
        <f>TabelaSobras[[#This Row],[Comprimento 
Sobras (mm)]] &amp; " X " &amp; F89</f>
        <v/>
      </c>
      <c r="H89" s="170">
        <f>(TabelaSobras[[#This Row],[Comprimento 
Sobras (mm)]]*F89/1000000)</f>
        <v/>
      </c>
      <c r="I89" s="170" t="n">
        <v>60</v>
      </c>
      <c r="J89" s="170">
        <f>IF(TabelaSobras[[#This Row],[Estoque]]&lt;=$U$1,$V$1,$W$1)</f>
        <v/>
      </c>
      <c r="K89" s="170">
        <f>TabelaSobras[[#This Row],[Quantidade de Sobra]]-L89</f>
        <v/>
      </c>
      <c r="L89" s="170">
        <f>TabelaSobras[[#This Row],[Quantidade de Sobra]]-TabelaSobras[[#This Row],[Saída]]-TabelaSobras[[#This Row],[Saída 2]]</f>
        <v/>
      </c>
      <c r="M89" s="170" t="inlineStr">
        <is>
          <t>Nesher</t>
        </is>
      </c>
      <c r="N89" s="170">
        <f>TabelaSobras[[#This Row],[M²
Sobras]]*L89</f>
        <v/>
      </c>
      <c r="O89" s="170" t="n">
        <v>60</v>
      </c>
      <c r="P89" s="170" t="n"/>
      <c r="Q89" s="170" t="inlineStr">
        <is>
          <t>REC N36</t>
        </is>
      </c>
      <c r="R89" s="170" t="inlineStr">
        <is>
          <t>Yuri</t>
        </is>
      </c>
      <c r="S89" s="10" t="n">
        <v>46136</v>
      </c>
      <c r="T89" s="12">
        <f>TODAY()-TabelaSobras[[#This Row],[Data do
Registro inicial]]</f>
        <v/>
      </c>
    </row>
    <row r="90" hidden="1">
      <c r="A90" s="139" t="inlineStr">
        <is>
          <t>N- SOBRAS DE VIDRO</t>
        </is>
      </c>
      <c r="B90" s="138">
        <f>VLOOKUP(LEFT(A90,1),Tabela5[],2,0)</f>
        <v/>
      </c>
      <c r="C90" s="138" t="inlineStr">
        <is>
          <t>MDF - 15MM</t>
        </is>
      </c>
      <c r="D90" s="115">
        <f>VLOOKUP(TabelaSobras[[#This Row],[Tipo de Chapa/COR]],'PREÇOS MDF'!$A$7:$B$10,2,0)</f>
        <v/>
      </c>
      <c r="E90" s="139" t="n">
        <v>420</v>
      </c>
      <c r="F90" s="139" t="n">
        <v>399</v>
      </c>
      <c r="G90" s="139">
        <f>TabelaSobras[[#This Row],[Comprimento 
Sobras (mm)]] &amp; " X " &amp; F90</f>
        <v/>
      </c>
      <c r="H90" s="138">
        <f>(TabelaSobras[[#This Row],[Comprimento 
Sobras (mm)]]*F90/1000000)</f>
        <v/>
      </c>
      <c r="I90" s="138" t="n">
        <v>232</v>
      </c>
      <c r="J90" s="138">
        <f>IF(TabelaSobras[[#This Row],[Estoque]]&lt;=$U$1,$V$1,$W$1)</f>
        <v/>
      </c>
      <c r="K90" s="116">
        <f>TabelaSobras[[#This Row],[Quantidade de Sobra]]-L90</f>
        <v/>
      </c>
      <c r="L90" s="138">
        <f>TabelaSobras[[#This Row],[Quantidade de Sobra]]-TabelaSobras[[#This Row],[Saída]]-TabelaSobras[[#This Row],[Saída 2]]</f>
        <v/>
      </c>
      <c r="M90" s="138" t="inlineStr">
        <is>
          <t>Nesher</t>
        </is>
      </c>
      <c r="N90" s="116">
        <f>TabelaSobras[[#This Row],[M²
Sobras]]*L90</f>
        <v/>
      </c>
      <c r="O90" s="138" t="n">
        <v>232</v>
      </c>
      <c r="P90" s="142" t="n"/>
      <c r="Q90" s="141" t="inlineStr">
        <is>
          <t>multilínea</t>
        </is>
      </c>
      <c r="R90" s="138" t="inlineStr">
        <is>
          <t>Yuri</t>
        </is>
      </c>
      <c r="S90" s="142" t="n">
        <v>46192</v>
      </c>
      <c r="T90" s="141">
        <f>TODAY()-TabelaSobras[[#This Row],[Data do
Registro inicial]]</f>
        <v/>
      </c>
    </row>
    <row r="91" hidden="1">
      <c r="A91" s="170" t="inlineStr">
        <is>
          <t>N</t>
        </is>
      </c>
      <c r="B91" s="170">
        <f>VLOOKUP(LEFT(A91,1),Tabela5[],2,0)</f>
        <v/>
      </c>
      <c r="C91" s="170" t="inlineStr">
        <is>
          <t>MDF - 15MM</t>
        </is>
      </c>
      <c r="D91" s="170">
        <f>VLOOKUP(TabelaSobras[[#This Row],[Tipo de Chapa/COR]],'PREÇOS MDF'!$A$7:$B$10,2,0)</f>
        <v/>
      </c>
      <c r="E91" s="169" t="n">
        <v>670</v>
      </c>
      <c r="F91" s="169" t="n">
        <v>143</v>
      </c>
      <c r="G91" s="169">
        <f>TabelaSobras[[#This Row],[Comprimento 
Sobras (mm)]] &amp; " X " &amp; F91</f>
        <v/>
      </c>
      <c r="H91" s="170">
        <f>(TabelaSobras[[#This Row],[Comprimento 
Sobras (mm)]]*F91/1000000)</f>
        <v/>
      </c>
      <c r="I91" s="170">
        <f>695+400</f>
        <v/>
      </c>
      <c r="J91" s="170">
        <f>IF(TabelaSobras[[#This Row],[Estoque]]&lt;=$U$1,$V$1,$W$1)</f>
        <v/>
      </c>
      <c r="K91" s="170">
        <f>TabelaSobras[[#This Row],[Quantidade de Sobra]]-L91</f>
        <v/>
      </c>
      <c r="L91" s="170">
        <f>TabelaSobras[[#This Row],[Quantidade de Sobra]]-TabelaSobras[[#This Row],[Saída]]-TabelaSobras[[#This Row],[Saída 2]]</f>
        <v/>
      </c>
      <c r="M91" s="170" t="inlineStr">
        <is>
          <t>Nesher</t>
        </is>
      </c>
      <c r="N91" s="170">
        <f>TabelaSobras[[#This Row],[M²
Sobras]]*L91</f>
        <v/>
      </c>
      <c r="O91" s="170" t="n">
        <v>1095</v>
      </c>
      <c r="P91" s="170" t="n"/>
      <c r="Q91" s="170" t="inlineStr">
        <is>
          <t>N30</t>
        </is>
      </c>
      <c r="R91" s="170" t="n"/>
      <c r="S91" s="10" t="n"/>
      <c r="T91" s="12">
        <f>TODAY()-TabelaSobras[[#This Row],[Data do
Registro inicial]]</f>
        <v/>
      </c>
    </row>
    <row r="92" hidden="1" ht="43.2" customHeight="1">
      <c r="A92" s="8" t="inlineStr">
        <is>
          <t>N-PORTA CORTADA NA CHAPA ERRADA - RECORTAR PARA CAIXOTE</t>
        </is>
      </c>
      <c r="B92" s="170">
        <f>VLOOKUP(LEFT(A92,1),Tabela5[],2,0)</f>
        <v/>
      </c>
      <c r="C92" s="170" t="inlineStr">
        <is>
          <t>MDF - 15MM</t>
        </is>
      </c>
      <c r="D92" s="170">
        <f>VLOOKUP(TabelaSobras[[#This Row],[Tipo de Chapa/COR]],'PREÇOS MDF'!$A$7:$B$10,2,0)</f>
        <v/>
      </c>
      <c r="E92" s="169" t="n">
        <v>987</v>
      </c>
      <c r="F92" s="169" t="n">
        <v>413</v>
      </c>
      <c r="G92" s="169">
        <f>TabelaSobras[[#This Row],[Comprimento 
Sobras (mm)]] &amp; " X " &amp; F92</f>
        <v/>
      </c>
      <c r="H92" s="170">
        <f>(TabelaSobras[[#This Row],[Comprimento 
Sobras (mm)]]*F92/1000000)</f>
        <v/>
      </c>
      <c r="I92" s="170">
        <f>161-7</f>
        <v/>
      </c>
      <c r="J92" s="170">
        <f>IF(TabelaSobras[[#This Row],[Estoque]]&lt;=$U$1,$V$1,$W$1)</f>
        <v/>
      </c>
      <c r="K92" s="170">
        <f>TabelaSobras[[#This Row],[Quantidade de Sobra]]-L92</f>
        <v/>
      </c>
      <c r="L92" s="170">
        <f>TabelaSobras[[#This Row],[Quantidade de Sobra]]-TabelaSobras[[#This Row],[Saída]]-TabelaSobras[[#This Row],[Saída 2]]</f>
        <v/>
      </c>
      <c r="M92" s="170" t="inlineStr">
        <is>
          <t>Nesher</t>
        </is>
      </c>
      <c r="N92" s="170">
        <f>TabelaSobras[[#This Row],[M²
Sobras]]*L92</f>
        <v/>
      </c>
      <c r="O92" s="170" t="n">
        <v>154</v>
      </c>
      <c r="P92" s="170" t="n"/>
      <c r="Q92" s="8" t="inlineStr">
        <is>
          <t>REC PARA LAT DO ARM ADEGA - N31</t>
        </is>
      </c>
      <c r="R92" s="170" t="n"/>
      <c r="S92" s="10" t="n"/>
      <c r="T92" s="12">
        <f>TODAY()-TabelaSobras[[#This Row],[Data do
Registro inicial]]</f>
        <v/>
      </c>
    </row>
    <row r="93" hidden="1">
      <c r="A93" s="42" t="inlineStr">
        <is>
          <t>N-FURAÇÃO ERRADA</t>
        </is>
      </c>
      <c r="B93" s="42">
        <f>VLOOKUP(LEFT(A93,1),Tabela5[],2,0)</f>
        <v/>
      </c>
      <c r="C93" s="42" t="inlineStr">
        <is>
          <t>MDF - 15MM</t>
        </is>
      </c>
      <c r="D93" s="170">
        <f>VLOOKUP(TabelaSobras[[#This Row],[Tipo de Chapa/COR]],'PREÇOS MDF'!$A$7:$B$10,2,0)</f>
        <v/>
      </c>
      <c r="E93" s="55" t="n">
        <v>803</v>
      </c>
      <c r="F93" s="55" t="n">
        <v>297</v>
      </c>
      <c r="G93" s="55">
        <f>TabelaSobras[[#This Row],[Comprimento 
Sobras (mm)]] &amp; " X " &amp; F93</f>
        <v/>
      </c>
      <c r="H93" s="42">
        <f>(TabelaSobras[[#This Row],[Comprimento 
Sobras (mm)]]*F93/1000000)</f>
        <v/>
      </c>
      <c r="I93" s="42" t="n">
        <v>600</v>
      </c>
      <c r="J93" s="42">
        <f>IF(TabelaSobras[[#This Row],[Estoque]]&lt;=$U$1,$V$1,$W$1)</f>
        <v/>
      </c>
      <c r="K93" s="170">
        <f>TabelaSobras[[#This Row],[Quantidade de Sobra]]-L93</f>
        <v/>
      </c>
      <c r="L93" s="42">
        <f>TabelaSobras[[#This Row],[Quantidade de Sobra]]-TabelaSobras[[#This Row],[Saída]]-TabelaSobras[[#This Row],[Saída 2]]</f>
        <v/>
      </c>
      <c r="M93" s="42" t="inlineStr">
        <is>
          <t>Nesher</t>
        </is>
      </c>
      <c r="N93" s="170">
        <f>TabelaSobras[[#This Row],[M²
Sobras]]*L93</f>
        <v/>
      </c>
      <c r="O93" s="42" t="n">
        <v>600</v>
      </c>
      <c r="P93" s="42" t="n"/>
      <c r="Q93" s="55" t="inlineStr">
        <is>
          <t>N2603210</t>
        </is>
      </c>
      <c r="R93" s="42" t="n"/>
      <c r="S93" s="113" t="n">
        <v>46140</v>
      </c>
      <c r="T93" s="114">
        <f>TODAY()-TabelaSobras[[#This Row],[Data do
Registro inicial]]</f>
        <v/>
      </c>
    </row>
    <row r="94" hidden="1">
      <c r="A94" s="42" t="inlineStr">
        <is>
          <t>N-FURAÇÃO ERRADA</t>
        </is>
      </c>
      <c r="B94" s="42">
        <f>VLOOKUP(LEFT(A94,1),Tabela5[],2,0)</f>
        <v/>
      </c>
      <c r="C94" s="42" t="inlineStr">
        <is>
          <t>MDF - 15MM</t>
        </is>
      </c>
      <c r="D94" s="170">
        <f>VLOOKUP(TabelaSobras[[#This Row],[Tipo de Chapa/COR]],'PREÇOS MDF'!$A$7:$B$10,2,0)</f>
        <v/>
      </c>
      <c r="E94" s="55" t="n">
        <v>1170</v>
      </c>
      <c r="F94" s="55" t="n">
        <v>292</v>
      </c>
      <c r="G94" s="55">
        <f>TabelaSobras[[#This Row],[Comprimento 
Sobras (mm)]] &amp; " X " &amp; F94</f>
        <v/>
      </c>
      <c r="H94" s="42">
        <f>(TabelaSobras[[#This Row],[Comprimento 
Sobras (mm)]]*F94/1000000)</f>
        <v/>
      </c>
      <c r="I94" s="42" t="n">
        <v>300</v>
      </c>
      <c r="J94" s="42">
        <f>IF(TabelaSobras[[#This Row],[Estoque]]&lt;=$U$1,$V$1,$W$1)</f>
        <v/>
      </c>
      <c r="K94" s="170">
        <f>TabelaSobras[[#This Row],[Quantidade de Sobra]]-L94</f>
        <v/>
      </c>
      <c r="L94" s="42">
        <f>TabelaSobras[[#This Row],[Quantidade de Sobra]]-TabelaSobras[[#This Row],[Saída]]-TabelaSobras[[#This Row],[Saída 2]]</f>
        <v/>
      </c>
      <c r="M94" s="42" t="inlineStr">
        <is>
          <t>Nesher</t>
        </is>
      </c>
      <c r="N94" s="170">
        <f>TabelaSobras[[#This Row],[M²
Sobras]]*L94</f>
        <v/>
      </c>
      <c r="O94" s="42" t="n">
        <v>300</v>
      </c>
      <c r="P94" s="42" t="n"/>
      <c r="Q94" s="55" t="inlineStr">
        <is>
          <t>N2603210</t>
        </is>
      </c>
      <c r="R94" s="42" t="n"/>
      <c r="S94" s="113" t="n">
        <v>46140</v>
      </c>
      <c r="T94" s="114">
        <f>TODAY()-TabelaSobras[[#This Row],[Data do
Registro inicial]]</f>
        <v/>
      </c>
    </row>
    <row r="95" hidden="1">
      <c r="A95" s="42" t="inlineStr">
        <is>
          <t>N-FURAÇÃO ERRADA</t>
        </is>
      </c>
      <c r="B95" s="42">
        <f>VLOOKUP(LEFT(A95,1),Tabela5[],2,0)</f>
        <v/>
      </c>
      <c r="C95" s="42" t="inlineStr">
        <is>
          <t>MDF - 25MM</t>
        </is>
      </c>
      <c r="D95" s="170">
        <f>VLOOKUP(TabelaSobras[[#This Row],[Tipo de Chapa/COR]],'PREÇOS MDF'!$A$7:$B$10,2,0)</f>
        <v/>
      </c>
      <c r="E95" s="55" t="n">
        <v>2095</v>
      </c>
      <c r="F95" s="55" t="n">
        <v>450</v>
      </c>
      <c r="G95" s="55">
        <f>TabelaSobras[[#This Row],[Comprimento 
Sobras (mm)]] &amp; " X " &amp; F95</f>
        <v/>
      </c>
      <c r="H95" s="42">
        <f>(TabelaSobras[[#This Row],[Comprimento 
Sobras (mm)]]*F95/1000000)</f>
        <v/>
      </c>
      <c r="I95" s="42" t="n"/>
      <c r="J95" s="42">
        <f>IF(TabelaSobras[[#This Row],[Estoque]]&lt;=$U$1,$V$1,$W$1)</f>
        <v/>
      </c>
      <c r="K95" s="170">
        <f>TabelaSobras[[#This Row],[Quantidade de Sobra]]-L95</f>
        <v/>
      </c>
      <c r="L95" s="42">
        <f>TabelaSobras[[#This Row],[Quantidade de Sobra]]-TabelaSobras[[#This Row],[Saída]]-TabelaSobras[[#This Row],[Saída 2]]</f>
        <v/>
      </c>
      <c r="M95" s="42" t="n"/>
      <c r="N95" s="170">
        <f>TabelaSobras[[#This Row],[M²
Sobras]]*L95</f>
        <v/>
      </c>
      <c r="O95" s="42" t="n"/>
      <c r="P95" s="42" t="n"/>
      <c r="Q95" s="42" t="n"/>
      <c r="R95" s="42" t="n"/>
      <c r="S95" s="113" t="n"/>
      <c r="T95" s="114">
        <f>TODAY()-TabelaSobras[[#This Row],[Data do
Registro inicial]]</f>
        <v/>
      </c>
    </row>
    <row r="96" hidden="1">
      <c r="A96" s="170" t="inlineStr">
        <is>
          <t>N-CORTE ERRADO</t>
        </is>
      </c>
      <c r="B96" s="170">
        <f>VLOOKUP(LEFT(A96,1),Tabela5[],2,0)</f>
        <v/>
      </c>
      <c r="C96" s="170" t="inlineStr">
        <is>
          <t>MDF - 15MM</t>
        </is>
      </c>
      <c r="D96" s="170">
        <f>VLOOKUP(TabelaSobras[[#This Row],[Tipo de Chapa/COR]],'PREÇOS MDF'!$A$7:$B$10,2,0)</f>
        <v/>
      </c>
      <c r="E96" s="169" t="n">
        <v>972</v>
      </c>
      <c r="F96" s="169" t="n">
        <v>100</v>
      </c>
      <c r="G96" s="169">
        <f>TabelaSobras[[#This Row],[Comprimento 
Sobras (mm)]] &amp; " X " &amp; F96</f>
        <v/>
      </c>
      <c r="H96" s="170">
        <f>(TabelaSobras[[#This Row],[Comprimento 
Sobras (mm)]]*F96/1000000)</f>
        <v/>
      </c>
      <c r="I96" s="170" t="n">
        <v>300</v>
      </c>
      <c r="J96" s="170">
        <f>IF(TabelaSobras[[#This Row],[Estoque]]&lt;=$U$1,$V$1,$W$1)</f>
        <v/>
      </c>
      <c r="K96" s="170">
        <f>TabelaSobras[[#This Row],[Quantidade de Sobra]]-L96</f>
        <v/>
      </c>
      <c r="L96" s="170">
        <f>TabelaSobras[[#This Row],[Quantidade de Sobra]]-TabelaSobras[[#This Row],[Saída]]-TabelaSobras[[#This Row],[Saída 2]]</f>
        <v/>
      </c>
      <c r="M96" s="170" t="inlineStr">
        <is>
          <t>Nesher</t>
        </is>
      </c>
      <c r="N96" s="170">
        <f>TabelaSobras[[#This Row],[M²
Sobras]]*L96</f>
        <v/>
      </c>
      <c r="O96" s="170" t="n">
        <v>300</v>
      </c>
      <c r="P96" s="170" t="n"/>
      <c r="Q96" s="170" t="inlineStr">
        <is>
          <t>N32</t>
        </is>
      </c>
      <c r="R96" s="170" t="n"/>
      <c r="S96" s="10" t="n">
        <v>46140</v>
      </c>
      <c r="T96" s="12">
        <f>TODAY()-TabelaSobras[[#This Row],[Data do
Registro inicial]]</f>
        <v/>
      </c>
    </row>
    <row r="97" hidden="1">
      <c r="A97" s="170" t="inlineStr">
        <is>
          <t>N-CORTE ERRADO</t>
        </is>
      </c>
      <c r="B97" s="170">
        <f>VLOOKUP(LEFT(A97,1),Tabela5[],2,0)</f>
        <v/>
      </c>
      <c r="C97" s="170" t="inlineStr">
        <is>
          <t>MDF - 15MM</t>
        </is>
      </c>
      <c r="D97" s="170">
        <f>VLOOKUP(TabelaSobras[[#This Row],[Tipo de Chapa/COR]],'PREÇOS MDF'!$A$7:$B$10,2,0)</f>
        <v/>
      </c>
      <c r="E97" s="169" t="n">
        <v>781</v>
      </c>
      <c r="F97" s="169" t="n">
        <v>572</v>
      </c>
      <c r="G97" s="169">
        <f>TabelaSobras[[#This Row],[Comprimento 
Sobras (mm)]] &amp; " X " &amp; F97</f>
        <v/>
      </c>
      <c r="H97" s="170">
        <f>(TabelaSobras[[#This Row],[Comprimento 
Sobras (mm)]]*F97/1000000)</f>
        <v/>
      </c>
      <c r="I97" s="170" t="n">
        <v>40</v>
      </c>
      <c r="J97" s="170">
        <f>IF(TabelaSobras[[#This Row],[Estoque]]&lt;=$U$1,$V$1,$W$1)</f>
        <v/>
      </c>
      <c r="K97" s="170">
        <f>TabelaSobras[[#This Row],[Quantidade de Sobra]]-L97</f>
        <v/>
      </c>
      <c r="L97" s="170">
        <f>TabelaSobras[[#This Row],[Quantidade de Sobra]]-TabelaSobras[[#This Row],[Saída]]-TabelaSobras[[#This Row],[Saída 2]]</f>
        <v/>
      </c>
      <c r="M97" s="170" t="inlineStr">
        <is>
          <t>Nesher</t>
        </is>
      </c>
      <c r="N97" s="170">
        <f>TabelaSobras[[#This Row],[M²
Sobras]]*L97</f>
        <v/>
      </c>
      <c r="O97" s="170" t="n">
        <v>40</v>
      </c>
      <c r="P97" s="170" t="n"/>
      <c r="Q97" s="170" t="n"/>
      <c r="R97" s="170" t="n"/>
      <c r="S97" s="10" t="n">
        <v>46140</v>
      </c>
      <c r="T97" s="12">
        <f>TODAY()-TabelaSobras[[#This Row],[Data do
Registro inicial]]</f>
        <v/>
      </c>
    </row>
    <row r="98" hidden="1">
      <c r="A98" s="170" t="inlineStr">
        <is>
          <t>N-CORTE ERRADO</t>
        </is>
      </c>
      <c r="B98" s="170">
        <f>VLOOKUP(LEFT(A98,1),Tabela5[],2,0)</f>
        <v/>
      </c>
      <c r="C98" s="170" t="inlineStr">
        <is>
          <t>MDF - 15MM</t>
        </is>
      </c>
      <c r="D98" s="170">
        <f>VLOOKUP(TabelaSobras[[#This Row],[Tipo de Chapa/COR]],'PREÇOS MDF'!$A$7:$B$10,2,0)</f>
        <v/>
      </c>
      <c r="E98" s="169" t="n">
        <v>565</v>
      </c>
      <c r="F98" s="169" t="n">
        <v>316</v>
      </c>
      <c r="G98" s="169">
        <f>TabelaSobras[[#This Row],[Comprimento 
Sobras (mm)]] &amp; " X " &amp; F98</f>
        <v/>
      </c>
      <c r="H98" s="170">
        <f>(TabelaSobras[[#This Row],[Comprimento 
Sobras (mm)]]*F98/1000000)</f>
        <v/>
      </c>
      <c r="I98" s="170" t="n">
        <v>350</v>
      </c>
      <c r="J98" s="170">
        <f>IF(TabelaSobras[[#This Row],[Estoque]]&lt;=$U$1,$V$1,$W$1)</f>
        <v/>
      </c>
      <c r="K98" s="170">
        <f>TabelaSobras[[#This Row],[Quantidade de Sobra]]-L98</f>
        <v/>
      </c>
      <c r="L98" s="170">
        <f>TabelaSobras[[#This Row],[Quantidade de Sobra]]-TabelaSobras[[#This Row],[Saída]]-TabelaSobras[[#This Row],[Saída 2]]</f>
        <v/>
      </c>
      <c r="M98" s="170" t="inlineStr">
        <is>
          <t>Nesher</t>
        </is>
      </c>
      <c r="N98" s="170">
        <f>TabelaSobras[[#This Row],[M²
Sobras]]*L98</f>
        <v/>
      </c>
      <c r="O98" s="170" t="n">
        <v>350</v>
      </c>
      <c r="P98" s="170" t="n"/>
      <c r="Q98" s="170" t="inlineStr">
        <is>
          <t>N32</t>
        </is>
      </c>
      <c r="R98" s="170" t="inlineStr">
        <is>
          <t>Yuri</t>
        </is>
      </c>
      <c r="S98" s="10" t="n">
        <v>46140</v>
      </c>
      <c r="T98" s="12">
        <f>TODAY()-TabelaSobras[[#This Row],[Data do
Registro inicial]]</f>
        <v/>
      </c>
    </row>
    <row r="99" hidden="1">
      <c r="A99" s="170" t="inlineStr">
        <is>
          <t>N-SOBRA DE CORTE</t>
        </is>
      </c>
      <c r="B99" s="170">
        <f>VLOOKUP(LEFT(A99,1),Tabela5[],2,0)</f>
        <v/>
      </c>
      <c r="C99" s="170" t="inlineStr">
        <is>
          <t>MDF - 15MM</t>
        </is>
      </c>
      <c r="D99" s="170">
        <f>VLOOKUP(TabelaSobras[[#This Row],[Tipo de Chapa/COR]],'PREÇOS MDF'!$A$7:$B$10,2,0)</f>
        <v/>
      </c>
      <c r="E99" s="169" t="n">
        <v>2064</v>
      </c>
      <c r="F99" s="169" t="n">
        <v>297</v>
      </c>
      <c r="G99" s="169">
        <f>TabelaSobras[[#This Row],[Comprimento 
Sobras (mm)]] &amp; " X " &amp; F99</f>
        <v/>
      </c>
      <c r="H99" s="170">
        <f>(TabelaSobras[[#This Row],[Comprimento 
Sobras (mm)]]*F99/1000000)</f>
        <v/>
      </c>
      <c r="I99" s="170" t="n">
        <v>126</v>
      </c>
      <c r="J99" s="170">
        <f>IF(TabelaSobras[[#This Row],[Estoque]]&lt;=$U$1,$V$1,$W$1)</f>
        <v/>
      </c>
      <c r="K99" s="170">
        <f>TabelaSobras[[#This Row],[Quantidade de Sobra]]-L99</f>
        <v/>
      </c>
      <c r="L99" s="170">
        <f>TabelaSobras[[#This Row],[Quantidade de Sobra]]-TabelaSobras[[#This Row],[Saída]]-TabelaSobras[[#This Row],[Saída 2]]</f>
        <v/>
      </c>
      <c r="M99" s="170" t="inlineStr">
        <is>
          <t>Nesher</t>
        </is>
      </c>
      <c r="N99" s="170">
        <f>TabelaSobras[[#This Row],[M²
Sobras]]*L99</f>
        <v/>
      </c>
      <c r="O99" s="170" t="n">
        <v>126</v>
      </c>
      <c r="P99" s="170" t="n"/>
      <c r="Q99" s="170" t="inlineStr">
        <is>
          <t>RECORTE N32</t>
        </is>
      </c>
      <c r="R99" s="170" t="n"/>
      <c r="S99" s="10" t="n">
        <v>46147</v>
      </c>
      <c r="T99" s="12">
        <f>TODAY()-TabelaSobras[[#This Row],[Data do
Registro inicial]]</f>
        <v/>
      </c>
    </row>
    <row r="100" hidden="1">
      <c r="A100" s="170" t="inlineStr">
        <is>
          <t>N-SOBRAS SECCIONADORA</t>
        </is>
      </c>
      <c r="B100" s="170">
        <f>VLOOKUP(LEFT(A100,1),Tabela5[],2,0)</f>
        <v/>
      </c>
      <c r="C100" s="170" t="inlineStr">
        <is>
          <t>MDF - 15MM</t>
        </is>
      </c>
      <c r="D100" s="170">
        <f>VLOOKUP(TabelaSobras[[#This Row],[Tipo de Chapa/COR]],'PREÇOS MDF'!$A$7:$B$10,2,0)</f>
        <v/>
      </c>
      <c r="E100" s="169" t="n">
        <v>972</v>
      </c>
      <c r="F100" s="169" t="n">
        <v>297</v>
      </c>
      <c r="G100" s="169">
        <f>TabelaSobras[[#This Row],[Comprimento 
Sobras (mm)]] &amp; " X " &amp; F100</f>
        <v/>
      </c>
      <c r="H100" s="170">
        <f>(TabelaSobras[[#This Row],[Comprimento 
Sobras (mm)]]*F100/1000000)</f>
        <v/>
      </c>
      <c r="I100" s="170" t="n">
        <v>28</v>
      </c>
      <c r="J100" s="170">
        <f>IF(TabelaSobras[[#This Row],[Estoque]]&lt;=$U$1,$V$1,$W$1)</f>
        <v/>
      </c>
      <c r="K100" s="170">
        <f>TabelaSobras[[#This Row],[Quantidade de Sobra]]-L100</f>
        <v/>
      </c>
      <c r="L100" s="170">
        <f>TabelaSobras[[#This Row],[Quantidade de Sobra]]-TabelaSobras[[#This Row],[Saída]]-TabelaSobras[[#This Row],[Saída 2]]</f>
        <v/>
      </c>
      <c r="M100" s="170" t="inlineStr">
        <is>
          <t>Nesher</t>
        </is>
      </c>
      <c r="N100" s="170">
        <f>TabelaSobras[[#This Row],[M²
Sobras]]*L100</f>
        <v/>
      </c>
      <c r="O100" s="170" t="n">
        <v>28</v>
      </c>
      <c r="P100" s="170" t="n"/>
      <c r="Q100" s="170" t="inlineStr">
        <is>
          <t>N4601</t>
        </is>
      </c>
      <c r="R100" s="170" t="inlineStr">
        <is>
          <t>Yuri</t>
        </is>
      </c>
      <c r="S100" s="10" t="n">
        <v>46147</v>
      </c>
      <c r="T100" s="12">
        <f>TODAY()-TabelaSobras[[#This Row],[Data do
Registro inicial]]</f>
        <v/>
      </c>
    </row>
    <row r="101" hidden="1">
      <c r="A101" s="170" t="inlineStr">
        <is>
          <t>N-SOBRAS SECCIONADORA</t>
        </is>
      </c>
      <c r="B101" s="170">
        <f>VLOOKUP(LEFT(A101,1),Tabela5[],2,0)</f>
        <v/>
      </c>
      <c r="C101" s="170" t="inlineStr">
        <is>
          <t>MDF - 15MM</t>
        </is>
      </c>
      <c r="D101" s="170">
        <f>VLOOKUP(TabelaSobras[[#This Row],[Tipo de Chapa/COR]],'PREÇOS MDF'!$A$7:$B$10,2,0)</f>
        <v/>
      </c>
      <c r="E101" s="169" t="n">
        <v>581</v>
      </c>
      <c r="F101" s="169" t="n">
        <v>297</v>
      </c>
      <c r="G101" s="169">
        <f>TabelaSobras[[#This Row],[Comprimento 
Sobras (mm)]] &amp; " X " &amp; F101</f>
        <v/>
      </c>
      <c r="H101" s="170">
        <f>(TabelaSobras[[#This Row],[Comprimento 
Sobras (mm)]]*F101/1000000)</f>
        <v/>
      </c>
      <c r="I101" s="170" t="n">
        <v>35</v>
      </c>
      <c r="J101" s="170">
        <f>IF(TabelaSobras[[#This Row],[Estoque]]&lt;=$U$1,$V$1,$W$1)</f>
        <v/>
      </c>
      <c r="K101" s="170">
        <f>TabelaSobras[[#This Row],[Quantidade de Sobra]]-L101</f>
        <v/>
      </c>
      <c r="L101" s="170">
        <f>TabelaSobras[[#This Row],[Quantidade de Sobra]]-TabelaSobras[[#This Row],[Saída]]-TabelaSobras[[#This Row],[Saída 2]]</f>
        <v/>
      </c>
      <c r="M101" s="170" t="inlineStr">
        <is>
          <t>Nesher</t>
        </is>
      </c>
      <c r="N101" s="170">
        <f>TabelaSobras[[#This Row],[M²
Sobras]]*L101</f>
        <v/>
      </c>
      <c r="O101" s="170" t="n">
        <v>35</v>
      </c>
      <c r="P101" s="170" t="n"/>
      <c r="Q101" s="170" t="inlineStr">
        <is>
          <t>N26046</t>
        </is>
      </c>
      <c r="R101" s="170" t="inlineStr">
        <is>
          <t>Yuri</t>
        </is>
      </c>
      <c r="S101" s="10" t="n">
        <v>46147</v>
      </c>
      <c r="T101" s="12">
        <f>TODAY()-TabelaSobras[[#This Row],[Data do
Registro inicial]]</f>
        <v/>
      </c>
    </row>
    <row r="102" hidden="1">
      <c r="A102" s="27" t="inlineStr">
        <is>
          <t>N-ESTOQUE</t>
        </is>
      </c>
      <c r="B102" s="27">
        <f>VLOOKUP(LEFT(A102,1),Tabela5[],2,0)</f>
        <v/>
      </c>
      <c r="C102" s="27" t="inlineStr">
        <is>
          <t>MDF - 15MM</t>
        </is>
      </c>
      <c r="D102" s="170">
        <f>VLOOKUP(TabelaSobras[[#This Row],[Tipo de Chapa/COR]],'PREÇOS MDF'!$A$7:$B$10,2,0)</f>
        <v/>
      </c>
      <c r="E102" s="28" t="n">
        <v>1170</v>
      </c>
      <c r="F102" s="28" t="n">
        <v>297</v>
      </c>
      <c r="G102" s="28">
        <f>TabelaSobras[[#This Row],[Comprimento 
Sobras (mm)]] &amp; " X " &amp; F102</f>
        <v/>
      </c>
      <c r="H102" s="27">
        <f>(TabelaSobras[[#This Row],[Comprimento 
Sobras (mm)]]*F102/1000000)</f>
        <v/>
      </c>
      <c r="I102" s="27" t="n">
        <v>136</v>
      </c>
      <c r="J102" s="27">
        <f>IF(TabelaSobras[[#This Row],[Estoque]]&lt;=$U$1,$V$1,$W$1)</f>
        <v/>
      </c>
      <c r="K102" s="170">
        <f>TabelaSobras[[#This Row],[Quantidade de Sobra]]-L102</f>
        <v/>
      </c>
      <c r="L102" s="27">
        <f>TabelaSobras[[#This Row],[Quantidade de Sobra]]-TabelaSobras[[#This Row],[Saída]]-TabelaSobras[[#This Row],[Saída 2]]</f>
        <v/>
      </c>
      <c r="M102" s="27" t="inlineStr">
        <is>
          <t>Nesher</t>
        </is>
      </c>
      <c r="N102" s="170">
        <f>TabelaSobras[[#This Row],[M²
Sobras]]*L102</f>
        <v/>
      </c>
      <c r="O102" s="27" t="n">
        <v>136</v>
      </c>
      <c r="P102" s="27" t="n"/>
      <c r="Q102" s="27" t="inlineStr">
        <is>
          <t>N2603703</t>
        </is>
      </c>
      <c r="R102" s="27" t="inlineStr">
        <is>
          <t>Yuri</t>
        </is>
      </c>
      <c r="S102" s="143" t="n">
        <v>46147</v>
      </c>
      <c r="T102" s="137">
        <f>TODAY()-TabelaSobras[[#This Row],[Data do
Registro inicial]]</f>
        <v/>
      </c>
    </row>
    <row r="103" hidden="1" ht="28.8" customHeight="1">
      <c r="A103" s="144" t="inlineStr">
        <is>
          <t>N-FURAÇÃO ERRADA PAN CONDESSA 1PT 3GV</t>
        </is>
      </c>
      <c r="B103" s="27">
        <f>VLOOKUP(LEFT(A103,1),Tabela5[],2,0)</f>
        <v/>
      </c>
      <c r="C103" s="27" t="inlineStr">
        <is>
          <t>MDF - 15MM</t>
        </is>
      </c>
      <c r="D103" s="170">
        <f>VLOOKUP(TabelaSobras[[#This Row],[Tipo de Chapa/COR]],'PREÇOS MDF'!$A$7:$B$10,2,0)</f>
        <v/>
      </c>
      <c r="E103" s="28" t="n">
        <v>1370</v>
      </c>
      <c r="F103" s="28" t="n">
        <v>430</v>
      </c>
      <c r="G103" s="28">
        <f>TabelaSobras[[#This Row],[Comprimento 
Sobras (mm)]] &amp; " X " &amp; F103</f>
        <v/>
      </c>
      <c r="H103" s="27">
        <f>(TabelaSobras[[#This Row],[Comprimento 
Sobras (mm)]]*F103/1000000)</f>
        <v/>
      </c>
      <c r="I103" s="27" t="n">
        <v>101</v>
      </c>
      <c r="J103" s="27">
        <f>IF(TabelaSobras[[#This Row],[Estoque]]&lt;=$U$1,$V$1,$W$1)</f>
        <v/>
      </c>
      <c r="K103" s="170">
        <f>TabelaSobras[[#This Row],[Quantidade de Sobra]]-L103</f>
        <v/>
      </c>
      <c r="L103" s="27">
        <f>TabelaSobras[[#This Row],[Quantidade de Sobra]]-TabelaSobras[[#This Row],[Saída]]-TabelaSobras[[#This Row],[Saída 2]]</f>
        <v/>
      </c>
      <c r="M103" s="27" t="inlineStr">
        <is>
          <t>Nesher</t>
        </is>
      </c>
      <c r="N103" s="170">
        <f>TabelaSobras[[#This Row],[M²
Sobras]]*L103</f>
        <v/>
      </c>
      <c r="O103" s="27" t="n">
        <v>101</v>
      </c>
      <c r="P103" s="27" t="n"/>
      <c r="Q103" s="28" t="n">
        <v>5504</v>
      </c>
      <c r="R103" s="27" t="inlineStr">
        <is>
          <t>Yuri</t>
        </is>
      </c>
      <c r="S103" s="143" t="n">
        <v>46141</v>
      </c>
      <c r="T103" s="137">
        <f>TODAY()-TabelaSobras[[#This Row],[Data do
Registro inicial]]</f>
        <v/>
      </c>
    </row>
    <row r="104" hidden="1">
      <c r="A104" s="27" t="inlineStr">
        <is>
          <t>N-SOBRAS PDC</t>
        </is>
      </c>
      <c r="B104" s="27">
        <f>VLOOKUP(LEFT(A104,1),Tabela5[],2,0)</f>
        <v/>
      </c>
      <c r="C104" s="27" t="inlineStr">
        <is>
          <t>MDF - 15MM</t>
        </is>
      </c>
      <c r="D104" s="170">
        <f>VLOOKUP(TabelaSobras[[#This Row],[Tipo de Chapa/COR]],'PREÇOS MDF'!$A$7:$B$10,2,0)</f>
        <v/>
      </c>
      <c r="E104" s="28" t="n">
        <v>770</v>
      </c>
      <c r="F104" s="28" t="n">
        <v>297</v>
      </c>
      <c r="G104" s="28">
        <f>TabelaSobras[[#This Row],[Comprimento 
Sobras (mm)]] &amp; " X " &amp; F104</f>
        <v/>
      </c>
      <c r="H104" s="27">
        <f>(TabelaSobras[[#This Row],[Comprimento 
Sobras (mm)]]*F104/1000000)</f>
        <v/>
      </c>
      <c r="I104" s="27" t="n">
        <v>80</v>
      </c>
      <c r="J104" s="27">
        <f>IF(TabelaSobras[[#This Row],[Estoque]]&lt;=$U$1,$V$1,$W$1)</f>
        <v/>
      </c>
      <c r="K104" s="170">
        <f>TabelaSobras[[#This Row],[Quantidade de Sobra]]-L104</f>
        <v/>
      </c>
      <c r="L104" s="27">
        <f>TabelaSobras[[#This Row],[Quantidade de Sobra]]-TabelaSobras[[#This Row],[Saída]]-TabelaSobras[[#This Row],[Saída 2]]</f>
        <v/>
      </c>
      <c r="M104" s="27" t="inlineStr">
        <is>
          <t>Nesher</t>
        </is>
      </c>
      <c r="N104" s="170">
        <f>TabelaSobras[[#This Row],[M²
Sobras]]*L104</f>
        <v/>
      </c>
      <c r="O104" s="27" t="n">
        <v>80</v>
      </c>
      <c r="P104" s="27" t="n"/>
      <c r="Q104" s="28" t="inlineStr">
        <is>
          <t>N2603301</t>
        </is>
      </c>
      <c r="R104" s="27" t="inlineStr">
        <is>
          <t>Yuri</t>
        </is>
      </c>
      <c r="S104" s="143" t="n">
        <v>46154</v>
      </c>
      <c r="T104" s="137">
        <f>TODAY()-TabelaSobras[[#This Row],[Data do
Registro inicial]]</f>
        <v/>
      </c>
    </row>
    <row r="105" hidden="1">
      <c r="A105" s="27" t="inlineStr">
        <is>
          <t>N26041</t>
        </is>
      </c>
      <c r="B105" s="27">
        <f>VLOOKUP(LEFT(A105,1),Tabela5[],2,0)</f>
        <v/>
      </c>
      <c r="C105" s="27" t="inlineStr">
        <is>
          <t>MDF - 15MM</t>
        </is>
      </c>
      <c r="D105" s="170">
        <f>VLOOKUP(TabelaSobras[[#This Row],[Tipo de Chapa/COR]],'PREÇOS MDF'!$A$7:$B$10,2,0)</f>
        <v/>
      </c>
      <c r="E105" s="28" t="n">
        <v>987</v>
      </c>
      <c r="F105" s="28" t="n">
        <v>412</v>
      </c>
      <c r="G105" s="28">
        <f>TabelaSobras[[#This Row],[Comprimento 
Sobras (mm)]] &amp; " X " &amp; F105</f>
        <v/>
      </c>
      <c r="H105" s="27">
        <f>(TabelaSobras[[#This Row],[Comprimento 
Sobras (mm)]]*F105/1000000)</f>
        <v/>
      </c>
      <c r="I105" s="27" t="n">
        <v>78</v>
      </c>
      <c r="J105" s="27">
        <f>IF(TabelaSobras[[#This Row],[Estoque]]&lt;=$U$1,$V$1,$W$1)</f>
        <v/>
      </c>
      <c r="K105" s="170">
        <f>TabelaSobras[[#This Row],[Quantidade de Sobra]]-L105</f>
        <v/>
      </c>
      <c r="L105" s="27">
        <f>TabelaSobras[[#This Row],[Quantidade de Sobra]]-TabelaSobras[[#This Row],[Saída]]-TabelaSobras[[#This Row],[Saída 2]]</f>
        <v/>
      </c>
      <c r="M105" s="27" t="inlineStr">
        <is>
          <t>Nesher</t>
        </is>
      </c>
      <c r="N105" s="170">
        <f>TabelaSobras[[#This Row],[M²
Sobras]]*L105</f>
        <v/>
      </c>
      <c r="O105" s="27" t="n">
        <v>78</v>
      </c>
      <c r="P105" s="27" t="n"/>
      <c r="Q105" s="27" t="inlineStr">
        <is>
          <t>N2604609</t>
        </is>
      </c>
      <c r="R105" s="27" t="inlineStr">
        <is>
          <t>Yuri</t>
        </is>
      </c>
      <c r="S105" s="143" t="n">
        <v>46161</v>
      </c>
      <c r="T105" s="137">
        <f>TODAY()-TabelaSobras[[#This Row],[Data do
Registro inicial]]</f>
        <v/>
      </c>
    </row>
    <row r="106" hidden="1">
      <c r="A106" s="170" t="inlineStr">
        <is>
          <t>N-SOBRAS</t>
        </is>
      </c>
      <c r="B106" s="170">
        <f>VLOOKUP(LEFT(A106,1),Tabela5[],2,0)</f>
        <v/>
      </c>
      <c r="C106" s="170" t="inlineStr">
        <is>
          <t>MDF - 15MM</t>
        </is>
      </c>
      <c r="D106" s="170">
        <f>VLOOKUP(TabelaSobras[[#This Row],[Tipo de Chapa/COR]],'PREÇOS MDF'!$A$7:$B$10,2,0)</f>
        <v/>
      </c>
      <c r="E106" s="169" t="n">
        <v>400</v>
      </c>
      <c r="F106" s="169" t="n">
        <v>263</v>
      </c>
      <c r="G106" s="169">
        <f>TabelaSobras[[#This Row],[Comprimento 
Sobras (mm)]] &amp; " X " &amp; F106</f>
        <v/>
      </c>
      <c r="H106" s="170">
        <f>(TabelaSobras[[#This Row],[Comprimento 
Sobras (mm)]]*F106/1000000)</f>
        <v/>
      </c>
      <c r="I106" s="170" t="n">
        <v>2350</v>
      </c>
      <c r="J106" s="170">
        <f>IF(TabelaSobras[[#This Row],[Estoque]]&lt;=$U$1,$V$1,$W$1)</f>
        <v/>
      </c>
      <c r="K106" s="170">
        <f>TabelaSobras[[#This Row],[Quantidade de Sobra]]-L106</f>
        <v/>
      </c>
      <c r="L106" s="170">
        <f>TabelaSobras[[#This Row],[Quantidade de Sobra]]-TabelaSobras[[#This Row],[Saída]]-TabelaSobras[[#This Row],[Saída 2]]</f>
        <v/>
      </c>
      <c r="M106" s="170" t="inlineStr">
        <is>
          <t>Nesher</t>
        </is>
      </c>
      <c r="N106" s="170">
        <f>TabelaSobras[[#This Row],[M²
Sobras]]*L106</f>
        <v/>
      </c>
      <c r="O106" s="170">
        <f>1200+532</f>
        <v/>
      </c>
      <c r="P106" s="170" t="n">
        <v>618</v>
      </c>
      <c r="Q106" s="170" t="inlineStr">
        <is>
          <t>(1200 4203-4204)</t>
        </is>
      </c>
      <c r="R106" s="170" t="inlineStr">
        <is>
          <t>Yuri</t>
        </is>
      </c>
      <c r="S106" s="10" t="n">
        <v>46161</v>
      </c>
      <c r="T106" s="12">
        <f>TODAY()-TabelaSobras[[#This Row],[Data do
Registro inicial]]</f>
        <v/>
      </c>
    </row>
    <row r="107" hidden="1" ht="28.8" customHeight="1">
      <c r="A107" s="91" t="inlineStr">
        <is>
          <t>N-FURAÇÃO ERRADA
DIVISÃO</t>
        </is>
      </c>
      <c r="B107" s="49">
        <f>VLOOKUP(LEFT(A107,1),Tabela5[],2,0)</f>
        <v/>
      </c>
      <c r="C107" s="49" t="inlineStr">
        <is>
          <t>MDF - 15MM</t>
        </is>
      </c>
      <c r="D107" s="170">
        <f>VLOOKUP(TabelaSobras[[#This Row],[Tipo de Chapa/COR]],'PREÇOS MDF'!$A$7:$B$10,2,0)</f>
        <v/>
      </c>
      <c r="E107" s="50" t="n">
        <v>765</v>
      </c>
      <c r="F107" s="50" t="n">
        <v>428</v>
      </c>
      <c r="G107" s="50">
        <f>TabelaSobras[[#This Row],[Comprimento 
Sobras (mm)]] &amp; " X " &amp; F107</f>
        <v/>
      </c>
      <c r="H107" s="49">
        <f>(TabelaSobras[[#This Row],[Comprimento 
Sobras (mm)]]*F107/1000000)</f>
        <v/>
      </c>
      <c r="I107" s="49" t="n">
        <v>600</v>
      </c>
      <c r="J107" s="49">
        <f>IF(TabelaSobras[[#This Row],[Estoque]]&lt;=$U$1,$V$1,$W$1)</f>
        <v/>
      </c>
      <c r="K107" s="170">
        <f>TabelaSobras[[#This Row],[Quantidade de Sobra]]-L107</f>
        <v/>
      </c>
      <c r="L107" s="49">
        <f>TabelaSobras[[#This Row],[Quantidade de Sobra]]-TabelaSobras[[#This Row],[Saída]]-TabelaSobras[[#This Row],[Saída 2]]</f>
        <v/>
      </c>
      <c r="M107" s="49" t="inlineStr">
        <is>
          <t>Nesher</t>
        </is>
      </c>
      <c r="N107" s="170">
        <f>TabelaSobras[[#This Row],[M²
Sobras]]*L107</f>
        <v/>
      </c>
      <c r="O107" s="49" t="n">
        <v>600</v>
      </c>
      <c r="P107" s="49" t="n"/>
      <c r="Q107" s="49" t="n">
        <v>4607</v>
      </c>
      <c r="R107" s="49" t="inlineStr">
        <is>
          <t>Yuri</t>
        </is>
      </c>
      <c r="S107" s="104" t="n">
        <v>46167</v>
      </c>
      <c r="T107" s="105">
        <f>TODAY()-TabelaSobras[[#This Row],[Data do
Registro inicial]]</f>
        <v/>
      </c>
    </row>
    <row r="108" hidden="1" ht="28.8" customHeight="1">
      <c r="A108" s="91" t="inlineStr">
        <is>
          <t>N-FITA COLADA ERRADA
BASE-PRAT</t>
        </is>
      </c>
      <c r="B108" s="49">
        <f>VLOOKUP(LEFT(A108,1),Tabela5[],2,0)</f>
        <v/>
      </c>
      <c r="C108" s="49" t="inlineStr">
        <is>
          <t>MDF - 15MM</t>
        </is>
      </c>
      <c r="D108" s="170">
        <f>VLOOKUP(TabelaSobras[[#This Row],[Tipo de Chapa/COR]],'PREÇOS MDF'!$A$7:$B$10,2,0)</f>
        <v/>
      </c>
      <c r="E108" s="50" t="n">
        <v>770</v>
      </c>
      <c r="F108" s="50" t="n">
        <v>297</v>
      </c>
      <c r="G108" s="50">
        <f>TabelaSobras[[#This Row],[Comprimento 
Sobras (mm)]] &amp; " X " &amp; F108</f>
        <v/>
      </c>
      <c r="H108" s="49">
        <f>(TabelaSobras[[#This Row],[Comprimento 
Sobras (mm)]]*F108/1000000)</f>
        <v/>
      </c>
      <c r="I108" s="49" t="n">
        <v>190</v>
      </c>
      <c r="J108" s="49">
        <f>IF(TabelaSobras[[#This Row],[Estoque]]&lt;=$U$1,$V$1,$W$1)</f>
        <v/>
      </c>
      <c r="K108" s="170">
        <f>TabelaSobras[[#This Row],[Quantidade de Sobra]]-L108</f>
        <v/>
      </c>
      <c r="L108" s="49">
        <f>TabelaSobras[[#This Row],[Quantidade de Sobra]]-TabelaSobras[[#This Row],[Saída]]-TabelaSobras[[#This Row],[Saída 2]]</f>
        <v/>
      </c>
      <c r="M108" s="49" t="inlineStr">
        <is>
          <t>Nesher</t>
        </is>
      </c>
      <c r="N108" s="170">
        <f>TabelaSobras[[#This Row],[M²
Sobras]]*L108</f>
        <v/>
      </c>
      <c r="O108" s="49" t="n">
        <v>190</v>
      </c>
      <c r="P108" s="49" t="n"/>
      <c r="Q108" s="49" t="n">
        <v>4702</v>
      </c>
      <c r="R108" s="49" t="inlineStr">
        <is>
          <t>Yuri</t>
        </is>
      </c>
      <c r="S108" s="104" t="n">
        <v>46167</v>
      </c>
      <c r="T108" s="105">
        <f>TODAY()-TabelaSobras[[#This Row],[Data do
Registro inicial]]</f>
        <v/>
      </c>
    </row>
    <row r="109" hidden="1">
      <c r="A109" s="49" t="inlineStr">
        <is>
          <t>N-FRENTE DE GAV</t>
        </is>
      </c>
      <c r="B109" s="49">
        <f>VLOOKUP(LEFT(A109,1),Tabela5[],2,0)</f>
        <v/>
      </c>
      <c r="C109" s="49" t="inlineStr">
        <is>
          <t>MDF - 15MM</t>
        </is>
      </c>
      <c r="D109" s="170">
        <f>VLOOKUP(TabelaSobras[[#This Row],[Tipo de Chapa/COR]],'PREÇOS MDF'!$A$7:$B$10,2,0)</f>
        <v/>
      </c>
      <c r="E109" s="50" t="n">
        <v>597</v>
      </c>
      <c r="F109" s="50" t="n">
        <v>160</v>
      </c>
      <c r="G109" s="50">
        <f>TabelaSobras[[#This Row],[Comprimento 
Sobras (mm)]] &amp; " X " &amp; F109</f>
        <v/>
      </c>
      <c r="H109" s="49">
        <f>(TabelaSobras[[#This Row],[Comprimento 
Sobras (mm)]]*F109/1000000)</f>
        <v/>
      </c>
      <c r="I109" s="49" t="n">
        <v>1200</v>
      </c>
      <c r="J109" s="49">
        <f>IF(TabelaSobras[[#This Row],[Estoque]]&lt;=$U$1,$V$1,$W$1)</f>
        <v/>
      </c>
      <c r="K109" s="170">
        <f>TabelaSobras[[#This Row],[Quantidade de Sobra]]-L109</f>
        <v/>
      </c>
      <c r="L109" s="49">
        <f>TabelaSobras[[#This Row],[Quantidade de Sobra]]-TabelaSobras[[#This Row],[Saída]]-TabelaSobras[[#This Row],[Saída 2]]</f>
        <v/>
      </c>
      <c r="M109" s="49" t="inlineStr">
        <is>
          <t>Nesher</t>
        </is>
      </c>
      <c r="N109" s="170">
        <f>TabelaSobras[[#This Row],[M²
Sobras]]*L109</f>
        <v/>
      </c>
      <c r="O109" s="49" t="n">
        <v>1200</v>
      </c>
      <c r="P109" s="49" t="n"/>
      <c r="Q109" s="49" t="n">
        <v>4704</v>
      </c>
      <c r="R109" s="49" t="inlineStr">
        <is>
          <t>Yuri</t>
        </is>
      </c>
      <c r="S109" s="104" t="n">
        <v>46167</v>
      </c>
      <c r="T109" s="105">
        <f>TODAY()-TabelaSobras[[#This Row],[Data do
Registro inicial]]</f>
        <v/>
      </c>
    </row>
    <row r="110" hidden="1">
      <c r="A110" s="170" t="inlineStr">
        <is>
          <t>N</t>
        </is>
      </c>
      <c r="B110" s="170">
        <f>VLOOKUP(LEFT(A110,1),Tabela5[],2,0)</f>
        <v/>
      </c>
      <c r="C110" s="170" t="inlineStr">
        <is>
          <t>MDF - 25MM</t>
        </is>
      </c>
      <c r="D110" s="170">
        <f>VLOOKUP(TabelaSobras[[#This Row],[Tipo de Chapa/COR]],'PREÇOS MDF'!$A$7:$B$10,2,0)</f>
        <v/>
      </c>
      <c r="E110" s="169" t="n">
        <v>2750</v>
      </c>
      <c r="F110" s="169" t="n">
        <v>450</v>
      </c>
      <c r="G110" s="169">
        <f>TabelaSobras[[#This Row],[Comprimento 
Sobras (mm)]] &amp; " X " &amp; F110</f>
        <v/>
      </c>
      <c r="H110" s="170">
        <f>(TabelaSobras[[#This Row],[Comprimento 
Sobras (mm)]]*F110/1000000)</f>
        <v/>
      </c>
      <c r="I110" s="170">
        <f>327+64</f>
        <v/>
      </c>
      <c r="J110" s="170">
        <f>IF(TabelaSobras[[#This Row],[Estoque]]&lt;=$U$1,$V$1,$W$1)</f>
        <v/>
      </c>
      <c r="K110" s="170">
        <f>TabelaSobras[[#This Row],[Quantidade de Sobra]]-L110</f>
        <v/>
      </c>
      <c r="L110" s="170">
        <f>TabelaSobras[[#This Row],[Quantidade de Sobra]]-TabelaSobras[[#This Row],[Saída]]-TabelaSobras[[#This Row],[Saída 2]]</f>
        <v/>
      </c>
      <c r="M110" s="170" t="inlineStr">
        <is>
          <t>Nesher</t>
        </is>
      </c>
      <c r="N110" s="170">
        <f>TabelaSobras[[#This Row],[M²
Sobras]]*L110</f>
        <v/>
      </c>
      <c r="O110" s="170" t="n">
        <v>391</v>
      </c>
      <c r="P110" s="170" t="n"/>
      <c r="Q110" s="170" t="n">
        <v>4701</v>
      </c>
      <c r="R110" s="170" t="inlineStr">
        <is>
          <t>Yuri</t>
        </is>
      </c>
      <c r="S110" s="10" t="n">
        <v>46171</v>
      </c>
      <c r="T110" s="12">
        <f>TODAY()-TabelaSobras[[#This Row],[Data do
Registro inicial]]</f>
        <v/>
      </c>
    </row>
    <row r="111" hidden="1">
      <c r="A111" s="170" t="inlineStr">
        <is>
          <t>N26046</t>
        </is>
      </c>
      <c r="B111" s="170">
        <f>VLOOKUP(LEFT(A111,1),Tabela5[],2,0)</f>
        <v/>
      </c>
      <c r="C111" s="170" t="inlineStr">
        <is>
          <t>MDF - 15MM</t>
        </is>
      </c>
      <c r="D111" s="170">
        <f>VLOOKUP(TabelaSobras[[#This Row],[Tipo de Chapa/COR]],'PREÇOS MDF'!$A$7:$B$10,2,0)</f>
        <v/>
      </c>
      <c r="E111" s="169" t="n">
        <v>987</v>
      </c>
      <c r="F111" s="169" t="n">
        <v>413</v>
      </c>
      <c r="G111" s="169">
        <f>TabelaSobras[[#This Row],[Comprimento 
Sobras (mm)]] &amp; " X " &amp; F111</f>
        <v/>
      </c>
      <c r="H111" s="170">
        <f>(TabelaSobras[[#This Row],[Comprimento 
Sobras (mm)]]*F111/1000000)</f>
        <v/>
      </c>
      <c r="I111" s="170" t="n">
        <v>70</v>
      </c>
      <c r="J111" s="170">
        <f>IF(TabelaSobras[[#This Row],[Estoque]]&lt;=$U$1,$V$1,$W$1)</f>
        <v/>
      </c>
      <c r="K111" s="170">
        <f>TabelaSobras[[#This Row],[Quantidade de Sobra]]-L111</f>
        <v/>
      </c>
      <c r="L111" s="170">
        <f>TabelaSobras[[#This Row],[Quantidade de Sobra]]-TabelaSobras[[#This Row],[Saída]]-TabelaSobras[[#This Row],[Saída 2]]</f>
        <v/>
      </c>
      <c r="M111" s="170" t="inlineStr">
        <is>
          <t>Nesher</t>
        </is>
      </c>
      <c r="N111" s="170">
        <f>TabelaSobras[[#This Row],[M²
Sobras]]*L111</f>
        <v/>
      </c>
      <c r="O111" s="170" t="n">
        <v>70</v>
      </c>
      <c r="P111" s="170" t="n"/>
      <c r="Q111" s="42" t="inlineStr">
        <is>
          <t>N2605403</t>
        </is>
      </c>
      <c r="R111" s="170" t="inlineStr">
        <is>
          <t>Yuri</t>
        </is>
      </c>
      <c r="S111" s="10" t="n">
        <v>46172</v>
      </c>
      <c r="T111" s="12">
        <f>TODAY()-TabelaSobras[[#This Row],[Data do
Registro inicial]]</f>
        <v/>
      </c>
    </row>
    <row r="112" hidden="1">
      <c r="A112" s="170" t="inlineStr">
        <is>
          <t>N-SOBRAS</t>
        </is>
      </c>
      <c r="B112" s="170">
        <f>VLOOKUP(LEFT(A112,1),Tabela5[],2,0)</f>
        <v/>
      </c>
      <c r="C112" s="170" t="inlineStr">
        <is>
          <t>MDF - 15MM</t>
        </is>
      </c>
      <c r="D112" s="170">
        <f>VLOOKUP(TabelaSobras[[#This Row],[Tipo de Chapa/COR]],'PREÇOS MDF'!$A$7:$B$10,2,0)</f>
        <v/>
      </c>
      <c r="E112" s="169" t="n">
        <v>342</v>
      </c>
      <c r="F112" s="169" t="n">
        <v>297</v>
      </c>
      <c r="G112" s="169">
        <f>TabelaSobras[[#This Row],[Comprimento 
Sobras (mm)]] &amp; " X " &amp; F112</f>
        <v/>
      </c>
      <c r="H112" s="170">
        <f>(TabelaSobras[[#This Row],[Comprimento 
Sobras (mm)]]*F112/1000000)</f>
        <v/>
      </c>
      <c r="I112" s="170">
        <f>260+275</f>
        <v/>
      </c>
      <c r="J112" s="170">
        <f>IF(TabelaSobras[[#This Row],[Estoque]]&lt;=$U$1,$V$1,$W$1)</f>
        <v/>
      </c>
      <c r="K112" s="170">
        <f>TabelaSobras[[#This Row],[Quantidade de Sobra]]-L112</f>
        <v/>
      </c>
      <c r="L112" s="170">
        <f>TabelaSobras[[#This Row],[Quantidade de Sobra]]-TabelaSobras[[#This Row],[Saída]]-TabelaSobras[[#This Row],[Saída 2]]</f>
        <v/>
      </c>
      <c r="M112" s="170" t="inlineStr">
        <is>
          <t>Nesher</t>
        </is>
      </c>
      <c r="N112" s="170">
        <f>TabelaSobras[[#This Row],[M²
Sobras]]*L112</f>
        <v/>
      </c>
      <c r="O112" s="170" t="n">
        <v>245</v>
      </c>
      <c r="P112" s="170" t="n">
        <v>290</v>
      </c>
      <c r="Q112" s="170" t="inlineStr">
        <is>
          <t>N26057</t>
        </is>
      </c>
      <c r="R112" s="170" t="inlineStr">
        <is>
          <t>Yuri</t>
        </is>
      </c>
      <c r="S112" s="10" t="n">
        <v>46192</v>
      </c>
      <c r="T112" s="12">
        <f>TODAY()-TabelaSobras[[#This Row],[Data do
Registro inicial]]</f>
        <v/>
      </c>
    </row>
    <row r="113" hidden="1">
      <c r="A113" s="170" t="inlineStr">
        <is>
          <t>N2606902</t>
        </is>
      </c>
      <c r="B113" s="170">
        <f>VLOOKUP(LEFT(A113,1),Tabela5[],2,0)</f>
        <v/>
      </c>
      <c r="C113" s="170" t="inlineStr">
        <is>
          <t>MDF - 15MM</t>
        </is>
      </c>
      <c r="D113" s="170">
        <f>VLOOKUP(TabelaSobras[[#This Row],[Tipo de Chapa/COR]],'PREÇOS MDF'!$A$7:$B$10,2,0)</f>
        <v/>
      </c>
      <c r="E113" s="169" t="n">
        <v>313</v>
      </c>
      <c r="F113" s="169" t="n">
        <v>297</v>
      </c>
      <c r="G113" s="169">
        <f>TabelaSobras[[#This Row],[Comprimento 
Sobras (mm)]] &amp; " X " &amp; F113</f>
        <v/>
      </c>
      <c r="H113" s="170">
        <f>(TabelaSobras[[#This Row],[Comprimento 
Sobras (mm)]]*F113/1000000)</f>
        <v/>
      </c>
      <c r="I113" s="170" t="n">
        <v>77</v>
      </c>
      <c r="J113" s="170">
        <f>IF(TabelaSobras[[#This Row],[Estoque]]&lt;=$U$1,$V$1,$W$1)</f>
        <v/>
      </c>
      <c r="K113" s="170">
        <f>TabelaSobras[[#This Row],[Quantidade de Sobra]]-L113</f>
        <v/>
      </c>
      <c r="L113" s="170">
        <f>TabelaSobras[[#This Row],[Quantidade de Sobra]]-TabelaSobras[[#This Row],[Saída]]-TabelaSobras[[#This Row],[Saída 2]]</f>
        <v/>
      </c>
      <c r="M113" s="170" t="inlineStr">
        <is>
          <t>Nesher</t>
        </is>
      </c>
      <c r="N113" s="170">
        <f>TabelaSobras[[#This Row],[M²
Sobras]]*L113</f>
        <v/>
      </c>
      <c r="O113" s="170" t="n">
        <v>77</v>
      </c>
      <c r="P113" s="170" t="n"/>
      <c r="Q113" s="42" t="inlineStr">
        <is>
          <t>KIT NOBR 210</t>
        </is>
      </c>
      <c r="R113" s="170" t="inlineStr">
        <is>
          <t>Yuri</t>
        </is>
      </c>
      <c r="S113" s="10" t="n">
        <v>46212</v>
      </c>
      <c r="T113" s="12">
        <f>TODAY()-TabelaSobras[[#This Row],[Data do
Registro inicial]]</f>
        <v/>
      </c>
    </row>
    <row r="114" hidden="1">
      <c r="A114" s="170" t="inlineStr">
        <is>
          <t>N2607303 | N26075</t>
        </is>
      </c>
      <c r="B114" s="170">
        <f>VLOOKUP(LEFT(A114,1),Tabela5[],2,0)</f>
        <v/>
      </c>
      <c r="C114" s="170" t="inlineStr">
        <is>
          <t>MDF - 15MM</t>
        </is>
      </c>
      <c r="D114" s="170">
        <f>VLOOKUP(TabelaSobras[[#This Row],[Tipo de Chapa/COR]],'PREÇOS MDF'!$A$7:$B$10,2,0)</f>
        <v/>
      </c>
      <c r="E114" s="169" t="n">
        <v>342</v>
      </c>
      <c r="F114" s="169" t="n">
        <v>297</v>
      </c>
      <c r="G114" s="169">
        <f>TabelaSobras[[#This Row],[Comprimento 
Sobras (mm)]] &amp; " X " &amp; F114</f>
        <v/>
      </c>
      <c r="H114" s="170">
        <f>(TabelaSobras[[#This Row],[Comprimento 
Sobras (mm)]]*F114/1000000)</f>
        <v/>
      </c>
      <c r="I114" s="170" t="n">
        <v>290</v>
      </c>
      <c r="J114" s="170">
        <f>IF(TabelaSobras[[#This Row],[Estoque]]&lt;=$U$1,$V$1,$W$1)</f>
        <v/>
      </c>
      <c r="K114" s="170">
        <f>TabelaSobras[[#This Row],[Quantidade de Sobra]]-L114</f>
        <v/>
      </c>
      <c r="L114" s="170">
        <f>TabelaSobras[[#This Row],[Quantidade de Sobra]]-TabelaSobras[[#This Row],[Saída]]-TabelaSobras[[#This Row],[Saída 2]]</f>
        <v/>
      </c>
      <c r="M114" s="170" t="inlineStr">
        <is>
          <t>Nesher</t>
        </is>
      </c>
      <c r="N114" s="170">
        <f>TabelaSobras[[#This Row],[M²
Sobras]]*L114</f>
        <v/>
      </c>
      <c r="O114" s="170" t="n">
        <v>290</v>
      </c>
      <c r="P114" s="170" t="n"/>
      <c r="Q114" s="170" t="inlineStr">
        <is>
          <t>N8202</t>
        </is>
      </c>
      <c r="R114" s="170" t="inlineStr">
        <is>
          <t>Yuri</t>
        </is>
      </c>
      <c r="S114" s="10" t="n">
        <v>46213</v>
      </c>
      <c r="T114" s="12">
        <f>TODAY()-TabelaSobras[[#This Row],[Data do
Registro inicial]]</f>
        <v/>
      </c>
    </row>
    <row r="115" ht="72" customHeight="1">
      <c r="A115" s="148" t="inlineStr">
        <is>
          <t>N2607203 | N2607205 | N2607401 | N26075|EXPOS.|N26070|N2608001-02|N2608102|N2608701</t>
        </is>
      </c>
      <c r="B115" s="170">
        <f>VLOOKUP(LEFT(A115,1),Tabela5[],2,0)</f>
        <v/>
      </c>
      <c r="C115" s="170" t="inlineStr">
        <is>
          <t>MDF - 15MM</t>
        </is>
      </c>
      <c r="D115" s="170">
        <f>VLOOKUP(TabelaSobras[[#This Row],[Tipo de Chapa/COR]],'PREÇOS MDF'!$A$7:$B$10,2,0)</f>
        <v/>
      </c>
      <c r="E115" s="169" t="n">
        <v>400</v>
      </c>
      <c r="F115" s="169" t="n">
        <v>263</v>
      </c>
      <c r="G115" s="169">
        <f>TabelaSobras[[#This Row],[Comprimento 
Sobras (mm)]] &amp; " X " &amp; F115</f>
        <v/>
      </c>
      <c r="H115" s="170">
        <f>(TabelaSobras[[#This Row],[Comprimento 
Sobras (mm)]]*F115/1000000)</f>
        <v/>
      </c>
      <c r="I115" s="170">
        <f>86+256+317+149+200+118+126+80+395</f>
        <v/>
      </c>
      <c r="J115" s="170">
        <f>IF(TabelaSobras[[#This Row],[Estoque]]&lt;=$U$1,$V$1,$W$1)</f>
        <v/>
      </c>
      <c r="K115" s="170">
        <f>TabelaSobras[[#This Row],[Quantidade de Sobra]]-L115</f>
        <v/>
      </c>
      <c r="L115" s="170">
        <f>TabelaSobras[[#This Row],[Quantidade de Sobra]]-TabelaSobras[[#This Row],[Saída]]-TabelaSobras[[#This Row],[Saída 2]]</f>
        <v/>
      </c>
      <c r="M115" s="170" t="inlineStr">
        <is>
          <t>Nesher</t>
        </is>
      </c>
      <c r="N115" s="170">
        <f>TabelaSobras[[#This Row],[M²
Sobras]]*L115</f>
        <v/>
      </c>
      <c r="O115" s="170">
        <f>613+710</f>
        <v/>
      </c>
      <c r="P115" s="170" t="n"/>
      <c r="Q115" s="170" t="inlineStr">
        <is>
          <t>N2607301|N2608701</t>
        </is>
      </c>
      <c r="R115" s="170" t="inlineStr">
        <is>
          <t>Yuri</t>
        </is>
      </c>
      <c r="S115" s="10" t="n">
        <v>46213</v>
      </c>
      <c r="T115" s="12">
        <f>TODAY()-TabelaSobras[[#This Row],[Data do
Registro inicial]]</f>
        <v/>
      </c>
    </row>
    <row r="116" hidden="1">
      <c r="A116" s="170" t="inlineStr">
        <is>
          <t>N- FURAÇÃO A MAIS</t>
        </is>
      </c>
      <c r="B116" s="170">
        <f>VLOOKUP(LEFT(A116,1),Tabela5[],2,0)</f>
        <v/>
      </c>
      <c r="C116" s="170" t="inlineStr">
        <is>
          <t>MDF - 15MM</t>
        </is>
      </c>
      <c r="D116" s="170">
        <f>VLOOKUP(TabelaSobras[[#This Row],[Tipo de Chapa/COR]],'PREÇOS MDF'!$A$7:$B$10,2,0)</f>
        <v/>
      </c>
      <c r="E116" s="169" t="n">
        <v>798</v>
      </c>
      <c r="F116" s="169" t="n">
        <v>397</v>
      </c>
      <c r="G116" s="169">
        <f>TabelaSobras[[#This Row],[Comprimento 
Sobras (mm)]] &amp; " X " &amp; F116</f>
        <v/>
      </c>
      <c r="H116" s="170">
        <f>(TabelaSobras[[#This Row],[Comprimento 
Sobras (mm)]]*F116/1000000)</f>
        <v/>
      </c>
      <c r="I116" s="170" t="n">
        <v>80</v>
      </c>
      <c r="J116" s="170">
        <f>IF(TabelaSobras[[#This Row],[Estoque]]&lt;=$U$1,$V$1,$W$1)</f>
        <v/>
      </c>
      <c r="K116" s="170">
        <f>TabelaSobras[[#This Row],[Quantidade de Sobra]]-L116</f>
        <v/>
      </c>
      <c r="L116" s="170">
        <f>TabelaSobras[[#This Row],[Quantidade de Sobra]]-TabelaSobras[[#This Row],[Saída]]-TabelaSobras[[#This Row],[Saída 2]]</f>
        <v/>
      </c>
      <c r="M116" s="170" t="inlineStr">
        <is>
          <t>Nesher</t>
        </is>
      </c>
      <c r="N116" s="170">
        <f>TabelaSobras[[#This Row],[M²
Sobras]]*L116</f>
        <v/>
      </c>
      <c r="O116" s="170" t="n">
        <v>80</v>
      </c>
      <c r="P116" s="170" t="n"/>
      <c r="Q116" s="170" t="inlineStr">
        <is>
          <t>N2607403</t>
        </is>
      </c>
      <c r="R116" s="170" t="inlineStr">
        <is>
          <t>Yuri</t>
        </is>
      </c>
      <c r="S116" s="10" t="n">
        <v>46213</v>
      </c>
      <c r="T116" s="12">
        <f>TODAY()-TabelaSobras[[#This Row],[Data do
Registro inicial]]</f>
        <v/>
      </c>
    </row>
    <row r="117" hidden="1" ht="28.8" customHeight="1">
      <c r="A117" s="148" t="inlineStr">
        <is>
          <t>N2607801-02|N2608001|N2608201</t>
        </is>
      </c>
      <c r="B117" s="170">
        <f>VLOOKUP(LEFT(A117,1),Tabela5[],2,0)</f>
        <v/>
      </c>
      <c r="C117" s="170" t="inlineStr">
        <is>
          <t>MDF - 15MM</t>
        </is>
      </c>
      <c r="D117" s="170">
        <f>VLOOKUP(TabelaSobras[[#This Row],[Tipo de Chapa/COR]],'PREÇOS MDF'!$A$7:$B$10,2,0)</f>
        <v/>
      </c>
      <c r="E117" s="169" t="n">
        <v>302</v>
      </c>
      <c r="F117" s="169" t="n">
        <v>297</v>
      </c>
      <c r="G117" s="169">
        <f>TabelaSobras[[#This Row],[Comprimento 
Sobras (mm)]] &amp; " X " &amp; F117</f>
        <v/>
      </c>
      <c r="H117" s="170">
        <f>(TabelaSobras[[#This Row],[Comprimento 
Sobras (mm)]]*F117/1000000)</f>
        <v/>
      </c>
      <c r="I117" s="170">
        <f>58+152+29</f>
        <v/>
      </c>
      <c r="J117" s="170">
        <f>IF(TabelaSobras[[#This Row],[Estoque]]&lt;=$U$1,$V$1,$W$1)</f>
        <v/>
      </c>
      <c r="K117" s="170">
        <f>TabelaSobras[[#This Row],[Quantidade de Sobra]]-L117</f>
        <v/>
      </c>
      <c r="L117" s="170">
        <f>TabelaSobras[[#This Row],[Quantidade de Sobra]]-TabelaSobras[[#This Row],[Saída]]-TabelaSobras[[#This Row],[Saída 2]]</f>
        <v/>
      </c>
      <c r="M117" s="170" t="inlineStr">
        <is>
          <t>Nesher</t>
        </is>
      </c>
      <c r="N117" s="170">
        <f>TabelaSobras[[#This Row],[M²
Sobras]]*L117</f>
        <v/>
      </c>
      <c r="O117" s="170" t="n">
        <v>239</v>
      </c>
      <c r="P117" s="170" t="n"/>
      <c r="Q117" s="42" t="inlineStr">
        <is>
          <t>LOFT</t>
        </is>
      </c>
      <c r="R117" s="170" t="inlineStr">
        <is>
          <t>Yuri</t>
        </is>
      </c>
      <c r="S117" s="10" t="n">
        <v>46223</v>
      </c>
      <c r="T117" s="12">
        <f>TODAY()-TabelaSobras[[#This Row],[Data do
Registro inicial]]</f>
        <v/>
      </c>
    </row>
    <row r="118">
      <c r="A118" s="170" t="inlineStr">
        <is>
          <t>N2607801</t>
        </is>
      </c>
      <c r="B118" s="170">
        <f>VLOOKUP(LEFT(A118,1),Tabela5[],2,0)</f>
        <v/>
      </c>
      <c r="C118" s="170" t="inlineStr">
        <is>
          <t>MDF - 15MM</t>
        </is>
      </c>
      <c r="D118" s="170">
        <f>VLOOKUP(TabelaSobras[[#This Row],[Tipo de Chapa/COR]],'PREÇOS MDF'!$A$7:$B$10,2,0)</f>
        <v/>
      </c>
      <c r="E118" s="169" t="n">
        <v>1170</v>
      </c>
      <c r="F118" s="169" t="n">
        <v>103</v>
      </c>
      <c r="G118" s="169">
        <f>TabelaSobras[[#This Row],[Comprimento 
Sobras (mm)]] &amp; " X " &amp; F118</f>
        <v/>
      </c>
      <c r="H118" s="170">
        <f>(TabelaSobras[[#This Row],[Comprimento 
Sobras (mm)]]*F118/1000000)</f>
        <v/>
      </c>
      <c r="I118" s="170" t="n">
        <v>65</v>
      </c>
      <c r="J118" s="170">
        <f>IF(TabelaSobras[[#This Row],[Estoque]]&lt;=$U$1,$V$1,$W$1)</f>
        <v/>
      </c>
      <c r="K118" s="170">
        <f>TabelaSobras[[#This Row],[Quantidade de Sobra]]-L118</f>
        <v/>
      </c>
      <c r="L118" s="170">
        <f>TabelaSobras[[#This Row],[Quantidade de Sobra]]-TabelaSobras[[#This Row],[Saída]]-TabelaSobras[[#This Row],[Saída 2]]</f>
        <v/>
      </c>
      <c r="M118" s="170" t="inlineStr">
        <is>
          <t>Nesher</t>
        </is>
      </c>
      <c r="N118" s="170">
        <f>TabelaSobras[[#This Row],[M²
Sobras]]*L118</f>
        <v/>
      </c>
      <c r="O118" s="170" t="n"/>
      <c r="P118" s="170" t="n"/>
      <c r="Q118" s="42" t="inlineStr">
        <is>
          <t>N2608602</t>
        </is>
      </c>
      <c r="R118" s="170" t="inlineStr">
        <is>
          <t>Yuri</t>
        </is>
      </c>
      <c r="S118" s="10" t="n">
        <v>46223</v>
      </c>
      <c r="T118" s="12">
        <f>TODAY()-TabelaSobras[[#This Row],[Data do
Registro inicial]]</f>
        <v/>
      </c>
    </row>
    <row r="119">
      <c r="A119" s="170" t="inlineStr">
        <is>
          <t>N2608601</t>
        </is>
      </c>
      <c r="B119" s="170">
        <f>VLOOKUP(LEFT(A119,1),Tabela5[],2,0)</f>
        <v/>
      </c>
      <c r="C119" s="170" t="inlineStr">
        <is>
          <t>MDF - 15MM</t>
        </is>
      </c>
      <c r="D119" s="170">
        <f>VLOOKUP(TabelaSobras[[#This Row],[Tipo de Chapa/COR]],'PREÇOS MDF'!$A$7:$B$10,2,0)</f>
        <v/>
      </c>
      <c r="E119" s="169" t="n">
        <v>302</v>
      </c>
      <c r="F119" s="169" t="n">
        <v>297</v>
      </c>
      <c r="G119" s="169">
        <f>TabelaSobras[[#This Row],[Comprimento 
Sobras (mm)]] &amp; " X " &amp; F119</f>
        <v/>
      </c>
      <c r="H119" s="170">
        <f>(TabelaSobras[[#This Row],[Comprimento 
Sobras (mm)]]*F119/1000000)</f>
        <v/>
      </c>
      <c r="I119" s="170" t="n">
        <v>71</v>
      </c>
      <c r="J119" s="170">
        <f>IF(TabelaSobras[[#This Row],[Estoque]]&lt;=$U$1,$V$1,$W$1)</f>
        <v/>
      </c>
      <c r="K119" s="170">
        <f>TabelaSobras[[#This Row],[Quantidade de Sobra]]-L119</f>
        <v/>
      </c>
      <c r="L119" s="170">
        <f>TabelaSobras[[#This Row],[Quantidade de Sobra]]-TabelaSobras[[#This Row],[Saída]]-TabelaSobras[[#This Row],[Saída 2]]</f>
        <v/>
      </c>
      <c r="M119" s="170" t="inlineStr">
        <is>
          <t>Nesher</t>
        </is>
      </c>
      <c r="N119" s="170">
        <f>TabelaSobras[[#This Row],[M²
Sobras]]*L119</f>
        <v/>
      </c>
      <c r="O119" s="170" t="n"/>
      <c r="P119" s="170" t="n"/>
      <c r="Q119" s="170" t="n"/>
      <c r="R119" s="170" t="inlineStr">
        <is>
          <t>Yuri</t>
        </is>
      </c>
      <c r="S119" s="10" t="n">
        <v>46238</v>
      </c>
      <c r="T119" s="12">
        <f>TODAY()-TabelaSobras[[#This Row],[Data do
Registro inicial]]</f>
        <v/>
      </c>
    </row>
    <row r="120">
      <c r="A120" s="170" t="inlineStr">
        <is>
          <t>N2610105</t>
        </is>
      </c>
      <c r="B120" s="170">
        <f>VLOOKUP(LEFT(A120,1),Tabela5[],2,0)</f>
        <v/>
      </c>
      <c r="C120" s="170" t="inlineStr">
        <is>
          <t>MDF - 15MM</t>
        </is>
      </c>
      <c r="D120" s="170">
        <f>VLOOKUP(TabelaSobras[[#This Row],[Tipo de Chapa/COR]],'PREÇOS MDF'!$A$7:$B$10,2,0)</f>
        <v/>
      </c>
      <c r="E120" s="169" t="n">
        <v>2183</v>
      </c>
      <c r="F120" s="169" t="n">
        <v>349</v>
      </c>
      <c r="G120" s="169">
        <f>TabelaSobras[[#This Row],[Comprimento 
Sobras (mm)]] &amp; " X " &amp; F120</f>
        <v/>
      </c>
      <c r="H120" s="170">
        <f>(TabelaSobras[[#This Row],[Comprimento 
Sobras (mm)]]*F120/1000000)</f>
        <v/>
      </c>
      <c r="I120" s="170" t="n">
        <v>2106</v>
      </c>
      <c r="J120" s="170">
        <f>IF(TabelaSobras[[#This Row],[Estoque]]&lt;=$U$1,$V$1,$W$1)</f>
        <v/>
      </c>
      <c r="K120" s="170">
        <f>TabelaSobras[[#This Row],[Quantidade de Sobra]]-L120</f>
        <v/>
      </c>
      <c r="L120" s="170">
        <f>TabelaSobras[[#This Row],[Quantidade de Sobra]]-TabelaSobras[[#This Row],[Saída]]-TabelaSobras[[#This Row],[Saída 2]]</f>
        <v/>
      </c>
      <c r="M120" s="170" t="inlineStr">
        <is>
          <t>Nesher</t>
        </is>
      </c>
      <c r="N120" s="170">
        <f>TabelaSobras[[#This Row],[M²
Sobras]]*L120</f>
        <v/>
      </c>
      <c r="O120" s="170" t="n">
        <v>400</v>
      </c>
      <c r="P120" s="170" t="n"/>
      <c r="Q120" s="42" t="inlineStr">
        <is>
          <t>N2610702</t>
        </is>
      </c>
      <c r="R120" s="170" t="inlineStr">
        <is>
          <t>Estevão</t>
        </is>
      </c>
      <c r="S120" s="10" t="n">
        <v>46241</v>
      </c>
      <c r="T120" s="12">
        <f>TODAY()-TabelaSobras[[#This Row],[Data do
Registro inicial]]</f>
        <v/>
      </c>
    </row>
    <row r="121">
      <c r="A121" s="170" t="inlineStr">
        <is>
          <t>M2604212</t>
        </is>
      </c>
      <c r="B121" s="170">
        <f>VLOOKUP(LEFT(A121,1),Tabela5[],2,0)</f>
        <v/>
      </c>
      <c r="C121" s="170" t="inlineStr">
        <is>
          <t>MDF - 15MM</t>
        </is>
      </c>
      <c r="D121" s="170">
        <f>VLOOKUP(TabelaSobras[[#This Row],[Tipo de Chapa/COR]],'PREÇOS MDF'!$A$7:$B$10,2,0)</f>
        <v/>
      </c>
      <c r="E121" s="169" t="n">
        <v>2180</v>
      </c>
      <c r="F121" s="169" t="n">
        <v>184</v>
      </c>
      <c r="G121" s="169">
        <f>TabelaSobras[[#This Row],[Comprimento 
Sobras (mm)]] &amp; " X " &amp; F121</f>
        <v/>
      </c>
      <c r="H121" s="170">
        <f>(TabelaSobras[[#This Row],[Comprimento 
Sobras (mm)]]*F121/1000000)</f>
        <v/>
      </c>
      <c r="I121" s="170" t="n">
        <v>40</v>
      </c>
      <c r="J121" s="170">
        <f>IF(TabelaSobras[[#This Row],[Estoque]]&lt;=$U$1,$V$1,$W$1)</f>
        <v/>
      </c>
      <c r="K121" s="170">
        <f>TabelaSobras[[#This Row],[Quantidade de Sobra]]-L121</f>
        <v/>
      </c>
      <c r="L121" s="170">
        <f>TabelaSobras[[#This Row],[Quantidade de Sobra]]-TabelaSobras[[#This Row],[Saída]]-TabelaSobras[[#This Row],[Saída 2]]</f>
        <v/>
      </c>
      <c r="M121" s="170" t="inlineStr">
        <is>
          <t>Multilínea</t>
        </is>
      </c>
      <c r="N121" s="170">
        <f>TabelaSobras[[#This Row],[M²
Sobras]]*L121</f>
        <v/>
      </c>
      <c r="O121" s="170" t="n"/>
      <c r="P121" s="170" t="n"/>
      <c r="Q121" s="170" t="inlineStr">
        <is>
          <t>GAVETINHA</t>
        </is>
      </c>
      <c r="R121" s="170" t="inlineStr">
        <is>
          <t>Yuri</t>
        </is>
      </c>
      <c r="S121" s="10" t="n">
        <v>46245</v>
      </c>
      <c r="T121" s="12">
        <f>TODAY()-TabelaSobras[[#This Row],[Data do
Registro inicial]]</f>
        <v/>
      </c>
    </row>
    <row r="122" ht="15.6" customHeight="1">
      <c r="A122" s="170" t="inlineStr">
        <is>
          <t>M26043</t>
        </is>
      </c>
      <c r="B122" s="170">
        <f>VLOOKUP(LEFT(A122,1),Tabela5[],2,0)</f>
        <v/>
      </c>
      <c r="C122" s="170" t="inlineStr">
        <is>
          <t>MDF - 25MM</t>
        </is>
      </c>
      <c r="D122" s="170">
        <f>VLOOKUP(TabelaSobras[[#This Row],[Tipo de Chapa/COR]],'PREÇOS MDF'!$A$7:$B$10,2,0)</f>
        <v/>
      </c>
      <c r="E122" s="169" t="n">
        <v>2750</v>
      </c>
      <c r="F122" s="169" t="n">
        <v>450</v>
      </c>
      <c r="G122" s="169">
        <f>TabelaSobras[[#This Row],[Comprimento 
Sobras (mm)]] &amp; " X " &amp; F122</f>
        <v/>
      </c>
      <c r="H122" s="170">
        <f>(TabelaSobras[[#This Row],[Comprimento 
Sobras (mm)]]*F122/1000000)</f>
        <v/>
      </c>
      <c r="I122" s="170" t="n">
        <v>27</v>
      </c>
      <c r="J122" s="170">
        <f>IF(TabelaSobras[[#This Row],[Estoque]]&lt;=$U$1,$V$1,$W$1)</f>
        <v/>
      </c>
      <c r="K122" s="170">
        <f>TabelaSobras[[#This Row],[Quantidade de Sobra]]-L122</f>
        <v/>
      </c>
      <c r="L122" s="170">
        <f>TabelaSobras[[#This Row],[Quantidade de Sobra]]-TabelaSobras[[#This Row],[Saída]]-TabelaSobras[[#This Row],[Saída 2]]</f>
        <v/>
      </c>
      <c r="M122" s="170" t="inlineStr">
        <is>
          <t>Multilínea</t>
        </is>
      </c>
      <c r="N122" s="170">
        <f>TabelaSobras[[#This Row],[M²
Sobras]]*L122</f>
        <v/>
      </c>
      <c r="O122" s="170" t="n"/>
      <c r="P122" s="170" t="n"/>
      <c r="Q122" s="111" t="inlineStr">
        <is>
          <t>I26027</t>
        </is>
      </c>
      <c r="R122" s="170" t="inlineStr">
        <is>
          <t>Yuri</t>
        </is>
      </c>
      <c r="S122" s="10" t="n">
        <v>46246</v>
      </c>
      <c r="T122" s="12">
        <f>TODAY()-TabelaSobras[[#This Row],[Data do
Registro inicial]]</f>
        <v/>
      </c>
    </row>
    <row r="123">
      <c r="B123" s="170" t="inlineStr">
        <is>
          <t>Nesher</t>
        </is>
      </c>
      <c r="C123" s="170" t="inlineStr">
        <is>
          <t>MDF - 15MM</t>
        </is>
      </c>
      <c r="D123" s="170">
        <f>VLOOKUP(TabelaSobras[[#This Row],[Tipo de Chapa/COR]],'PREÇOS MDF'!$A$7:$B$10,2,0)</f>
        <v/>
      </c>
      <c r="E123" s="169" t="n">
        <v>568</v>
      </c>
      <c r="F123" s="169" t="n">
        <v>531</v>
      </c>
      <c r="G123" s="169">
        <f>TabelaSobras[[#This Row],[Comprimento 
Sobras (mm)]] &amp; " X " &amp; F123</f>
        <v/>
      </c>
      <c r="H123" s="170">
        <f>(TabelaSobras[[#This Row],[Comprimento 
Sobras (mm)]]*F123/1000000)</f>
        <v/>
      </c>
      <c r="I123" s="170" t="n">
        <v>100</v>
      </c>
      <c r="J123" s="170">
        <f>IF(TabelaSobras[[#This Row],[Estoque]]&lt;=$U$1,$V$1,$W$1)</f>
        <v/>
      </c>
      <c r="K123" s="170">
        <f>TabelaSobras[[#This Row],[Quantidade de Sobra]]-L123</f>
        <v/>
      </c>
      <c r="L123" s="170">
        <f>TabelaSobras[[#This Row],[Quantidade de Sobra]]-TabelaSobras[[#This Row],[Saída]]-TabelaSobras[[#This Row],[Saída 2]]</f>
        <v/>
      </c>
      <c r="M123" s="170" t="inlineStr">
        <is>
          <t>Nesher</t>
        </is>
      </c>
      <c r="N123" s="170">
        <f>TabelaSobras[[#This Row],[M²
Sobras]]*L123</f>
        <v/>
      </c>
      <c r="O123" s="170" t="n">
        <v>4</v>
      </c>
      <c r="P123" s="170" t="n"/>
      <c r="Q123" s="170" t="n"/>
      <c r="R123" s="170" t="inlineStr">
        <is>
          <t>Estevão</t>
        </is>
      </c>
      <c r="S123" s="10" t="n">
        <v>46253</v>
      </c>
      <c r="T123" s="12">
        <f>TODAY()-TabelaSobras[[#This Row],[Data do
Registro inicial]]</f>
        <v/>
      </c>
    </row>
    <row r="124">
      <c r="B124" s="170" t="inlineStr">
        <is>
          <t>Nesher</t>
        </is>
      </c>
      <c r="C124" s="170" t="inlineStr">
        <is>
          <t>MDF - 15MM</t>
        </is>
      </c>
      <c r="D124" s="170">
        <f>VLOOKUP(TabelaSobras[[#This Row],[Tipo de Chapa/COR]],'PREÇOS MDF'!$A$7:$B$10,2,0)</f>
        <v/>
      </c>
      <c r="E124" s="169" t="n">
        <v>668</v>
      </c>
      <c r="F124" s="169" t="n">
        <v>500</v>
      </c>
      <c r="G124" s="169">
        <f>TabelaSobras[[#This Row],[Comprimento 
Sobras (mm)]] &amp; " X " &amp; F124</f>
        <v/>
      </c>
      <c r="H124" s="170">
        <f>(TabelaSobras[[#This Row],[Comprimento 
Sobras (mm)]]*F124/1000000)</f>
        <v/>
      </c>
      <c r="I124" s="170" t="n">
        <v>35</v>
      </c>
      <c r="J124" s="170">
        <f>IF(TabelaSobras[[#This Row],[Estoque]]&lt;=$U$1,$V$1,$W$1)</f>
        <v/>
      </c>
      <c r="K124" s="170">
        <f>TabelaSobras[[#This Row],[Quantidade de Sobra]]-L124</f>
        <v/>
      </c>
      <c r="L124" s="170">
        <f>TabelaSobras[[#This Row],[Quantidade de Sobra]]-TabelaSobras[[#This Row],[Saída]]-TabelaSobras[[#This Row],[Saída 2]]</f>
        <v/>
      </c>
      <c r="M124" s="170" t="inlineStr">
        <is>
          <t>Nesher</t>
        </is>
      </c>
      <c r="N124" s="170">
        <f>TabelaSobras[[#This Row],[M²
Sobras]]*L124</f>
        <v/>
      </c>
      <c r="O124" s="170" t="n"/>
      <c r="P124" s="170" t="n"/>
      <c r="Q124" s="170" t="n"/>
      <c r="R124" s="170" t="inlineStr">
        <is>
          <t>Estevão</t>
        </is>
      </c>
      <c r="S124" s="10" t="n">
        <v>46253</v>
      </c>
      <c r="T124" s="12">
        <f>TODAY()-TabelaSobras[[#This Row],[Data do
Registro inicial]]</f>
        <v/>
      </c>
    </row>
    <row r="125" hidden="1">
      <c r="B125" s="170" t="inlineStr">
        <is>
          <t>Nesher</t>
        </is>
      </c>
      <c r="C125" s="170" t="inlineStr">
        <is>
          <t>MDF - 15MM</t>
        </is>
      </c>
      <c r="D125" s="170">
        <f>VLOOKUP(TabelaSobras[[#This Row],[Tipo de Chapa/COR]],'PREÇOS MDF'!$A$7:$B$10,2,0)</f>
        <v/>
      </c>
      <c r="E125" s="169" t="n">
        <v>670</v>
      </c>
      <c r="F125" s="169" t="n">
        <v>500</v>
      </c>
      <c r="G125" s="169">
        <f>TabelaSobras[[#This Row],[Comprimento 
Sobras (mm)]] &amp; " X " &amp; F125</f>
        <v/>
      </c>
      <c r="H125" s="170">
        <f>(TabelaSobras[[#This Row],[Comprimento 
Sobras (mm)]]*F125/1000000)</f>
        <v/>
      </c>
      <c r="I125" s="170" t="n">
        <v>50</v>
      </c>
      <c r="J125" s="170">
        <f>IF(TabelaSobras[[#This Row],[Estoque]]&lt;=$U$1,$V$1,$W$1)</f>
        <v/>
      </c>
      <c r="K125" s="170">
        <f>TabelaSobras[[#This Row],[Quantidade de Sobra]]-L125</f>
        <v/>
      </c>
      <c r="L125" s="170">
        <f>TabelaSobras[[#This Row],[Quantidade de Sobra]]-TabelaSobras[[#This Row],[Saída]]-TabelaSobras[[#This Row],[Saída 2]]</f>
        <v/>
      </c>
      <c r="M125" s="170" t="inlineStr">
        <is>
          <t>Nesher</t>
        </is>
      </c>
      <c r="N125" s="170">
        <f>TabelaSobras[[#This Row],[M²
Sobras]]*L125</f>
        <v/>
      </c>
      <c r="O125" s="170" t="n">
        <v>50</v>
      </c>
      <c r="P125" s="170" t="n"/>
      <c r="Q125" s="42" t="inlineStr">
        <is>
          <t>N2610702</t>
        </is>
      </c>
      <c r="R125" s="170" t="inlineStr">
        <is>
          <t>Estevão</t>
        </is>
      </c>
      <c r="S125" s="10" t="n">
        <v>46253</v>
      </c>
      <c r="T125" s="12">
        <f>TODAY()-TabelaSobras[[#This Row],[Data do
Registro inicial]]</f>
        <v/>
      </c>
    </row>
  </sheetData>
  <mergeCells count="1">
    <mergeCell ref="A1:T1"/>
  </mergeCells>
  <conditionalFormatting sqref="J2 J80:K1048576">
    <cfRule type="containsText" priority="7" operator="containsText" dxfId="7" text="apro">
      <formula>NOT(ISERROR(SEARCH("apro",J2)))</formula>
    </cfRule>
    <cfRule type="containsText" priority="8" operator="containsText" dxfId="36" text="dispo">
      <formula>NOT(ISERROR(SEARCH("dispo",J2)))</formula>
    </cfRule>
  </conditionalFormatting>
  <conditionalFormatting sqref="J78:J79">
    <cfRule type="containsText" priority="1" operator="containsText" dxfId="7" text="apro">
      <formula>NOT(ISERROR(SEARCH("apro",J78)))</formula>
    </cfRule>
    <cfRule type="containsText" priority="2" operator="containsText" dxfId="36" text="dispo">
      <formula>NOT(ISERROR(SEARCH("dispo",J78)))</formula>
    </cfRule>
  </conditionalFormatting>
  <conditionalFormatting sqref="I78:I79 J3:K77">
    <cfRule type="containsText" priority="3" operator="containsText" dxfId="7" text="apro">
      <formula>NOT(ISERROR(SEARCH("apro",I3)))</formula>
    </cfRule>
    <cfRule type="containsText" priority="4" operator="containsText" dxfId="36" text="dispo">
      <formula>NOT(ISERROR(SEARCH("dispo",I3)))</formula>
    </cfRule>
  </conditionalFormatting>
  <dataValidations xWindow="1077" yWindow="338" count="3">
    <dataValidation sqref="C3:C125" showDropDown="0" showInputMessage="1" showErrorMessage="1" allowBlank="1" type="list">
      <formula1>INDIRECT("Tabela2[TIPO DE CHAPA]")</formula1>
    </dataValidation>
    <dataValidation sqref="R3:R125" showDropDown="0" showInputMessage="1" showErrorMessage="1" allowBlank="1" type="list">
      <formula1>INDIRECT("Tabela4[Resposáveis]")</formula1>
    </dataValidation>
    <dataValidation sqref="M3:M125" showDropDown="0" showInputMessage="1" showErrorMessage="1" allowBlank="1" type="list">
      <formula1>"Nesher,Líder,Multilínea"</formula1>
    </dataValidation>
  </dataValidation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66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7">
    <outlinePr summaryBelow="1" summaryRight="1"/>
    <pageSetUpPr/>
  </sheetPr>
  <dimension ref="A1:B25"/>
  <sheetViews>
    <sheetView workbookViewId="0">
      <selection activeCell="A25" sqref="A25"/>
    </sheetView>
  </sheetViews>
  <sheetFormatPr baseColWidth="8" defaultRowHeight="14.4"/>
  <cols>
    <col width="30.109375" bestFit="1" customWidth="1" min="1" max="1"/>
    <col width="13.88671875" bestFit="1" customWidth="1" style="1" min="2" max="2"/>
    <col width="11.5546875" bestFit="1" customWidth="1" min="3" max="3"/>
  </cols>
  <sheetData>
    <row r="1">
      <c r="A1" t="inlineStr">
        <is>
          <t>Coluna1</t>
        </is>
      </c>
      <c r="B1" s="1" t="inlineStr">
        <is>
          <t>Coluna2</t>
        </is>
      </c>
    </row>
    <row r="2">
      <c r="A2" t="inlineStr">
        <is>
          <t>N</t>
        </is>
      </c>
      <c r="B2" s="1" t="inlineStr">
        <is>
          <t>Nesher</t>
        </is>
      </c>
    </row>
    <row r="3">
      <c r="A3" t="inlineStr">
        <is>
          <t>I</t>
        </is>
      </c>
      <c r="B3" s="1" t="inlineStr">
        <is>
          <t>Multilínea</t>
        </is>
      </c>
    </row>
    <row r="4">
      <c r="A4" t="inlineStr">
        <is>
          <t>M</t>
        </is>
      </c>
      <c r="B4" s="1" t="inlineStr">
        <is>
          <t>Multilínea</t>
        </is>
      </c>
    </row>
    <row r="5">
      <c r="A5" t="inlineStr">
        <is>
          <t>L</t>
        </is>
      </c>
      <c r="B5" s="1" t="inlineStr">
        <is>
          <t>Líder</t>
        </is>
      </c>
    </row>
    <row r="6">
      <c r="A6" t="inlineStr">
        <is>
          <t>U</t>
        </is>
      </c>
      <c r="B6" s="1" t="inlineStr">
        <is>
          <t>Líder</t>
        </is>
      </c>
    </row>
    <row r="7">
      <c r="A7" t="inlineStr">
        <is>
          <t>A</t>
        </is>
      </c>
      <c r="B7" s="1" t="inlineStr">
        <is>
          <t>Nesher</t>
        </is>
      </c>
    </row>
    <row r="8">
      <c r="A8" t="inlineStr">
        <is>
          <t>E</t>
        </is>
      </c>
      <c r="B8" s="1" t="inlineStr">
        <is>
          <t>Nesher</t>
        </is>
      </c>
    </row>
    <row r="9">
      <c r="A9" t="inlineStr">
        <is>
          <t>V</t>
        </is>
      </c>
      <c r="B9" s="1" t="inlineStr">
        <is>
          <t>Via</t>
        </is>
      </c>
    </row>
    <row r="11">
      <c r="A11" t="inlineStr">
        <is>
          <t>material</t>
        </is>
      </c>
      <c r="B11" s="1" t="inlineStr">
        <is>
          <t>m² da chapa</t>
        </is>
      </c>
    </row>
    <row r="12">
      <c r="A12" t="inlineStr">
        <is>
          <t>MDF - 9MM</t>
        </is>
      </c>
      <c r="B12" s="1" t="n">
        <v>5.0875</v>
      </c>
    </row>
    <row r="13">
      <c r="A13" t="inlineStr">
        <is>
          <t>MDF - 15MM</t>
        </is>
      </c>
      <c r="B13" s="1" t="n">
        <v>6.05</v>
      </c>
    </row>
    <row r="14">
      <c r="A14" t="inlineStr">
        <is>
          <t>MDF - 25MM 2750x2200</t>
        </is>
      </c>
      <c r="B14" s="1" t="n">
        <v>6.05</v>
      </c>
    </row>
    <row r="15">
      <c r="A15" t="inlineStr">
        <is>
          <t>MDF - 25MM 2750x2100</t>
        </is>
      </c>
      <c r="B15" s="1" t="n">
        <v>5.775</v>
      </c>
    </row>
    <row r="16">
      <c r="A16" t="inlineStr">
        <is>
          <t>EUCADUR BR - 2,5MM</t>
        </is>
      </c>
      <c r="B16" s="1" t="n">
        <v>5.8575</v>
      </c>
    </row>
    <row r="17">
      <c r="A17" t="inlineStr">
        <is>
          <t>EUCADUR FRJ - 2,5MM</t>
        </is>
      </c>
      <c r="B17" s="1" t="n">
        <v>5.8575</v>
      </c>
    </row>
    <row r="18">
      <c r="A18" t="inlineStr">
        <is>
          <t>EUCADUR NT - 2,5MM</t>
        </is>
      </c>
      <c r="B18" s="1" t="n">
        <v>5.8575</v>
      </c>
    </row>
    <row r="19">
      <c r="A19" t="inlineStr">
        <is>
          <t>CAPA DURATREE -2,5MM</t>
        </is>
      </c>
      <c r="B19" s="1" t="n">
        <v>5.8575</v>
      </c>
    </row>
    <row r="20">
      <c r="A20" t="inlineStr">
        <is>
          <t>CAPA MDF - 15MM</t>
        </is>
      </c>
      <c r="B20" s="1" t="n">
        <v>6.05</v>
      </c>
    </row>
    <row r="21">
      <c r="A21" t="inlineStr">
        <is>
          <t>MDF - 18MM 2750X1850</t>
        </is>
      </c>
      <c r="B21" s="1" t="n">
        <v>5.0875</v>
      </c>
    </row>
    <row r="22">
      <c r="A22" t="inlineStr">
        <is>
          <t>CAPA MDF - 12MM</t>
        </is>
      </c>
      <c r="B22" s="1" t="n">
        <v>6.05</v>
      </c>
    </row>
    <row r="23">
      <c r="A23" t="inlineStr">
        <is>
          <t>MDF - 25MM 2750X450 - SOBRAS</t>
        </is>
      </c>
      <c r="B23" s="1" t="n">
        <v>1.2375</v>
      </c>
    </row>
    <row r="24">
      <c r="A24" t="inlineStr">
        <is>
          <t>TIRA 9MM - 1850X165X9</t>
        </is>
      </c>
      <c r="B24" s="1" t="n">
        <v>0.30525</v>
      </c>
    </row>
    <row r="25">
      <c r="A25" t="inlineStr">
        <is>
          <t xml:space="preserve">MDF BERNECK - 15MM </t>
        </is>
      </c>
      <c r="B25" s="1" t="n">
        <v>6.05</v>
      </c>
    </row>
  </sheetData>
  <pageMargins left="0.511811024" right="0.511811024" top="0.787401575" bottom="0.787401575" header="0.31496062" footer="0.31496062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Planilha8">
    <outlinePr summaryBelow="1" summaryRight="1"/>
    <pageSetUpPr/>
  </sheetPr>
  <dimension ref="A1:F17"/>
  <sheetViews>
    <sheetView workbookViewId="0">
      <selection activeCell="H18" sqref="H18"/>
    </sheetView>
  </sheetViews>
  <sheetFormatPr baseColWidth="8" defaultRowHeight="14.4"/>
  <cols>
    <col width="25" bestFit="1" customWidth="1" min="1" max="1"/>
    <col width="10.44140625" bestFit="1" customWidth="1" min="2" max="2"/>
    <col width="24.109375" bestFit="1" customWidth="1" min="3" max="3"/>
    <col width="14.109375" bestFit="1" customWidth="1" min="4" max="4"/>
    <col width="20.5546875" bestFit="1" customWidth="1" min="5" max="5"/>
    <col width="30.5546875" bestFit="1" customWidth="1" min="6" max="6"/>
  </cols>
  <sheetData>
    <row r="1">
      <c r="A1" t="inlineStr">
        <is>
          <t>TIPO DE CHAPA</t>
        </is>
      </c>
      <c r="B1" t="inlineStr">
        <is>
          <t>Fábrica</t>
        </is>
      </c>
      <c r="C1" t="inlineStr">
        <is>
          <t>TIPO DE CHAPA FUNDO</t>
        </is>
      </c>
      <c r="D1" t="inlineStr">
        <is>
          <t>Resposáveis</t>
        </is>
      </c>
    </row>
    <row r="2">
      <c r="A2" t="inlineStr">
        <is>
          <t>MDF - 9MM</t>
        </is>
      </c>
      <c r="B2" t="inlineStr">
        <is>
          <t>Nesher</t>
        </is>
      </c>
      <c r="C2" t="inlineStr">
        <is>
          <t>EUCADUR FRJ - 2,5MM</t>
        </is>
      </c>
      <c r="D2" t="inlineStr">
        <is>
          <t>Yuri</t>
        </is>
      </c>
      <c r="F2" t="inlineStr">
        <is>
          <t>Coluna1</t>
        </is>
      </c>
    </row>
    <row r="3">
      <c r="A3" t="inlineStr">
        <is>
          <t>MDF - 15MM</t>
        </is>
      </c>
      <c r="B3" t="inlineStr">
        <is>
          <t>Multilínea</t>
        </is>
      </c>
      <c r="C3" t="inlineStr">
        <is>
          <t>EUCADUR NT - 2,5MM</t>
        </is>
      </c>
      <c r="D3" t="inlineStr">
        <is>
          <t>Estevão</t>
        </is>
      </c>
      <c r="F3" t="inlineStr">
        <is>
          <t>MDF - 9MM</t>
        </is>
      </c>
    </row>
    <row r="4">
      <c r="A4" t="inlineStr">
        <is>
          <t>MDF - 25MM</t>
        </is>
      </c>
      <c r="B4" t="inlineStr">
        <is>
          <t>Líder</t>
        </is>
      </c>
      <c r="C4" t="inlineStr">
        <is>
          <t>EUCADUR BR - 2,5MM</t>
        </is>
      </c>
      <c r="F4" t="inlineStr">
        <is>
          <t>MDF - 15MM</t>
        </is>
      </c>
    </row>
    <row r="5">
      <c r="A5" t="inlineStr">
        <is>
          <t>MDF - 30MM</t>
        </is>
      </c>
      <c r="B5" t="inlineStr">
        <is>
          <t>Via</t>
        </is>
      </c>
      <c r="C5" t="inlineStr">
        <is>
          <t>DURATREE -2,5MM</t>
        </is>
      </c>
      <c r="F5" t="inlineStr">
        <is>
          <t>MDF - 25MM 2750x2100</t>
        </is>
      </c>
    </row>
    <row r="6">
      <c r="A6" t="inlineStr">
        <is>
          <t>DURATREE - 2,5MM</t>
        </is>
      </c>
      <c r="F6" t="inlineStr">
        <is>
          <t>MDF - 25MM 2750x2200</t>
        </is>
      </c>
    </row>
    <row r="7">
      <c r="A7" t="inlineStr">
        <is>
          <t>MDF - 18MM</t>
        </is>
      </c>
      <c r="F7" t="inlineStr">
        <is>
          <t>MDF - 30MM</t>
        </is>
      </c>
    </row>
    <row r="8">
      <c r="A8" t="inlineStr">
        <is>
          <t>CAPA MDF - 15MM</t>
        </is>
      </c>
      <c r="F8" t="inlineStr">
        <is>
          <t>EUCADUR BR - 2,5MM</t>
        </is>
      </c>
    </row>
    <row r="9">
      <c r="F9" t="inlineStr">
        <is>
          <t>EUCADUR FRJ - 2,5MM</t>
        </is>
      </c>
    </row>
    <row r="10">
      <c r="F10" t="inlineStr">
        <is>
          <t>EUCADUR NT - 2,5MM</t>
        </is>
      </c>
    </row>
    <row r="11">
      <c r="F11" t="inlineStr">
        <is>
          <t>CAPA DURATREE -2,5MM</t>
        </is>
      </c>
    </row>
    <row r="12">
      <c r="F12" t="inlineStr">
        <is>
          <t>CAPA MDF - 15MM</t>
        </is>
      </c>
    </row>
    <row r="13">
      <c r="F13" t="inlineStr">
        <is>
          <t>MDF - 18MM 2750X1850</t>
        </is>
      </c>
    </row>
    <row r="14">
      <c r="F14" t="inlineStr">
        <is>
          <t>SOBRAS DE TERCEIROS FRJ</t>
        </is>
      </c>
    </row>
    <row r="15">
      <c r="F15" t="inlineStr">
        <is>
          <t>MDF - 25MM 2750X450 - SOBRAS</t>
        </is>
      </c>
    </row>
    <row r="16">
      <c r="F16" t="inlineStr">
        <is>
          <t>TIRA 9MM - 1850X165X9</t>
        </is>
      </c>
    </row>
    <row r="17">
      <c r="F17" t="inlineStr">
        <is>
          <t xml:space="preserve">MDF BERNECK - 15MM </t>
        </is>
      </c>
    </row>
  </sheetData>
  <pageMargins left="0.511811024" right="0.511811024" top="0.787401575" bottom="0.787401575" header="0.31496062" footer="0.31496062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 codeName="Planilha9">
    <outlinePr summaryBelow="1" summaryRight="1"/>
    <pageSetUpPr fitToPage="1"/>
  </sheetPr>
  <dimension ref="A1:L1200"/>
  <sheetViews>
    <sheetView tabSelected="1" topLeftCell="C1" zoomScale="154" zoomScaleNormal="154" zoomScaleSheetLayoutView="115" workbookViewId="0">
      <pane ySplit="2" topLeftCell="A1195" activePane="bottomLeft" state="frozen"/>
      <selection pane="bottomLeft" activeCell="G1200" sqref="G1200"/>
    </sheetView>
  </sheetViews>
  <sheetFormatPr baseColWidth="8" defaultColWidth="39.88671875" defaultRowHeight="14.4"/>
  <cols>
    <col width="11.5546875" customWidth="1" style="6" min="1" max="1"/>
    <col width="42" customWidth="1" style="8" min="2" max="2"/>
    <col width="12.5546875" bestFit="1" customWidth="1" style="170" min="3" max="3"/>
    <col width="30.5546875" bestFit="1" customWidth="1" style="170" min="4" max="4"/>
    <col hidden="1" width="16.44140625" customWidth="1" style="169" min="5" max="5"/>
    <col width="25.88671875" customWidth="1" style="151" min="6" max="6"/>
    <col width="31.109375" customWidth="1" style="170" min="7" max="7"/>
    <col width="17" customWidth="1" style="170" min="8" max="8"/>
    <col hidden="1" width="11.33203125" customWidth="1" style="170" min="9" max="9"/>
    <col hidden="1" width="17" customWidth="1" style="170" min="10" max="10"/>
    <col hidden="1" width="19.109375" customWidth="1" style="170" min="11" max="11"/>
    <col hidden="1" width="26.88671875" customWidth="1" style="170" min="12" max="12"/>
    <col width="39.88671875" customWidth="1" style="5" min="13" max="16384"/>
  </cols>
  <sheetData>
    <row r="1" ht="27" customHeight="1">
      <c r="A1" s="159" t="n"/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  <c r="K1" s="177" t="n"/>
      <c r="L1" s="177" t="n"/>
    </row>
    <row r="2" ht="15" customHeight="1" thickBot="1">
      <c r="A2" s="95" t="inlineStr">
        <is>
          <t>DATA</t>
        </is>
      </c>
      <c r="B2" s="89" t="inlineStr">
        <is>
          <t>OP</t>
        </is>
      </c>
      <c r="C2" s="43" t="inlineStr">
        <is>
          <t>Fábrica</t>
        </is>
      </c>
      <c r="D2" s="44" t="inlineStr">
        <is>
          <t>Tipo de Chapa</t>
        </is>
      </c>
      <c r="E2" s="44" t="inlineStr">
        <is>
          <t>M² Da chapa</t>
        </is>
      </c>
      <c r="F2" s="96" t="inlineStr">
        <is>
          <t>Qtde Chapas
Liberadas</t>
        </is>
      </c>
      <c r="G2" s="47" t="inlineStr">
        <is>
          <t>Média Ponderada Perda (%)</t>
        </is>
      </c>
      <c r="H2" s="45" t="inlineStr">
        <is>
          <t>M² CHAPAS</t>
        </is>
      </c>
      <c r="I2" s="45" t="inlineStr">
        <is>
          <t>ERP</t>
        </is>
      </c>
      <c r="J2" s="45" t="inlineStr">
        <is>
          <t>CHAPAS ERP</t>
        </is>
      </c>
      <c r="K2" s="45" t="inlineStr">
        <is>
          <t>DIFERENÇA M²</t>
        </is>
      </c>
      <c r="L2" s="46" t="inlineStr">
        <is>
          <t>DIFERENÇA EM CHAPAS</t>
        </is>
      </c>
    </row>
    <row r="3">
      <c r="A3" s="6" t="inlineStr">
        <is>
          <t>-</t>
        </is>
      </c>
      <c r="B3" s="8" t="inlineStr">
        <is>
          <t>N2504703</t>
        </is>
      </c>
      <c r="C3" s="170">
        <f>VLOOKUP(LEFT(B3,1),Tabela5[],2,0)</f>
        <v/>
      </c>
      <c r="D3" s="57" t="inlineStr">
        <is>
          <t>MDF - 15MM</t>
        </is>
      </c>
      <c r="E3" s="170">
        <f>VLOOKUP(Tabela10[[#This Row],[Tipo de Chapa]],Tabela11[],2,FALSE)</f>
        <v/>
      </c>
      <c r="F3" s="169" t="n">
        <v>55</v>
      </c>
      <c r="G3" s="152" t="n"/>
      <c r="H3" s="170">
        <f>Tabela10[[#This Row],[M² Da chapa]]*Tabela10[[#This Row],[Qtde Chapas
Liberadas]]</f>
        <v/>
      </c>
      <c r="J3" s="59">
        <f>Tabela10[[#This Row],[ERP]]/Tabela10[[#This Row],[M² Da chapa]]</f>
        <v/>
      </c>
      <c r="K3" s="170">
        <f>Tabela10[[#This Row],[M² CHAPAS]]-Tabela10[[#This Row],[ERP]]</f>
        <v/>
      </c>
      <c r="L3" s="170">
        <f>Tabela10[[#This Row],[DIFERENÇA M²]]/Tabela10[[#This Row],[M² Da chapa]]</f>
        <v/>
      </c>
    </row>
    <row r="4">
      <c r="A4" s="6" t="inlineStr">
        <is>
          <t>-</t>
        </is>
      </c>
      <c r="B4" s="8" t="inlineStr">
        <is>
          <t>N25045</t>
        </is>
      </c>
      <c r="C4" s="170">
        <f>VLOOKUP(LEFT(B4,1),Tabela5[],2,0)</f>
        <v/>
      </c>
      <c r="D4" s="57" t="inlineStr">
        <is>
          <t>MDF - 15MM</t>
        </is>
      </c>
      <c r="E4" s="170">
        <f>VLOOKUP(Tabela10[[#This Row],[Tipo de Chapa]],Tabela11[],2,FALSE)</f>
        <v/>
      </c>
      <c r="F4" s="169" t="n">
        <v>286</v>
      </c>
      <c r="G4" s="152" t="n"/>
      <c r="H4" s="170">
        <f>Tabela10[[#This Row],[M² Da chapa]]*Tabela10[[#This Row],[Qtde Chapas
Liberadas]]</f>
        <v/>
      </c>
      <c r="J4" s="59">
        <f>Tabela10[[#This Row],[ERP]]/Tabela10[[#This Row],[M² Da chapa]]</f>
        <v/>
      </c>
      <c r="K4" s="170">
        <f>Tabela10[[#This Row],[M² CHAPAS]]-Tabela10[[#This Row],[ERP]]</f>
        <v/>
      </c>
      <c r="L4" s="170">
        <f>Tabela10[[#This Row],[DIFERENÇA M²]]/Tabela10[[#This Row],[M² Da chapa]]</f>
        <v/>
      </c>
    </row>
    <row r="5">
      <c r="A5" s="6" t="inlineStr">
        <is>
          <t>-</t>
        </is>
      </c>
      <c r="B5" s="8" t="inlineStr">
        <is>
          <t>N25047</t>
        </is>
      </c>
      <c r="C5" s="170">
        <f>VLOOKUP(LEFT(B5,1),Tabela5[],2,0)</f>
        <v/>
      </c>
      <c r="D5" s="57" t="inlineStr">
        <is>
          <t>EUCADUR NT - 2,5MM</t>
        </is>
      </c>
      <c r="E5" s="170">
        <f>VLOOKUP(Tabela10[[#This Row],[Tipo de Chapa]],Tabela11[],2,FALSE)</f>
        <v/>
      </c>
      <c r="F5" s="169" t="n">
        <v>334</v>
      </c>
      <c r="G5" s="152" t="n"/>
      <c r="H5" s="170">
        <f>Tabela10[[#This Row],[M² Da chapa]]*Tabela10[[#This Row],[Qtde Chapas
Liberadas]]</f>
        <v/>
      </c>
      <c r="J5" s="59">
        <f>Tabela10[[#This Row],[ERP]]/Tabela10[[#This Row],[M² Da chapa]]</f>
        <v/>
      </c>
      <c r="K5" s="170">
        <f>Tabela10[[#This Row],[M² CHAPAS]]-Tabela10[[#This Row],[ERP]]</f>
        <v/>
      </c>
      <c r="L5" s="170">
        <f>Tabela10[[#This Row],[DIFERENÇA M²]]/Tabela10[[#This Row],[M² Da chapa]]</f>
        <v/>
      </c>
    </row>
    <row r="6">
      <c r="A6" s="6" t="inlineStr">
        <is>
          <t>-</t>
        </is>
      </c>
      <c r="B6" s="8" t="inlineStr">
        <is>
          <t>N2504501</t>
        </is>
      </c>
      <c r="C6" s="170">
        <f>VLOOKUP(LEFT(B6,1),Tabela5[],2,0)</f>
        <v/>
      </c>
      <c r="D6" s="57" t="inlineStr">
        <is>
          <t>MDF - 15MM</t>
        </is>
      </c>
      <c r="E6" s="170">
        <f>VLOOKUP(Tabela10[[#This Row],[Tipo de Chapa]],Tabela11[],2,FALSE)</f>
        <v/>
      </c>
      <c r="F6" s="169" t="n">
        <v>45</v>
      </c>
      <c r="G6" s="152" t="n"/>
      <c r="H6" s="170">
        <f>Tabela10[[#This Row],[M² Da chapa]]*Tabela10[[#This Row],[Qtde Chapas
Liberadas]]</f>
        <v/>
      </c>
      <c r="J6" s="59">
        <f>Tabela10[[#This Row],[ERP]]/Tabela10[[#This Row],[M² Da chapa]]</f>
        <v/>
      </c>
      <c r="K6" s="170">
        <f>Tabela10[[#This Row],[M² CHAPAS]]-Tabela10[[#This Row],[ERP]]</f>
        <v/>
      </c>
      <c r="L6" s="170">
        <f>Tabela10[[#This Row],[DIFERENÇA M²]]/Tabela10[[#This Row],[M² Da chapa]]</f>
        <v/>
      </c>
    </row>
    <row r="7">
      <c r="A7" s="6" t="inlineStr">
        <is>
          <t>-</t>
        </is>
      </c>
      <c r="B7" s="8" t="inlineStr">
        <is>
          <t>N2504505</t>
        </is>
      </c>
      <c r="C7" s="170">
        <f>VLOOKUP(LEFT(B7,1),Tabela5[],2,0)</f>
        <v/>
      </c>
      <c r="D7" s="57" t="inlineStr">
        <is>
          <t>MDF - 15MM</t>
        </is>
      </c>
      <c r="E7" s="170">
        <f>VLOOKUP(Tabela10[[#This Row],[Tipo de Chapa]],Tabela11[],2,FALSE)</f>
        <v/>
      </c>
      <c r="F7" s="169" t="n">
        <v>295</v>
      </c>
      <c r="G7" s="152" t="n"/>
      <c r="H7" s="170">
        <f>Tabela10[[#This Row],[M² Da chapa]]*Tabela10[[#This Row],[Qtde Chapas
Liberadas]]</f>
        <v/>
      </c>
      <c r="J7" s="59">
        <f>Tabela10[[#This Row],[ERP]]/Tabela10[[#This Row],[M² Da chapa]]</f>
        <v/>
      </c>
      <c r="K7" s="170">
        <f>Tabela10[[#This Row],[M² CHAPAS]]-Tabela10[[#This Row],[ERP]]</f>
        <v/>
      </c>
      <c r="L7" s="170">
        <f>Tabela10[[#This Row],[DIFERENÇA M²]]/Tabela10[[#This Row],[M² Da chapa]]</f>
        <v/>
      </c>
    </row>
    <row r="8">
      <c r="A8" s="6" t="inlineStr">
        <is>
          <t>-</t>
        </is>
      </c>
      <c r="B8" s="8" t="inlineStr">
        <is>
          <t>N2504506</t>
        </is>
      </c>
      <c r="C8" s="170">
        <f>VLOOKUP(LEFT(B8,1),Tabela5[],2,0)</f>
        <v/>
      </c>
      <c r="D8" s="57" t="inlineStr">
        <is>
          <t>MDF - 15MM</t>
        </is>
      </c>
      <c r="E8" s="170">
        <f>VLOOKUP(Tabela10[[#This Row],[Tipo de Chapa]],Tabela11[],2,FALSE)</f>
        <v/>
      </c>
      <c r="F8" s="169" t="n">
        <v>115</v>
      </c>
      <c r="G8" s="152" t="n"/>
      <c r="H8" s="170">
        <f>Tabela10[[#This Row],[M² Da chapa]]*Tabela10[[#This Row],[Qtde Chapas
Liberadas]]</f>
        <v/>
      </c>
      <c r="J8" s="59">
        <f>Tabela10[[#This Row],[ERP]]/Tabela10[[#This Row],[M² Da chapa]]</f>
        <v/>
      </c>
      <c r="K8" s="170">
        <f>Tabela10[[#This Row],[M² CHAPAS]]-Tabela10[[#This Row],[ERP]]</f>
        <v/>
      </c>
      <c r="L8" s="170">
        <f>Tabela10[[#This Row],[DIFERENÇA M²]]/Tabela10[[#This Row],[M² Da chapa]]</f>
        <v/>
      </c>
    </row>
    <row r="9">
      <c r="A9" s="6" t="inlineStr">
        <is>
          <t>-</t>
        </is>
      </c>
      <c r="B9" s="8" t="inlineStr">
        <is>
          <t>N2504701</t>
        </is>
      </c>
      <c r="C9" s="170">
        <f>VLOOKUP(LEFT(B9,1),Tabela5[],2,0)</f>
        <v/>
      </c>
      <c r="D9" s="57" t="inlineStr">
        <is>
          <t>MDF - 15MM</t>
        </is>
      </c>
      <c r="E9" s="170">
        <f>VLOOKUP(Tabela10[[#This Row],[Tipo de Chapa]],Tabela11[],2,FALSE)</f>
        <v/>
      </c>
      <c r="F9" s="169" t="n">
        <v>63</v>
      </c>
      <c r="G9" s="152" t="n"/>
      <c r="H9" s="170">
        <f>Tabela10[[#This Row],[M² Da chapa]]*Tabela10[[#This Row],[Qtde Chapas
Liberadas]]</f>
        <v/>
      </c>
      <c r="J9" s="59">
        <f>Tabela10[[#This Row],[ERP]]/Tabela10[[#This Row],[M² Da chapa]]</f>
        <v/>
      </c>
      <c r="K9" s="170">
        <f>Tabela10[[#This Row],[M² CHAPAS]]-Tabela10[[#This Row],[ERP]]</f>
        <v/>
      </c>
      <c r="L9" s="170">
        <f>Tabela10[[#This Row],[DIFERENÇA M²]]/Tabela10[[#This Row],[M² Da chapa]]</f>
        <v/>
      </c>
    </row>
    <row r="10">
      <c r="A10" s="6" t="inlineStr">
        <is>
          <t>-</t>
        </is>
      </c>
      <c r="B10" s="92" t="inlineStr">
        <is>
          <t>N2504702</t>
        </is>
      </c>
      <c r="C10" s="170">
        <f>VLOOKUP(LEFT(B10,1),Tabela5[],2,0)</f>
        <v/>
      </c>
      <c r="D10" s="57" t="inlineStr">
        <is>
          <t>MDF - 15MM</t>
        </is>
      </c>
      <c r="E10" s="57">
        <f>VLOOKUP(Tabela10[[#This Row],[Tipo de Chapa]],Tabela11[],2,FALSE)</f>
        <v/>
      </c>
      <c r="F10" s="97" t="n">
        <v>114</v>
      </c>
      <c r="G10" s="152" t="n"/>
      <c r="H10" s="170">
        <f>Tabela10[[#This Row],[M² Da chapa]]*Tabela10[[#This Row],[Qtde Chapas
Liberadas]]</f>
        <v/>
      </c>
      <c r="J10" s="59">
        <f>Tabela10[[#This Row],[ERP]]/Tabela10[[#This Row],[M² Da chapa]]</f>
        <v/>
      </c>
      <c r="K10" s="170">
        <f>Tabela10[[#This Row],[M² CHAPAS]]-Tabela10[[#This Row],[ERP]]</f>
        <v/>
      </c>
      <c r="L10" s="170">
        <f>Tabela10[[#This Row],[DIFERENÇA M²]]/Tabela10[[#This Row],[M² Da chapa]]</f>
        <v/>
      </c>
    </row>
    <row r="11">
      <c r="A11" s="6" t="inlineStr">
        <is>
          <t>-</t>
        </is>
      </c>
      <c r="B11" s="8" t="inlineStr">
        <is>
          <t>N2504704</t>
        </is>
      </c>
      <c r="C11" s="170">
        <f>VLOOKUP(LEFT(B11,1),Tabela5[],2,0)</f>
        <v/>
      </c>
      <c r="D11" s="57" t="inlineStr">
        <is>
          <t>MDF - 15MM</t>
        </is>
      </c>
      <c r="E11" s="170">
        <f>VLOOKUP(Tabela10[[#This Row],[Tipo de Chapa]],Tabela11[],2,FALSE)</f>
        <v/>
      </c>
      <c r="F11" s="169" t="n">
        <v>183</v>
      </c>
      <c r="G11" s="152" t="n"/>
      <c r="H11" s="170">
        <f>Tabela10[[#This Row],[M² Da chapa]]*Tabela10[[#This Row],[Qtde Chapas
Liberadas]]</f>
        <v/>
      </c>
      <c r="J11" s="59">
        <f>Tabela10[[#This Row],[ERP]]/Tabela10[[#This Row],[M² Da chapa]]</f>
        <v/>
      </c>
      <c r="K11" s="170">
        <f>Tabela10[[#This Row],[M² CHAPAS]]-Tabela10[[#This Row],[ERP]]</f>
        <v/>
      </c>
      <c r="L11" s="170">
        <f>Tabela10[[#This Row],[DIFERENÇA M²]]/Tabela10[[#This Row],[M² Da chapa]]</f>
        <v/>
      </c>
    </row>
    <row r="12">
      <c r="A12" s="6" t="inlineStr">
        <is>
          <t>-</t>
        </is>
      </c>
      <c r="B12" s="8" t="inlineStr">
        <is>
          <t>N2504705</t>
        </is>
      </c>
      <c r="C12" s="170">
        <f>VLOOKUP(LEFT(B12,1),Tabela5[],2,0)</f>
        <v/>
      </c>
      <c r="D12" s="57" t="inlineStr">
        <is>
          <t>MDF - 15MM</t>
        </is>
      </c>
      <c r="E12" s="170">
        <f>VLOOKUP(Tabela10[[#This Row],[Tipo de Chapa]],Tabela11[],2,FALSE)</f>
        <v/>
      </c>
      <c r="F12" s="169" t="n">
        <v>384</v>
      </c>
      <c r="G12" s="152" t="n"/>
      <c r="H12" s="170">
        <f>Tabela10[[#This Row],[M² Da chapa]]*Tabela10[[#This Row],[Qtde Chapas
Liberadas]]</f>
        <v/>
      </c>
      <c r="J12" s="59">
        <f>Tabela10[[#This Row],[ERP]]/Tabela10[[#This Row],[M² Da chapa]]</f>
        <v/>
      </c>
      <c r="K12" s="170">
        <f>Tabela10[[#This Row],[M² CHAPAS]]-Tabela10[[#This Row],[ERP]]</f>
        <v/>
      </c>
      <c r="L12" s="170">
        <f>Tabela10[[#This Row],[DIFERENÇA M²]]/Tabela10[[#This Row],[M² Da chapa]]</f>
        <v/>
      </c>
    </row>
    <row r="13" hidden="1">
      <c r="A13" s="6" t="inlineStr">
        <is>
          <t>-</t>
        </is>
      </c>
      <c r="B13" s="8" t="inlineStr">
        <is>
          <t>M25023</t>
        </is>
      </c>
      <c r="C13" s="170">
        <f>VLOOKUP(LEFT(B13,1),Tabela5[],2,0)</f>
        <v/>
      </c>
      <c r="D13" s="57" t="inlineStr">
        <is>
          <t>EUCADUR NT - 2,5MM</t>
        </is>
      </c>
      <c r="E13" s="170">
        <f>VLOOKUP(Tabela10[[#This Row],[Tipo de Chapa]],Tabela11[],2,FALSE)</f>
        <v/>
      </c>
      <c r="F13" s="169" t="n">
        <v>349</v>
      </c>
      <c r="G13" s="152" t="n"/>
      <c r="H13" s="170">
        <f>Tabela10[[#This Row],[M² Da chapa]]*Tabela10[[#This Row],[Qtde Chapas
Liberadas]]</f>
        <v/>
      </c>
      <c r="J13" s="59">
        <f>Tabela10[[#This Row],[ERP]]/Tabela10[[#This Row],[M² Da chapa]]</f>
        <v/>
      </c>
      <c r="K13" s="170">
        <f>Tabela10[[#This Row],[M² CHAPAS]]-Tabela10[[#This Row],[ERP]]</f>
        <v/>
      </c>
      <c r="L13" s="170">
        <f>Tabela10[[#This Row],[DIFERENÇA M²]]/Tabela10[[#This Row],[M² Da chapa]]</f>
        <v/>
      </c>
    </row>
    <row r="14" hidden="1">
      <c r="A14" s="6" t="inlineStr">
        <is>
          <t>-</t>
        </is>
      </c>
      <c r="B14" s="8" t="inlineStr">
        <is>
          <t>M25024</t>
        </is>
      </c>
      <c r="C14" s="170">
        <f>VLOOKUP(LEFT(B14,1),Tabela5[],2,0)</f>
        <v/>
      </c>
      <c r="D14" s="57" t="inlineStr">
        <is>
          <t>EUCADUR NT - 2,5MM</t>
        </is>
      </c>
      <c r="E14" s="170">
        <f>VLOOKUP(Tabela10[[#This Row],[Tipo de Chapa]],Tabela11[],2,FALSE)</f>
        <v/>
      </c>
      <c r="F14" s="169" t="n">
        <v>306</v>
      </c>
      <c r="G14" s="152" t="n"/>
      <c r="H14" s="170">
        <f>Tabela10[[#This Row],[M² Da chapa]]*Tabela10[[#This Row],[Qtde Chapas
Liberadas]]</f>
        <v/>
      </c>
      <c r="J14" s="59">
        <f>Tabela10[[#This Row],[ERP]]/Tabela10[[#This Row],[M² Da chapa]]</f>
        <v/>
      </c>
      <c r="K14" s="170">
        <f>Tabela10[[#This Row],[M² CHAPAS]]-Tabela10[[#This Row],[ERP]]</f>
        <v/>
      </c>
      <c r="L14" s="170">
        <f>Tabela10[[#This Row],[DIFERENÇA M²]]/Tabela10[[#This Row],[M² Da chapa]]</f>
        <v/>
      </c>
    </row>
    <row r="15">
      <c r="A15" s="6" t="inlineStr">
        <is>
          <t>-</t>
        </is>
      </c>
      <c r="B15" s="8" t="inlineStr">
        <is>
          <t>N2504801</t>
        </is>
      </c>
      <c r="C15" s="170">
        <f>VLOOKUP(LEFT(B15,1),Tabela5[],2,0)</f>
        <v/>
      </c>
      <c r="D15" s="57" t="inlineStr">
        <is>
          <t>MDF - 15MM</t>
        </is>
      </c>
      <c r="E15" s="170">
        <f>VLOOKUP(Tabela10[[#This Row],[Tipo de Chapa]],Tabela11[],2,FALSE)</f>
        <v/>
      </c>
      <c r="F15" s="169" t="n">
        <v>565</v>
      </c>
      <c r="G15" s="152" t="n"/>
      <c r="H15" s="170">
        <f>Tabela10[[#This Row],[M² Da chapa]]*Tabela10[[#This Row],[Qtde Chapas
Liberadas]]</f>
        <v/>
      </c>
      <c r="J15" s="59">
        <f>Tabela10[[#This Row],[ERP]]/Tabela10[[#This Row],[M² Da chapa]]</f>
        <v/>
      </c>
      <c r="K15" s="170">
        <f>Tabela10[[#This Row],[M² CHAPAS]]-Tabela10[[#This Row],[ERP]]</f>
        <v/>
      </c>
      <c r="L15" s="170">
        <f>Tabela10[[#This Row],[DIFERENÇA M²]]/Tabela10[[#This Row],[M² Da chapa]]</f>
        <v/>
      </c>
    </row>
    <row r="16">
      <c r="A16" s="6" t="inlineStr">
        <is>
          <t>-</t>
        </is>
      </c>
      <c r="B16" s="8" t="inlineStr">
        <is>
          <t>ASTEC 09/25</t>
        </is>
      </c>
      <c r="C16" s="170">
        <f>VLOOKUP(LEFT(B16,1),Tabela5[],2,0)</f>
        <v/>
      </c>
      <c r="D16" s="57" t="inlineStr">
        <is>
          <t>MDF - 15MM</t>
        </is>
      </c>
      <c r="E16" s="170">
        <f>VLOOKUP(Tabela10[[#This Row],[Tipo de Chapa]],Tabela11[],2,FALSE)</f>
        <v/>
      </c>
      <c r="F16" s="169" t="n">
        <v>15</v>
      </c>
      <c r="G16" s="152" t="n"/>
      <c r="H16" s="170">
        <f>Tabela10[[#This Row],[M² Da chapa]]*Tabela10[[#This Row],[Qtde Chapas
Liberadas]]</f>
        <v/>
      </c>
      <c r="J16" s="59">
        <f>Tabela10[[#This Row],[ERP]]/Tabela10[[#This Row],[M² Da chapa]]</f>
        <v/>
      </c>
      <c r="K16" s="170">
        <f>Tabela10[[#This Row],[M² CHAPAS]]-Tabela10[[#This Row],[ERP]]</f>
        <v/>
      </c>
      <c r="L16" s="170">
        <f>Tabela10[[#This Row],[DIFERENÇA M²]]/Tabela10[[#This Row],[M² Da chapa]]</f>
        <v/>
      </c>
    </row>
    <row r="17" hidden="1">
      <c r="A17" s="6" t="inlineStr">
        <is>
          <t>-</t>
        </is>
      </c>
      <c r="B17" s="8" t="inlineStr">
        <is>
          <t>M25025</t>
        </is>
      </c>
      <c r="C17" s="170">
        <f>VLOOKUP(LEFT(B17,1),Tabela5[],2,0)</f>
        <v/>
      </c>
      <c r="D17" s="57" t="inlineStr">
        <is>
          <t>EUCADUR NT - 2,5MM</t>
        </is>
      </c>
      <c r="E17" s="170">
        <f>VLOOKUP(Tabela10[[#This Row],[Tipo de Chapa]],Tabela11[],2,FALSE)</f>
        <v/>
      </c>
      <c r="F17" s="169" t="n">
        <v>225</v>
      </c>
      <c r="G17" s="152" t="n"/>
      <c r="H17" s="170">
        <f>Tabela10[[#This Row],[M² Da chapa]]*Tabela10[[#This Row],[Qtde Chapas
Liberadas]]</f>
        <v/>
      </c>
      <c r="J17" s="59">
        <f>Tabela10[[#This Row],[ERP]]/Tabela10[[#This Row],[M² Da chapa]]</f>
        <v/>
      </c>
      <c r="K17" s="170">
        <f>Tabela10[[#This Row],[M² CHAPAS]]-Tabela10[[#This Row],[ERP]]</f>
        <v/>
      </c>
      <c r="L17" s="170">
        <f>Tabela10[[#This Row],[DIFERENÇA M²]]/Tabela10[[#This Row],[M² Da chapa]]</f>
        <v/>
      </c>
    </row>
    <row r="18" hidden="1">
      <c r="A18" s="6" t="inlineStr">
        <is>
          <t>-</t>
        </is>
      </c>
      <c r="B18" s="8" t="inlineStr">
        <is>
          <t>M25025</t>
        </is>
      </c>
      <c r="C18" s="170">
        <f>VLOOKUP(LEFT(B18,1),Tabela5[],2,0)</f>
        <v/>
      </c>
      <c r="D18" s="57" t="inlineStr">
        <is>
          <t>DURATREE -2,5MM</t>
        </is>
      </c>
      <c r="E18" s="170">
        <f>VLOOKUP(Tabela10[[#This Row],[Tipo de Chapa]],Tabela11[],2,FALSE)</f>
        <v/>
      </c>
      <c r="F18" s="169" t="n">
        <v>16</v>
      </c>
      <c r="G18" s="152" t="n"/>
      <c r="H18" s="170">
        <f>Tabela10[[#This Row],[M² Da chapa]]*Tabela10[[#This Row],[Qtde Chapas
Liberadas]]</f>
        <v/>
      </c>
      <c r="J18" s="59">
        <f>Tabela10[[#This Row],[ERP]]/Tabela10[[#This Row],[M² Da chapa]]</f>
        <v/>
      </c>
      <c r="K18" s="170">
        <f>Tabela10[[#This Row],[M² CHAPAS]]-Tabela10[[#This Row],[ERP]]</f>
        <v/>
      </c>
      <c r="L18" s="170">
        <f>Tabela10[[#This Row],[DIFERENÇA M²]]/Tabela10[[#This Row],[M² Da chapa]]</f>
        <v/>
      </c>
    </row>
    <row r="19" hidden="1">
      <c r="A19" s="6" t="inlineStr">
        <is>
          <t>-</t>
        </is>
      </c>
      <c r="B19" s="8" t="inlineStr">
        <is>
          <t>I25030</t>
        </is>
      </c>
      <c r="C19" s="170">
        <f>VLOOKUP(LEFT(B19,1),Tabela5[],2,0)</f>
        <v/>
      </c>
      <c r="D19" s="57" t="inlineStr">
        <is>
          <t>DURATREE -2,5MM</t>
        </is>
      </c>
      <c r="E19" s="170">
        <f>VLOOKUP(Tabela10[[#This Row],[Tipo de Chapa]],Tabela11[],2,FALSE)</f>
        <v/>
      </c>
      <c r="F19" s="61" t="n">
        <v>119</v>
      </c>
      <c r="G19" s="152" t="n"/>
      <c r="H19" s="170">
        <f>Tabela10[[#This Row],[M² Da chapa]]*Tabela10[[#This Row],[Qtde Chapas
Liberadas]]</f>
        <v/>
      </c>
      <c r="J19" s="59">
        <f>Tabela10[[#This Row],[ERP]]/Tabela10[[#This Row],[M² Da chapa]]</f>
        <v/>
      </c>
      <c r="K19" s="170">
        <f>Tabela10[[#This Row],[M² CHAPAS]]-Tabela10[[#This Row],[ERP]]</f>
        <v/>
      </c>
      <c r="L19" s="170">
        <f>Tabela10[[#This Row],[DIFERENÇA M²]]/Tabela10[[#This Row],[M² Da chapa]]</f>
        <v/>
      </c>
    </row>
    <row r="20" hidden="1">
      <c r="A20" s="6" t="inlineStr">
        <is>
          <t>-</t>
        </is>
      </c>
      <c r="B20" s="8" t="inlineStr">
        <is>
          <t>I25030</t>
        </is>
      </c>
      <c r="C20" s="170">
        <f>VLOOKUP(LEFT(B20,1),Tabela5[],2,0)</f>
        <v/>
      </c>
      <c r="D20" s="57" t="inlineStr">
        <is>
          <t>EUCADUR NT - 2,5MM</t>
        </is>
      </c>
      <c r="E20" s="170">
        <f>VLOOKUP(Tabela10[[#This Row],[Tipo de Chapa]],Tabela11[],2,FALSE)</f>
        <v/>
      </c>
      <c r="F20" s="169" t="n">
        <v>378</v>
      </c>
      <c r="G20" s="152" t="n"/>
      <c r="H20" s="170">
        <f>Tabela10[[#This Row],[M² Da chapa]]*Tabela10[[#This Row],[Qtde Chapas
Liberadas]]</f>
        <v/>
      </c>
      <c r="J20" s="59">
        <f>Tabela10[[#This Row],[ERP]]/Tabela10[[#This Row],[M² Da chapa]]</f>
        <v/>
      </c>
      <c r="K20" s="170">
        <f>Tabela10[[#This Row],[M² CHAPAS]]-Tabela10[[#This Row],[ERP]]</f>
        <v/>
      </c>
      <c r="L20" s="170">
        <f>Tabela10[[#This Row],[DIFERENÇA M²]]/Tabela10[[#This Row],[M² Da chapa]]</f>
        <v/>
      </c>
    </row>
    <row r="21">
      <c r="A21" s="6" t="inlineStr">
        <is>
          <t>-</t>
        </is>
      </c>
      <c r="B21" s="8" t="inlineStr">
        <is>
          <t>N2504802</t>
        </is>
      </c>
      <c r="C21" s="170">
        <f>VLOOKUP(LEFT(B21,1),Tabela5[],2,0)</f>
        <v/>
      </c>
      <c r="D21" s="57" t="inlineStr">
        <is>
          <t>MDF - 15MM</t>
        </is>
      </c>
      <c r="E21" s="170">
        <f>VLOOKUP(Tabela10[[#This Row],[Tipo de Chapa]],Tabela11[],2,FALSE)</f>
        <v/>
      </c>
      <c r="F21" s="169" t="n">
        <v>389</v>
      </c>
      <c r="G21" s="152" t="n"/>
      <c r="H21" s="170">
        <f>Tabela10[[#This Row],[M² Da chapa]]*Tabela10[[#This Row],[Qtde Chapas
Liberadas]]</f>
        <v/>
      </c>
      <c r="J21" s="59">
        <f>Tabela10[[#This Row],[ERP]]/Tabela10[[#This Row],[M² Da chapa]]</f>
        <v/>
      </c>
      <c r="K21" s="170">
        <f>Tabela10[[#This Row],[M² CHAPAS]]-Tabela10[[#This Row],[ERP]]</f>
        <v/>
      </c>
      <c r="L21" s="170">
        <f>Tabela10[[#This Row],[DIFERENÇA M²]]/Tabela10[[#This Row],[M² Da chapa]]</f>
        <v/>
      </c>
    </row>
    <row r="22">
      <c r="A22" s="6" t="inlineStr">
        <is>
          <t>-</t>
        </is>
      </c>
      <c r="B22" s="8" t="inlineStr">
        <is>
          <t>N2504902</t>
        </is>
      </c>
      <c r="C22" s="170">
        <f>VLOOKUP(LEFT(B22,1),Tabela5[],2,0)</f>
        <v/>
      </c>
      <c r="D22" s="57" t="inlineStr">
        <is>
          <t>MDF - 15MM</t>
        </is>
      </c>
      <c r="E22" s="170">
        <f>VLOOKUP(Tabela10[[#This Row],[Tipo de Chapa]],Tabela11[],2,FALSE)</f>
        <v/>
      </c>
      <c r="F22" s="169" t="n">
        <v>389</v>
      </c>
      <c r="G22" s="152" t="n"/>
      <c r="H22" s="170">
        <f>Tabela10[[#This Row],[M² Da chapa]]*Tabela10[[#This Row],[Qtde Chapas
Liberadas]]</f>
        <v/>
      </c>
      <c r="J22" s="59">
        <f>Tabela10[[#This Row],[ERP]]/Tabela10[[#This Row],[M² Da chapa]]</f>
        <v/>
      </c>
      <c r="K22" s="170">
        <f>Tabela10[[#This Row],[M² CHAPAS]]-Tabela10[[#This Row],[ERP]]</f>
        <v/>
      </c>
      <c r="L22" s="170">
        <f>Tabela10[[#This Row],[DIFERENÇA M²]]/Tabela10[[#This Row],[M² Da chapa]]</f>
        <v/>
      </c>
    </row>
    <row r="23">
      <c r="A23" s="6" t="inlineStr">
        <is>
          <t>-</t>
        </is>
      </c>
      <c r="B23" s="8" t="inlineStr">
        <is>
          <t>N2504901</t>
        </is>
      </c>
      <c r="C23" s="56">
        <f>VLOOKUP(LEFT(B23,1),Tabela5[],2,0)</f>
        <v/>
      </c>
      <c r="D23" s="57" t="inlineStr">
        <is>
          <t>MDF - 15MM</t>
        </is>
      </c>
      <c r="E23" s="170">
        <f>VLOOKUP(Tabela10[[#This Row],[Tipo de Chapa]],Tabela11[],2,FALSE)</f>
        <v/>
      </c>
      <c r="F23" s="169" t="n">
        <v>263</v>
      </c>
      <c r="G23" s="152" t="n"/>
      <c r="H23" s="170">
        <f>Tabela10[[#This Row],[M² Da chapa]]*Tabela10[[#This Row],[Qtde Chapas
Liberadas]]</f>
        <v/>
      </c>
      <c r="J23" s="59">
        <f>Tabela10[[#This Row],[ERP]]/Tabela10[[#This Row],[M² Da chapa]]</f>
        <v/>
      </c>
      <c r="K23" s="170">
        <f>Tabela10[[#This Row],[M² CHAPAS]]-Tabela10[[#This Row],[ERP]]</f>
        <v/>
      </c>
      <c r="L23" s="170">
        <f>Tabela10[[#This Row],[DIFERENÇA M²]]/Tabela10[[#This Row],[M² Da chapa]]</f>
        <v/>
      </c>
    </row>
    <row r="24" hidden="1">
      <c r="A24" s="6" t="inlineStr">
        <is>
          <t>-</t>
        </is>
      </c>
      <c r="B24" s="8" t="inlineStr">
        <is>
          <t>M25025</t>
        </is>
      </c>
      <c r="C24" s="56">
        <f>VLOOKUP(LEFT(B24,1),Tabela5[],2,0)</f>
        <v/>
      </c>
      <c r="D24" s="57" t="inlineStr">
        <is>
          <t>EUCADUR FRJ - 2,5MM</t>
        </is>
      </c>
      <c r="E24" s="170">
        <f>VLOOKUP(Tabela10[[#This Row],[Tipo de Chapa]],Tabela11[],2,FALSE)</f>
        <v/>
      </c>
      <c r="F24" s="169" t="n">
        <v>167</v>
      </c>
      <c r="G24" s="152" t="n"/>
      <c r="H24" s="170">
        <f>Tabela10[[#This Row],[M² Da chapa]]*Tabela10[[#This Row],[Qtde Chapas
Liberadas]]</f>
        <v/>
      </c>
      <c r="J24" s="59">
        <f>Tabela10[[#This Row],[ERP]]/Tabela10[[#This Row],[M² Da chapa]]</f>
        <v/>
      </c>
      <c r="K24" s="170">
        <f>Tabela10[[#This Row],[M² CHAPAS]]-Tabela10[[#This Row],[ERP]]</f>
        <v/>
      </c>
      <c r="L24" s="170">
        <f>Tabela10[[#This Row],[DIFERENÇA M²]]/Tabela10[[#This Row],[M² Da chapa]]</f>
        <v/>
      </c>
    </row>
    <row r="25">
      <c r="A25" s="6" t="inlineStr">
        <is>
          <t>-</t>
        </is>
      </c>
      <c r="B25" s="8" t="inlineStr">
        <is>
          <t>N2504904</t>
        </is>
      </c>
      <c r="C25" s="56">
        <f>VLOOKUP(LEFT(B25,1),Tabela5[],2,0)</f>
        <v/>
      </c>
      <c r="D25" s="57" t="inlineStr">
        <is>
          <t>MDF - 15MM</t>
        </is>
      </c>
      <c r="E25" s="170">
        <f>VLOOKUP(Tabela10[[#This Row],[Tipo de Chapa]],Tabela11[],2,FALSE)</f>
        <v/>
      </c>
      <c r="F25" s="169" t="n">
        <v>108</v>
      </c>
      <c r="G25" s="152" t="n"/>
      <c r="H25" s="170">
        <f>Tabela10[[#This Row],[M² Da chapa]]*Tabela10[[#This Row],[Qtde Chapas
Liberadas]]</f>
        <v/>
      </c>
      <c r="J25" s="59">
        <f>Tabela10[[#This Row],[ERP]]/Tabela10[[#This Row],[M² Da chapa]]</f>
        <v/>
      </c>
      <c r="K25" s="170">
        <f>Tabela10[[#This Row],[M² CHAPAS]]-Tabela10[[#This Row],[ERP]]</f>
        <v/>
      </c>
      <c r="L25" s="170">
        <f>Tabela10[[#This Row],[DIFERENÇA M²]]/Tabela10[[#This Row],[M² Da chapa]]</f>
        <v/>
      </c>
    </row>
    <row r="26">
      <c r="A26" s="6" t="inlineStr">
        <is>
          <t>-</t>
        </is>
      </c>
      <c r="B26" s="8" t="inlineStr">
        <is>
          <t>N2504906 | N2504903</t>
        </is>
      </c>
      <c r="C26" s="56">
        <f>VLOOKUP(LEFT(B26,1),Tabela5[],2,0)</f>
        <v/>
      </c>
      <c r="D26" s="57" t="inlineStr">
        <is>
          <t>MDF - 15MM</t>
        </is>
      </c>
      <c r="E26" s="170">
        <f>VLOOKUP(Tabela10[[#This Row],[Tipo de Chapa]],Tabela11[],2,FALSE)</f>
        <v/>
      </c>
      <c r="F26" s="169" t="n">
        <v>53</v>
      </c>
      <c r="G26" s="152" t="n"/>
      <c r="H26" s="170">
        <f>Tabela10[[#This Row],[M² Da chapa]]*Tabela10[[#This Row],[Qtde Chapas
Liberadas]]</f>
        <v/>
      </c>
      <c r="J26" s="59">
        <f>Tabela10[[#This Row],[ERP]]/Tabela10[[#This Row],[M² Da chapa]]</f>
        <v/>
      </c>
      <c r="K26" s="170">
        <f>Tabela10[[#This Row],[M² CHAPAS]]-Tabela10[[#This Row],[ERP]]</f>
        <v/>
      </c>
      <c r="L26" s="170">
        <f>Tabela10[[#This Row],[DIFERENÇA M²]]/Tabela10[[#This Row],[M² Da chapa]]</f>
        <v/>
      </c>
    </row>
    <row r="27">
      <c r="A27" s="6" t="inlineStr">
        <is>
          <t>-</t>
        </is>
      </c>
      <c r="B27" s="8" t="inlineStr">
        <is>
          <t>N2504907 | N2504905</t>
        </is>
      </c>
      <c r="C27" s="56">
        <f>VLOOKUP(LEFT(B27,1),Tabela5[],2,0)</f>
        <v/>
      </c>
      <c r="D27" s="57" t="inlineStr">
        <is>
          <t>MDF - 15MM</t>
        </is>
      </c>
      <c r="E27" s="170">
        <f>VLOOKUP(Tabela10[[#This Row],[Tipo de Chapa]],Tabela11[],2,FALSE)</f>
        <v/>
      </c>
      <c r="F27" s="169" t="n">
        <v>186</v>
      </c>
      <c r="G27" s="152" t="n"/>
      <c r="H27" s="170">
        <f>Tabela10[[#This Row],[M² Da chapa]]*Tabela10[[#This Row],[Qtde Chapas
Liberadas]]</f>
        <v/>
      </c>
      <c r="J27" s="59">
        <f>Tabela10[[#This Row],[ERP]]/Tabela10[[#This Row],[M² Da chapa]]</f>
        <v/>
      </c>
      <c r="K27" s="170">
        <f>Tabela10[[#This Row],[M² CHAPAS]]-Tabela10[[#This Row],[ERP]]</f>
        <v/>
      </c>
      <c r="L27" s="170">
        <f>Tabela10[[#This Row],[DIFERENÇA M²]]/Tabela10[[#This Row],[M² Da chapa]]</f>
        <v/>
      </c>
    </row>
    <row r="28">
      <c r="A28" s="6" t="inlineStr">
        <is>
          <t>-</t>
        </is>
      </c>
      <c r="B28" s="8" t="inlineStr">
        <is>
          <t>N25049</t>
        </is>
      </c>
      <c r="C28" s="56">
        <f>VLOOKUP(LEFT(B28,1),Tabela5[],2,0)</f>
        <v/>
      </c>
      <c r="D28" s="57" t="inlineStr">
        <is>
          <t>EUCADUR FRJ - 2,5MM</t>
        </is>
      </c>
      <c r="E28" s="170">
        <f>VLOOKUP(Tabela10[[#This Row],[Tipo de Chapa]],Tabela11[],2,FALSE)</f>
        <v/>
      </c>
      <c r="F28" s="169" t="n">
        <v>235</v>
      </c>
      <c r="G28" s="152" t="n"/>
      <c r="H28" s="170">
        <f>Tabela10[[#This Row],[M² Da chapa]]*Tabela10[[#This Row],[Qtde Chapas
Liberadas]]</f>
        <v/>
      </c>
      <c r="J28" s="59">
        <f>Tabela10[[#This Row],[ERP]]/Tabela10[[#This Row],[M² Da chapa]]</f>
        <v/>
      </c>
      <c r="K28" s="170">
        <f>Tabela10[[#This Row],[M² CHAPAS]]-Tabela10[[#This Row],[ERP]]</f>
        <v/>
      </c>
      <c r="L28" s="170">
        <f>Tabela10[[#This Row],[DIFERENÇA M²]]/Tabela10[[#This Row],[M² Da chapa]]</f>
        <v/>
      </c>
    </row>
    <row r="29">
      <c r="A29" s="6" t="inlineStr">
        <is>
          <t>-</t>
        </is>
      </c>
      <c r="B29" s="8" t="inlineStr">
        <is>
          <t>N25050</t>
        </is>
      </c>
      <c r="C29" s="56">
        <f>VLOOKUP(LEFT(B29,1),Tabela5[],2,0)</f>
        <v/>
      </c>
      <c r="D29" s="57" t="inlineStr">
        <is>
          <t>EUCADUR FRJ - 2,5MM</t>
        </is>
      </c>
      <c r="E29" s="170">
        <f>VLOOKUP(Tabela10[[#This Row],[Tipo de Chapa]],Tabela11[],2,FALSE)</f>
        <v/>
      </c>
      <c r="F29" s="169" t="n">
        <v>162</v>
      </c>
      <c r="G29" s="152" t="n"/>
      <c r="H29" s="170">
        <f>Tabela10[[#This Row],[M² Da chapa]]*Tabela10[[#This Row],[Qtde Chapas
Liberadas]]</f>
        <v/>
      </c>
      <c r="J29" s="59">
        <f>Tabela10[[#This Row],[ERP]]/Tabela10[[#This Row],[M² Da chapa]]</f>
        <v/>
      </c>
      <c r="K29" s="170">
        <f>Tabela10[[#This Row],[M² CHAPAS]]-Tabela10[[#This Row],[ERP]]</f>
        <v/>
      </c>
      <c r="L29" s="170">
        <f>Tabela10[[#This Row],[DIFERENÇA M²]]/Tabela10[[#This Row],[M² Da chapa]]</f>
        <v/>
      </c>
    </row>
    <row r="30">
      <c r="A30" s="6" t="inlineStr">
        <is>
          <t>-</t>
        </is>
      </c>
      <c r="B30" s="8" t="inlineStr">
        <is>
          <t>N25049</t>
        </is>
      </c>
      <c r="C30" s="56">
        <f>VLOOKUP(LEFT(B30,1),Tabela5[],2,0)</f>
        <v/>
      </c>
      <c r="D30" s="57" t="inlineStr">
        <is>
          <t>EUCADUR NT - 2,5MM</t>
        </is>
      </c>
      <c r="E30" s="170">
        <f>VLOOKUP(Tabela10[[#This Row],[Tipo de Chapa]],Tabela11[],2,FALSE)</f>
        <v/>
      </c>
      <c r="F30" s="169" t="n">
        <v>125</v>
      </c>
      <c r="G30" s="152" t="n"/>
      <c r="H30" s="170">
        <f>Tabela10[[#This Row],[M² Da chapa]]*Tabela10[[#This Row],[Qtde Chapas
Liberadas]]</f>
        <v/>
      </c>
      <c r="J30" s="59">
        <f>Tabela10[[#This Row],[ERP]]/Tabela10[[#This Row],[M² Da chapa]]</f>
        <v/>
      </c>
      <c r="K30" s="170">
        <f>Tabela10[[#This Row],[M² CHAPAS]]-Tabela10[[#This Row],[ERP]]</f>
        <v/>
      </c>
      <c r="L30" s="170">
        <f>Tabela10[[#This Row],[DIFERENÇA M²]]/Tabela10[[#This Row],[M² Da chapa]]</f>
        <v/>
      </c>
    </row>
    <row r="31">
      <c r="A31" s="6" t="inlineStr">
        <is>
          <t>-</t>
        </is>
      </c>
      <c r="B31" s="8" t="inlineStr">
        <is>
          <t>N25050</t>
        </is>
      </c>
      <c r="C31" s="56">
        <f>VLOOKUP(LEFT(B31,1),Tabela5[],2,0)</f>
        <v/>
      </c>
      <c r="D31" s="57" t="inlineStr">
        <is>
          <t>EUCADUR NT - 2,5MM</t>
        </is>
      </c>
      <c r="E31" s="170">
        <f>VLOOKUP(Tabela10[[#This Row],[Tipo de Chapa]],Tabela11[],2,FALSE)</f>
        <v/>
      </c>
      <c r="F31" s="169" t="n">
        <v>244</v>
      </c>
      <c r="G31" s="152" t="n"/>
      <c r="H31" s="170">
        <f>Tabela10[[#This Row],[M² Da chapa]]*Tabela10[[#This Row],[Qtde Chapas
Liberadas]]</f>
        <v/>
      </c>
      <c r="J31" s="59">
        <f>Tabela10[[#This Row],[ERP]]/Tabela10[[#This Row],[M² Da chapa]]</f>
        <v/>
      </c>
      <c r="K31" s="170">
        <f>Tabela10[[#This Row],[M² CHAPAS]]-Tabela10[[#This Row],[ERP]]</f>
        <v/>
      </c>
      <c r="L31" s="170">
        <f>Tabela10[[#This Row],[DIFERENÇA M²]]/Tabela10[[#This Row],[M² Da chapa]]</f>
        <v/>
      </c>
    </row>
    <row r="32">
      <c r="A32" s="6" t="inlineStr">
        <is>
          <t>-</t>
        </is>
      </c>
      <c r="B32" s="8" t="inlineStr">
        <is>
          <t>N2505002</t>
        </is>
      </c>
      <c r="C32" s="56">
        <f>VLOOKUP(LEFT(B32,1),Tabela5[],2,0)</f>
        <v/>
      </c>
      <c r="D32" s="57" t="inlineStr">
        <is>
          <t>MDF - 15MM</t>
        </is>
      </c>
      <c r="E32" s="170">
        <f>VLOOKUP(Tabela10[[#This Row],[Tipo de Chapa]],Tabela11[],2,FALSE)</f>
        <v/>
      </c>
      <c r="F32" s="169" t="n">
        <v>361</v>
      </c>
      <c r="G32" s="152" t="n"/>
      <c r="H32" s="170">
        <f>Tabela10[[#This Row],[M² Da chapa]]*Tabela10[[#This Row],[Qtde Chapas
Liberadas]]</f>
        <v/>
      </c>
      <c r="J32" s="59">
        <f>Tabela10[[#This Row],[ERP]]/Tabela10[[#This Row],[M² Da chapa]]</f>
        <v/>
      </c>
      <c r="K32" s="170">
        <f>Tabela10[[#This Row],[M² CHAPAS]]-Tabela10[[#This Row],[ERP]]</f>
        <v/>
      </c>
      <c r="L32" s="170">
        <f>Tabela10[[#This Row],[DIFERENÇA M²]]/Tabela10[[#This Row],[M² Da chapa]]</f>
        <v/>
      </c>
    </row>
    <row r="33">
      <c r="A33" s="6" t="inlineStr">
        <is>
          <t>-</t>
        </is>
      </c>
      <c r="B33" s="8" t="inlineStr">
        <is>
          <t>N2505001</t>
        </is>
      </c>
      <c r="C33" s="56">
        <f>VLOOKUP(LEFT(B33,1),Tabela5[],2,0)</f>
        <v/>
      </c>
      <c r="D33" s="57" t="inlineStr">
        <is>
          <t>MDF - 15MM</t>
        </is>
      </c>
      <c r="E33" s="170">
        <f>VLOOKUP(Tabela10[[#This Row],[Tipo de Chapa]],Tabela11[],2,FALSE)</f>
        <v/>
      </c>
      <c r="F33" s="169" t="n">
        <v>150</v>
      </c>
      <c r="G33" s="152" t="n"/>
      <c r="H33" s="170">
        <f>Tabela10[[#This Row],[M² Da chapa]]*Tabela10[[#This Row],[Qtde Chapas
Liberadas]]</f>
        <v/>
      </c>
      <c r="J33" s="59">
        <f>Tabela10[[#This Row],[ERP]]/Tabela10[[#This Row],[M² Da chapa]]</f>
        <v/>
      </c>
      <c r="K33" s="170">
        <f>Tabela10[[#This Row],[M² CHAPAS]]-Tabela10[[#This Row],[ERP]]</f>
        <v/>
      </c>
      <c r="L33" s="170">
        <f>Tabela10[[#This Row],[DIFERENÇA M²]]/Tabela10[[#This Row],[M² Da chapa]]</f>
        <v/>
      </c>
    </row>
    <row r="34">
      <c r="A34" s="6" t="inlineStr">
        <is>
          <t>-</t>
        </is>
      </c>
      <c r="B34" s="8" t="inlineStr">
        <is>
          <t>N2505003</t>
        </is>
      </c>
      <c r="C34" s="56">
        <f>VLOOKUP(LEFT(B34,1),Tabela5[],2,0)</f>
        <v/>
      </c>
      <c r="D34" s="57" t="inlineStr">
        <is>
          <t>MDF - 15MM</t>
        </is>
      </c>
      <c r="E34" s="170">
        <f>VLOOKUP(Tabela10[[#This Row],[Tipo de Chapa]],Tabela11[],2,FALSE)</f>
        <v/>
      </c>
      <c r="F34" s="169" t="n">
        <v>299</v>
      </c>
      <c r="G34" s="152" t="n"/>
      <c r="H34" s="170">
        <f>Tabela10[[#This Row],[M² Da chapa]]*Tabela10[[#This Row],[Qtde Chapas
Liberadas]]</f>
        <v/>
      </c>
      <c r="J34" s="59">
        <f>Tabela10[[#This Row],[ERP]]/Tabela10[[#This Row],[M² Da chapa]]</f>
        <v/>
      </c>
      <c r="K34" s="170">
        <f>Tabela10[[#This Row],[M² CHAPAS]]-Tabela10[[#This Row],[ERP]]</f>
        <v/>
      </c>
      <c r="L34" s="170">
        <f>Tabela10[[#This Row],[DIFERENÇA M²]]/Tabela10[[#This Row],[M² Da chapa]]</f>
        <v/>
      </c>
    </row>
    <row r="35">
      <c r="A35" s="6" t="inlineStr">
        <is>
          <t>-</t>
        </is>
      </c>
      <c r="B35" s="8" t="inlineStr">
        <is>
          <t>N2505004</t>
        </is>
      </c>
      <c r="C35" s="56">
        <f>VLOOKUP(LEFT(B35,1),Tabela5[],2,0)</f>
        <v/>
      </c>
      <c r="D35" s="57" t="inlineStr">
        <is>
          <t>MDF - 15MM</t>
        </is>
      </c>
      <c r="E35" s="170">
        <f>VLOOKUP(Tabela10[[#This Row],[Tipo de Chapa]],Tabela11[],2,FALSE)</f>
        <v/>
      </c>
      <c r="F35" s="169" t="n">
        <v>146</v>
      </c>
      <c r="G35" s="152" t="n"/>
      <c r="H35" s="170">
        <f>Tabela10[[#This Row],[M² Da chapa]]*Tabela10[[#This Row],[Qtde Chapas
Liberadas]]</f>
        <v/>
      </c>
      <c r="J35" s="59">
        <f>Tabela10[[#This Row],[ERP]]/Tabela10[[#This Row],[M² Da chapa]]</f>
        <v/>
      </c>
      <c r="K35" s="170">
        <f>Tabela10[[#This Row],[M² CHAPAS]]-Tabela10[[#This Row],[ERP]]</f>
        <v/>
      </c>
      <c r="L35" s="170">
        <f>Tabela10[[#This Row],[DIFERENÇA M²]]/Tabela10[[#This Row],[M² Da chapa]]</f>
        <v/>
      </c>
    </row>
    <row r="36">
      <c r="A36" s="6" t="inlineStr">
        <is>
          <t>-</t>
        </is>
      </c>
      <c r="B36" s="8" t="inlineStr">
        <is>
          <t>N2505005</t>
        </is>
      </c>
      <c r="C36" s="56">
        <f>VLOOKUP(LEFT(B36,1),Tabela5[],2,0)</f>
        <v/>
      </c>
      <c r="D36" s="57" t="inlineStr">
        <is>
          <t>MDF - 15MM</t>
        </is>
      </c>
      <c r="E36" s="170">
        <f>VLOOKUP(Tabela10[[#This Row],[Tipo de Chapa]],Tabela11[],2,FALSE)</f>
        <v/>
      </c>
      <c r="F36" s="169" t="n">
        <v>264</v>
      </c>
      <c r="G36" s="152" t="n"/>
      <c r="H36" s="170">
        <f>Tabela10[[#This Row],[M² Da chapa]]*Tabela10[[#This Row],[Qtde Chapas
Liberadas]]</f>
        <v/>
      </c>
      <c r="J36" s="59">
        <f>Tabela10[[#This Row],[ERP]]/Tabela10[[#This Row],[M² Da chapa]]</f>
        <v/>
      </c>
      <c r="K36" s="170">
        <f>Tabela10[[#This Row],[M² CHAPAS]]-Tabela10[[#This Row],[ERP]]</f>
        <v/>
      </c>
      <c r="L36" s="170">
        <f>Tabela10[[#This Row],[DIFERENÇA M²]]/Tabela10[[#This Row],[M² Da chapa]]</f>
        <v/>
      </c>
    </row>
    <row r="37">
      <c r="A37" s="6" t="inlineStr">
        <is>
          <t>-</t>
        </is>
      </c>
      <c r="B37" s="8" t="inlineStr">
        <is>
          <t>N2505006</t>
        </is>
      </c>
      <c r="C37" s="56">
        <f>VLOOKUP(LEFT(B37,1),Tabela5[],2,0)</f>
        <v/>
      </c>
      <c r="D37" s="57" t="inlineStr">
        <is>
          <t>MDF - 15MM</t>
        </is>
      </c>
      <c r="E37" s="170">
        <f>VLOOKUP(Tabela10[[#This Row],[Tipo de Chapa]],Tabela11[],2,FALSE)</f>
        <v/>
      </c>
      <c r="F37" s="169" t="n">
        <v>181</v>
      </c>
      <c r="G37" s="152" t="n"/>
      <c r="H37" s="170">
        <f>Tabela10[[#This Row],[M² Da chapa]]*Tabela10[[#This Row],[Qtde Chapas
Liberadas]]</f>
        <v/>
      </c>
      <c r="J37" s="59">
        <f>Tabela10[[#This Row],[ERP]]/Tabela10[[#This Row],[M² Da chapa]]</f>
        <v/>
      </c>
      <c r="K37" s="170">
        <f>Tabela10[[#This Row],[M² CHAPAS]]-Tabela10[[#This Row],[ERP]]</f>
        <v/>
      </c>
      <c r="L37" s="170">
        <f>Tabela10[[#This Row],[DIFERENÇA M²]]/Tabela10[[#This Row],[M² Da chapa]]</f>
        <v/>
      </c>
    </row>
    <row r="38">
      <c r="A38" s="6" t="inlineStr">
        <is>
          <t>-</t>
        </is>
      </c>
      <c r="B38" s="8" t="inlineStr">
        <is>
          <t>N2505101</t>
        </is>
      </c>
      <c r="C38" s="56">
        <f>VLOOKUP(LEFT(B38,1),Tabela5[],2,0)</f>
        <v/>
      </c>
      <c r="D38" s="57" t="inlineStr">
        <is>
          <t>MDF - 15MM</t>
        </is>
      </c>
      <c r="E38" s="170">
        <f>VLOOKUP(Tabela10[[#This Row],[Tipo de Chapa]],Tabela11[],2,FALSE)</f>
        <v/>
      </c>
      <c r="F38" s="169" t="n">
        <v>147</v>
      </c>
      <c r="G38" s="152" t="n"/>
      <c r="H38" s="170">
        <f>Tabela10[[#This Row],[M² Da chapa]]*Tabela10[[#This Row],[Qtde Chapas
Liberadas]]</f>
        <v/>
      </c>
      <c r="I38" s="170" t="n">
        <v>862.3248</v>
      </c>
      <c r="J38" s="59">
        <f>Tabela10[[#This Row],[ERP]]/Tabela10[[#This Row],[M² Da chapa]]</f>
        <v/>
      </c>
      <c r="K38" s="170">
        <f>Tabela10[[#This Row],[M² CHAPAS]]-Tabela10[[#This Row],[ERP]]</f>
        <v/>
      </c>
      <c r="L38" s="170">
        <f>Tabela10[[#This Row],[DIFERENÇA M²]]/Tabela10[[#This Row],[M² Da chapa]]</f>
        <v/>
      </c>
    </row>
    <row r="39">
      <c r="A39" s="6" t="inlineStr">
        <is>
          <t>-</t>
        </is>
      </c>
      <c r="B39" s="8" t="inlineStr">
        <is>
          <t>N2505102 | N2505103</t>
        </is>
      </c>
      <c r="C39" s="56">
        <f>VLOOKUP(LEFT(B39,1),Tabela5[],2,0)</f>
        <v/>
      </c>
      <c r="D39" s="57" t="inlineStr">
        <is>
          <t>MDF - 15MM</t>
        </is>
      </c>
      <c r="E39" s="170">
        <f>VLOOKUP(Tabela10[[#This Row],[Tipo de Chapa]],Tabela11[],2,FALSE)</f>
        <v/>
      </c>
      <c r="F39" s="169" t="n">
        <v>114</v>
      </c>
      <c r="G39" s="152" t="n"/>
      <c r="H39" s="170">
        <f>Tabela10[[#This Row],[M² Da chapa]]*Tabela10[[#This Row],[Qtde Chapas
Liberadas]]</f>
        <v/>
      </c>
      <c r="I39" s="170" t="n">
        <v>671.7968</v>
      </c>
      <c r="J39" s="59">
        <f>Tabela10[[#This Row],[ERP]]/Tabela10[[#This Row],[M² Da chapa]]</f>
        <v/>
      </c>
      <c r="K39" s="170">
        <f>Tabela10[[#This Row],[M² CHAPAS]]-Tabela10[[#This Row],[ERP]]</f>
        <v/>
      </c>
      <c r="L39" s="170">
        <f>Tabela10[[#This Row],[DIFERENÇA M²]]/Tabela10[[#This Row],[M² Da chapa]]</f>
        <v/>
      </c>
    </row>
    <row r="40">
      <c r="A40" s="6" t="inlineStr">
        <is>
          <t>-</t>
        </is>
      </c>
      <c r="B40" s="8" t="inlineStr">
        <is>
          <t>ASTEC VAGNER 01/07/25</t>
        </is>
      </c>
      <c r="C40" s="56">
        <f>VLOOKUP(LEFT(B40,1),Tabela5[],2,0)</f>
        <v/>
      </c>
      <c r="D40" s="57" t="inlineStr">
        <is>
          <t>CAPA - 15MM</t>
        </is>
      </c>
      <c r="E40" s="170">
        <f>VLOOKUP(Tabela10[[#This Row],[Tipo de Chapa]],Tabela11[],2,FALSE)</f>
        <v/>
      </c>
      <c r="F40" s="169" t="n">
        <v>21</v>
      </c>
      <c r="G40" s="152" t="n"/>
      <c r="H40" s="170">
        <f>Tabela10[[#This Row],[M² Da chapa]]*Tabela10[[#This Row],[Qtde Chapas
Liberadas]]</f>
        <v/>
      </c>
      <c r="J40" s="59">
        <f>Tabela10[[#This Row],[ERP]]/Tabela10[[#This Row],[M² Da chapa]]</f>
        <v/>
      </c>
      <c r="K40" s="170">
        <f>Tabela10[[#This Row],[M² CHAPAS]]-Tabela10[[#This Row],[ERP]]</f>
        <v/>
      </c>
      <c r="L40" s="170">
        <f>Tabela10[[#This Row],[DIFERENÇA M²]]/Tabela10[[#This Row],[M² Da chapa]]</f>
        <v/>
      </c>
    </row>
    <row r="41">
      <c r="A41" s="6" t="inlineStr">
        <is>
          <t>-</t>
        </is>
      </c>
      <c r="B41" s="8" t="inlineStr">
        <is>
          <t>EXPOSITOR FEIRA DE BELEM 2025</t>
        </is>
      </c>
      <c r="C41" s="56">
        <f>VLOOKUP(LEFT(B41,1),Tabela5[],2,0)</f>
        <v/>
      </c>
      <c r="D41" s="57" t="inlineStr">
        <is>
          <t>MDF - 15MM</t>
        </is>
      </c>
      <c r="E41" s="170">
        <f>VLOOKUP(Tabela10[[#This Row],[Tipo de Chapa]],Tabela11[],2,FALSE)</f>
        <v/>
      </c>
      <c r="F41" s="169" t="n">
        <v>34</v>
      </c>
      <c r="G41" s="152" t="n"/>
      <c r="H41" s="170">
        <f>Tabela10[[#This Row],[M² Da chapa]]*Tabela10[[#This Row],[Qtde Chapas
Liberadas]]</f>
        <v/>
      </c>
      <c r="J41" s="59">
        <f>Tabela10[[#This Row],[ERP]]/Tabela10[[#This Row],[M² Da chapa]]</f>
        <v/>
      </c>
      <c r="K41" s="170">
        <f>Tabela10[[#This Row],[M² CHAPAS]]-Tabela10[[#This Row],[ERP]]</f>
        <v/>
      </c>
      <c r="L41" s="170">
        <f>Tabela10[[#This Row],[DIFERENÇA M²]]/Tabela10[[#This Row],[M² Da chapa]]</f>
        <v/>
      </c>
    </row>
    <row r="42" hidden="1">
      <c r="A42" s="6" t="inlineStr">
        <is>
          <t>-</t>
        </is>
      </c>
      <c r="B42" s="8" t="inlineStr">
        <is>
          <t>M25026</t>
        </is>
      </c>
      <c r="C42" s="56">
        <f>VLOOKUP(LEFT(B42,1),Tabela5[],2,0)</f>
        <v/>
      </c>
      <c r="D42" s="57" t="inlineStr">
        <is>
          <t>EUCADUR NT - 2,5MM</t>
        </is>
      </c>
      <c r="E42" s="170">
        <f>VLOOKUP(Tabela10[[#This Row],[Tipo de Chapa]],Tabela11[],2,FALSE)</f>
        <v/>
      </c>
      <c r="F42" s="169" t="n">
        <v>334</v>
      </c>
      <c r="G42" s="152" t="n"/>
      <c r="H42" s="170">
        <f>Tabela10[[#This Row],[M² Da chapa]]*Tabela10[[#This Row],[Qtde Chapas
Liberadas]]</f>
        <v/>
      </c>
      <c r="J42" s="59">
        <f>Tabela10[[#This Row],[ERP]]/Tabela10[[#This Row],[M² Da chapa]]</f>
        <v/>
      </c>
      <c r="K42" s="170">
        <f>Tabela10[[#This Row],[M² CHAPAS]]-Tabela10[[#This Row],[ERP]]</f>
        <v/>
      </c>
      <c r="L42" s="170">
        <f>Tabela10[[#This Row],[DIFERENÇA M²]]/Tabela10[[#This Row],[M² Da chapa]]</f>
        <v/>
      </c>
    </row>
    <row r="43" hidden="1">
      <c r="A43" s="6" t="inlineStr">
        <is>
          <t>-</t>
        </is>
      </c>
      <c r="B43" s="8" t="inlineStr">
        <is>
          <t>M25027</t>
        </is>
      </c>
      <c r="C43" s="56">
        <f>VLOOKUP(LEFT(B43,1),Tabela5[],2,0)</f>
        <v/>
      </c>
      <c r="D43" s="57" t="inlineStr">
        <is>
          <t>EUCADUR NT - 2,5MM</t>
        </is>
      </c>
      <c r="E43" s="170">
        <f>VLOOKUP(Tabela10[[#This Row],[Tipo de Chapa]],Tabela11[],2,FALSE)</f>
        <v/>
      </c>
      <c r="F43" s="169" t="n">
        <v>260</v>
      </c>
      <c r="G43" s="152" t="n"/>
      <c r="H43" s="170">
        <f>Tabela10[[#This Row],[M² Da chapa]]*Tabela10[[#This Row],[Qtde Chapas
Liberadas]]</f>
        <v/>
      </c>
      <c r="J43" s="59">
        <f>Tabela10[[#This Row],[ERP]]/Tabela10[[#This Row],[M² Da chapa]]</f>
        <v/>
      </c>
      <c r="K43" s="170">
        <f>Tabela10[[#This Row],[M² CHAPAS]]-Tabela10[[#This Row],[ERP]]</f>
        <v/>
      </c>
      <c r="L43" s="170">
        <f>Tabela10[[#This Row],[DIFERENÇA M²]]/Tabela10[[#This Row],[M² Da chapa]]</f>
        <v/>
      </c>
    </row>
    <row r="44" hidden="1">
      <c r="A44" s="6" t="inlineStr">
        <is>
          <t>-</t>
        </is>
      </c>
      <c r="B44" s="8" t="inlineStr">
        <is>
          <t>M25028</t>
        </is>
      </c>
      <c r="C44" s="56">
        <f>VLOOKUP(LEFT(B44,1),Tabela5[],2,0)</f>
        <v/>
      </c>
      <c r="D44" s="57" t="inlineStr">
        <is>
          <t>EUCADUR NT - 2,5MM</t>
        </is>
      </c>
      <c r="E44" s="170">
        <f>VLOOKUP(Tabela10[[#This Row],[Tipo de Chapa]],Tabela11[],2,FALSE)</f>
        <v/>
      </c>
      <c r="F44" s="169" t="n">
        <v>304</v>
      </c>
      <c r="G44" s="152" t="n"/>
      <c r="H44" s="170">
        <f>Tabela10[[#This Row],[M² Da chapa]]*Tabela10[[#This Row],[Qtde Chapas
Liberadas]]</f>
        <v/>
      </c>
      <c r="J44" s="59">
        <f>Tabela10[[#This Row],[ERP]]/Tabela10[[#This Row],[M² Da chapa]]</f>
        <v/>
      </c>
      <c r="K44" s="170">
        <f>Tabela10[[#This Row],[M² CHAPAS]]-Tabela10[[#This Row],[ERP]]</f>
        <v/>
      </c>
      <c r="L44" s="170">
        <f>Tabela10[[#This Row],[DIFERENÇA M²]]/Tabela10[[#This Row],[M² Da chapa]]</f>
        <v/>
      </c>
    </row>
    <row r="45" hidden="1">
      <c r="A45" s="6" t="inlineStr">
        <is>
          <t>-</t>
        </is>
      </c>
      <c r="B45" s="8" t="inlineStr">
        <is>
          <t>M25028</t>
        </is>
      </c>
      <c r="C45" s="56">
        <f>VLOOKUP(LEFT(B45,1),Tabela5[],2,0)</f>
        <v/>
      </c>
      <c r="D45" s="57" t="inlineStr">
        <is>
          <t>DURATREE -2,5MM</t>
        </is>
      </c>
      <c r="E45" s="170">
        <f>VLOOKUP(Tabela10[[#This Row],[Tipo de Chapa]],Tabela11[],2,FALSE)</f>
        <v/>
      </c>
      <c r="F45" s="169" t="n">
        <v>127</v>
      </c>
      <c r="G45" s="152" t="n"/>
      <c r="H45" s="170">
        <f>Tabela10[[#This Row],[M² Da chapa]]*Tabela10[[#This Row],[Qtde Chapas
Liberadas]]</f>
        <v/>
      </c>
      <c r="J45" s="59">
        <f>Tabela10[[#This Row],[ERP]]/Tabela10[[#This Row],[M² Da chapa]]</f>
        <v/>
      </c>
      <c r="K45" s="170">
        <f>Tabela10[[#This Row],[M² CHAPAS]]-Tabela10[[#This Row],[ERP]]</f>
        <v/>
      </c>
      <c r="L45" s="170">
        <f>Tabela10[[#This Row],[DIFERENÇA M²]]/Tabela10[[#This Row],[M² Da chapa]]</f>
        <v/>
      </c>
    </row>
    <row r="46">
      <c r="A46" s="6" t="inlineStr">
        <is>
          <t>-</t>
        </is>
      </c>
      <c r="B46" s="8" t="inlineStr">
        <is>
          <t>N2505104 | N2505106</t>
        </is>
      </c>
      <c r="C46" s="56">
        <f>VLOOKUP(LEFT(B46,1),Tabela5[],2,0)</f>
        <v/>
      </c>
      <c r="D46" s="57" t="inlineStr">
        <is>
          <t>MDF - 15MM</t>
        </is>
      </c>
      <c r="E46" s="170">
        <f>VLOOKUP(Tabela10[[#This Row],[Tipo de Chapa]],Tabela11[],2,FALSE)</f>
        <v/>
      </c>
      <c r="F46" s="169" t="n">
        <v>242</v>
      </c>
      <c r="G46" s="152" t="n"/>
      <c r="H46" s="170">
        <f>Tabela10[[#This Row],[M² Da chapa]]*Tabela10[[#This Row],[Qtde Chapas
Liberadas]]</f>
        <v/>
      </c>
      <c r="I46" s="170" t="n">
        <v>1250.8515</v>
      </c>
      <c r="J46" s="59">
        <f>Tabela10[[#This Row],[ERP]]/Tabela10[[#This Row],[M² Da chapa]]</f>
        <v/>
      </c>
      <c r="K46" s="170">
        <f>Tabela10[[#This Row],[M² CHAPAS]]-Tabela10[[#This Row],[ERP]]</f>
        <v/>
      </c>
      <c r="L46" s="170">
        <f>Tabela10[[#This Row],[DIFERENÇA M²]]/Tabela10[[#This Row],[M² Da chapa]]</f>
        <v/>
      </c>
    </row>
    <row r="47">
      <c r="A47" s="6" t="inlineStr">
        <is>
          <t>-</t>
        </is>
      </c>
      <c r="B47" s="8" t="inlineStr">
        <is>
          <t>N2505109</t>
        </is>
      </c>
      <c r="C47" s="56">
        <f>VLOOKUP(LEFT(B47,1),Tabela5[],2,0)</f>
        <v/>
      </c>
      <c r="D47" s="57" t="inlineStr">
        <is>
          <t>MDF - 15MM</t>
        </is>
      </c>
      <c r="E47" s="170">
        <f>VLOOKUP(Tabela10[[#This Row],[Tipo de Chapa]],Tabela11[],2,FALSE)</f>
        <v/>
      </c>
      <c r="F47" s="169" t="n">
        <v>13</v>
      </c>
      <c r="G47" s="152" t="n"/>
      <c r="H47" s="170">
        <f>Tabela10[[#This Row],[M² Da chapa]]*Tabela10[[#This Row],[Qtde Chapas
Liberadas]]</f>
        <v/>
      </c>
      <c r="I47" s="170" t="n">
        <v>76</v>
      </c>
      <c r="J47" s="59">
        <f>Tabela10[[#This Row],[ERP]]/Tabela10[[#This Row],[M² Da chapa]]</f>
        <v/>
      </c>
      <c r="K47" s="170">
        <f>Tabela10[[#This Row],[M² CHAPAS]]-Tabela10[[#This Row],[ERP]]</f>
        <v/>
      </c>
      <c r="L47" s="170">
        <f>Tabela10[[#This Row],[DIFERENÇA M²]]/Tabela10[[#This Row],[M² Da chapa]]</f>
        <v/>
      </c>
    </row>
    <row r="48">
      <c r="A48" s="6" t="inlineStr">
        <is>
          <t>-</t>
        </is>
      </c>
      <c r="B48" s="8" t="inlineStr">
        <is>
          <t>N2505105</t>
        </is>
      </c>
      <c r="C48" s="56">
        <f>VLOOKUP(LEFT(B48,1),Tabela5[],2,0)</f>
        <v/>
      </c>
      <c r="D48" s="57" t="inlineStr">
        <is>
          <t>MDF - 15MM</t>
        </is>
      </c>
      <c r="E48" s="170">
        <f>VLOOKUP(Tabela10[[#This Row],[Tipo de Chapa]],Tabela11[],2,FALSE)</f>
        <v/>
      </c>
      <c r="F48" s="169" t="n">
        <v>177</v>
      </c>
      <c r="G48" s="152" t="n"/>
      <c r="H48" s="170">
        <f>Tabela10[[#This Row],[M² Da chapa]]*Tabela10[[#This Row],[Qtde Chapas
Liberadas]]</f>
        <v/>
      </c>
      <c r="I48" s="170" t="n">
        <v>1025.354</v>
      </c>
      <c r="J48" s="59">
        <f>Tabela10[[#This Row],[ERP]]/Tabela10[[#This Row],[M² Da chapa]]</f>
        <v/>
      </c>
      <c r="K48" s="170">
        <f>Tabela10[[#This Row],[M² CHAPAS]]-Tabela10[[#This Row],[ERP]]</f>
        <v/>
      </c>
      <c r="L48" s="170">
        <f>Tabela10[[#This Row],[DIFERENÇA M²]]/Tabela10[[#This Row],[M² Da chapa]]</f>
        <v/>
      </c>
    </row>
    <row r="49">
      <c r="A49" s="6" t="inlineStr">
        <is>
          <t>-</t>
        </is>
      </c>
      <c r="B49" s="8" t="inlineStr">
        <is>
          <t>N2505107</t>
        </is>
      </c>
      <c r="C49" s="56">
        <f>VLOOKUP(LEFT(B49,1),Tabela5[],2,0)</f>
        <v/>
      </c>
      <c r="D49" s="57" t="inlineStr">
        <is>
          <t>MDF - 15MM</t>
        </is>
      </c>
      <c r="E49" s="170">
        <f>VLOOKUP(Tabela10[[#This Row],[Tipo de Chapa]],Tabela11[],2,FALSE)</f>
        <v/>
      </c>
      <c r="F49" s="169" t="n">
        <v>206</v>
      </c>
      <c r="G49" s="152" t="n"/>
      <c r="H49" s="170">
        <f>Tabela10[[#This Row],[M² Da chapa]]*Tabela10[[#This Row],[Qtde Chapas
Liberadas]]</f>
        <v/>
      </c>
      <c r="I49" s="170" t="n">
        <v>1194.0305</v>
      </c>
      <c r="J49" s="59">
        <f>Tabela10[[#This Row],[ERP]]/Tabela10[[#This Row],[M² Da chapa]]</f>
        <v/>
      </c>
      <c r="K49" s="170">
        <f>Tabela10[[#This Row],[M² CHAPAS]]-Tabela10[[#This Row],[ERP]]</f>
        <v/>
      </c>
      <c r="L49" s="170">
        <f>Tabela10[[#This Row],[DIFERENÇA M²]]/Tabela10[[#This Row],[M² Da chapa]]</f>
        <v/>
      </c>
    </row>
    <row r="50">
      <c r="A50" s="6" t="inlineStr">
        <is>
          <t>-</t>
        </is>
      </c>
      <c r="B50" s="8" t="inlineStr">
        <is>
          <t>N2505108</t>
        </is>
      </c>
      <c r="C50" s="56">
        <f>VLOOKUP(LEFT(B50,1),Tabela5[],2,0)</f>
        <v/>
      </c>
      <c r="D50" s="57" t="inlineStr">
        <is>
          <t>MDF - 15MM</t>
        </is>
      </c>
      <c r="E50" s="170">
        <f>VLOOKUP(Tabela10[[#This Row],[Tipo de Chapa]],Tabela11[],2,FALSE)</f>
        <v/>
      </c>
      <c r="F50" s="169" t="n">
        <v>287</v>
      </c>
      <c r="G50" s="152" t="n"/>
      <c r="H50" s="170">
        <f>Tabela10[[#This Row],[M² Da chapa]]*Tabela10[[#This Row],[Qtde Chapas
Liberadas]]</f>
        <v/>
      </c>
      <c r="I50" s="170" t="n">
        <v>1705.7367</v>
      </c>
      <c r="J50" s="59">
        <f>Tabela10[[#This Row],[ERP]]/Tabela10[[#This Row],[M² Da chapa]]</f>
        <v/>
      </c>
      <c r="K50" s="170">
        <f>Tabela10[[#This Row],[M² CHAPAS]]-Tabela10[[#This Row],[ERP]]</f>
        <v/>
      </c>
      <c r="L50" s="170">
        <f>Tabela10[[#This Row],[DIFERENÇA M²]]/Tabela10[[#This Row],[M² Da chapa]]</f>
        <v/>
      </c>
    </row>
    <row r="51">
      <c r="A51" s="6" t="inlineStr">
        <is>
          <t>-</t>
        </is>
      </c>
      <c r="B51" s="8" t="inlineStr">
        <is>
          <t>N2505301</t>
        </is>
      </c>
      <c r="C51" s="56">
        <f>VLOOKUP(LEFT(B51,1),Tabela5[],2,0)</f>
        <v/>
      </c>
      <c r="D51" s="57" t="inlineStr">
        <is>
          <t>MDF - 15MM</t>
        </is>
      </c>
      <c r="E51" s="170">
        <f>VLOOKUP(Tabela10[[#This Row],[Tipo de Chapa]],Tabela11[],2,FALSE)</f>
        <v/>
      </c>
      <c r="F51" s="169" t="n">
        <v>114</v>
      </c>
      <c r="G51" s="152" t="n"/>
      <c r="H51" s="170">
        <f>Tabela10[[#This Row],[M² Da chapa]]*Tabela10[[#This Row],[Qtde Chapas
Liberadas]]</f>
        <v/>
      </c>
      <c r="J51" s="59">
        <f>Tabela10[[#This Row],[ERP]]/Tabela10[[#This Row],[M² Da chapa]]</f>
        <v/>
      </c>
      <c r="K51" s="170">
        <f>Tabela10[[#This Row],[M² CHAPAS]]-Tabela10[[#This Row],[ERP]]</f>
        <v/>
      </c>
      <c r="L51" s="170">
        <f>Tabela10[[#This Row],[DIFERENÇA M²]]/Tabela10[[#This Row],[M² Da chapa]]</f>
        <v/>
      </c>
    </row>
    <row r="52">
      <c r="A52" s="6" t="inlineStr">
        <is>
          <t>-</t>
        </is>
      </c>
      <c r="B52" s="8" t="inlineStr">
        <is>
          <t>N2505302</t>
        </is>
      </c>
      <c r="C52" s="56">
        <f>VLOOKUP(LEFT(B52,1),Tabela5[],2,0)</f>
        <v/>
      </c>
      <c r="D52" s="57" t="inlineStr">
        <is>
          <t>MDF - 15MM</t>
        </is>
      </c>
      <c r="E52" s="170">
        <f>VLOOKUP(Tabela10[[#This Row],[Tipo de Chapa]],Tabela11[],2,FALSE)</f>
        <v/>
      </c>
      <c r="F52" s="169" t="n">
        <v>263</v>
      </c>
      <c r="G52" s="152" t="n"/>
      <c r="H52" s="170">
        <f>Tabela10[[#This Row],[M² Da chapa]]*Tabela10[[#This Row],[Qtde Chapas
Liberadas]]</f>
        <v/>
      </c>
      <c r="J52" s="59">
        <f>Tabela10[[#This Row],[ERP]]/Tabela10[[#This Row],[M² Da chapa]]</f>
        <v/>
      </c>
      <c r="K52" s="170">
        <f>Tabela10[[#This Row],[M² CHAPAS]]-Tabela10[[#This Row],[ERP]]</f>
        <v/>
      </c>
      <c r="L52" s="170">
        <f>Tabela10[[#This Row],[DIFERENÇA M²]]/Tabela10[[#This Row],[M² Da chapa]]</f>
        <v/>
      </c>
    </row>
    <row r="53">
      <c r="A53" s="6" t="inlineStr">
        <is>
          <t>-</t>
        </is>
      </c>
      <c r="B53" s="8" t="inlineStr">
        <is>
          <t>N2505305</t>
        </is>
      </c>
      <c r="C53" s="56">
        <f>VLOOKUP(LEFT(B53,1),Tabela5[],2,0)</f>
        <v/>
      </c>
      <c r="D53" s="57" t="inlineStr">
        <is>
          <t>MDF - 15MM</t>
        </is>
      </c>
      <c r="E53" s="170">
        <f>VLOOKUP(Tabela10[[#This Row],[Tipo de Chapa]],Tabela11[],2,FALSE)</f>
        <v/>
      </c>
      <c r="F53" s="169" t="n">
        <v>147</v>
      </c>
      <c r="G53" s="152" t="n"/>
      <c r="H53" s="170">
        <f>Tabela10[[#This Row],[M² Da chapa]]*Tabela10[[#This Row],[Qtde Chapas
Liberadas]]</f>
        <v/>
      </c>
      <c r="J53" s="59">
        <f>Tabela10[[#This Row],[ERP]]/Tabela10[[#This Row],[M² Da chapa]]</f>
        <v/>
      </c>
      <c r="K53" s="170">
        <f>Tabela10[[#This Row],[M² CHAPAS]]-Tabela10[[#This Row],[ERP]]</f>
        <v/>
      </c>
      <c r="L53" s="170">
        <f>Tabela10[[#This Row],[DIFERENÇA M²]]/Tabela10[[#This Row],[M² Da chapa]]</f>
        <v/>
      </c>
    </row>
    <row r="54">
      <c r="A54" s="6" t="inlineStr">
        <is>
          <t>-</t>
        </is>
      </c>
      <c r="B54" s="8" t="inlineStr">
        <is>
          <t>N2505401</t>
        </is>
      </c>
      <c r="C54" s="56">
        <f>VLOOKUP(LEFT(B54,1),Tabela5[],2,0)</f>
        <v/>
      </c>
      <c r="D54" s="57" t="inlineStr">
        <is>
          <t>MDF - 15MM</t>
        </is>
      </c>
      <c r="E54" s="170">
        <f>VLOOKUP(Tabela10[[#This Row],[Tipo de Chapa]],Tabela11[],2,FALSE)</f>
        <v/>
      </c>
      <c r="F54" s="169" t="n">
        <v>565</v>
      </c>
      <c r="G54" s="152" t="n"/>
      <c r="H54" s="170">
        <f>Tabela10[[#This Row],[M² Da chapa]]*Tabela10[[#This Row],[Qtde Chapas
Liberadas]]</f>
        <v/>
      </c>
      <c r="J54" s="59">
        <f>Tabela10[[#This Row],[ERP]]/Tabela10[[#This Row],[M² Da chapa]]</f>
        <v/>
      </c>
      <c r="K54" s="170">
        <f>Tabela10[[#This Row],[M² CHAPAS]]-Tabela10[[#This Row],[ERP]]</f>
        <v/>
      </c>
      <c r="L54" s="170">
        <f>Tabela10[[#This Row],[DIFERENÇA M²]]/Tabela10[[#This Row],[M² Da chapa]]</f>
        <v/>
      </c>
    </row>
    <row r="55">
      <c r="A55" s="6" t="inlineStr">
        <is>
          <t>-</t>
        </is>
      </c>
      <c r="B55" s="8" t="inlineStr">
        <is>
          <t>N2505203</t>
        </is>
      </c>
      <c r="C55" s="56">
        <f>VLOOKUP(LEFT(B55,1),Tabela5[],2,0)</f>
        <v/>
      </c>
      <c r="D55" s="57" t="inlineStr">
        <is>
          <t>MDF - 15MM</t>
        </is>
      </c>
      <c r="E55" s="170">
        <f>VLOOKUP(Tabela10[[#This Row],[Tipo de Chapa]],Tabela11[],2,FALSE)</f>
        <v/>
      </c>
      <c r="F55" s="169" t="n">
        <v>299</v>
      </c>
      <c r="G55" s="152" t="n"/>
      <c r="H55" s="170">
        <f>Tabela10[[#This Row],[M² Da chapa]]*Tabela10[[#This Row],[Qtde Chapas
Liberadas]]</f>
        <v/>
      </c>
      <c r="J55" s="59">
        <f>Tabela10[[#This Row],[ERP]]/Tabela10[[#This Row],[M² Da chapa]]</f>
        <v/>
      </c>
      <c r="K55" s="170">
        <f>Tabela10[[#This Row],[M² CHAPAS]]-Tabela10[[#This Row],[ERP]]</f>
        <v/>
      </c>
      <c r="L55" s="170">
        <f>Tabela10[[#This Row],[DIFERENÇA M²]]/Tabela10[[#This Row],[M² Da chapa]]</f>
        <v/>
      </c>
    </row>
    <row r="56">
      <c r="A56" s="6" t="inlineStr">
        <is>
          <t>-</t>
        </is>
      </c>
      <c r="B56" s="8" t="inlineStr">
        <is>
          <t>N2505204</t>
        </is>
      </c>
      <c r="C56" s="56">
        <f>VLOOKUP(LEFT(B56,1),Tabela5[],2,0)</f>
        <v/>
      </c>
      <c r="D56" s="57" t="inlineStr">
        <is>
          <t>MDF - 15MM</t>
        </is>
      </c>
      <c r="E56" s="57">
        <f>VLOOKUP(Tabela10[[#This Row],[Tipo de Chapa]],Tabela11[],2,FALSE)</f>
        <v/>
      </c>
      <c r="F56" s="98" t="n">
        <v>114</v>
      </c>
      <c r="G56" s="152" t="n"/>
      <c r="H56" s="170">
        <f>Tabela10[[#This Row],[M² Da chapa]]*Tabela10[[#This Row],[Qtde Chapas
Liberadas]]</f>
        <v/>
      </c>
      <c r="J56" s="59">
        <f>Tabela10[[#This Row],[ERP]]/Tabela10[[#This Row],[M² Da chapa]]</f>
        <v/>
      </c>
      <c r="K56" s="170">
        <f>Tabela10[[#This Row],[M² CHAPAS]]-Tabela10[[#This Row],[ERP]]</f>
        <v/>
      </c>
      <c r="L56" s="170">
        <f>Tabela10[[#This Row],[DIFERENÇA M²]]/Tabela10[[#This Row],[M² Da chapa]]</f>
        <v/>
      </c>
    </row>
    <row r="57">
      <c r="A57" s="6" t="inlineStr">
        <is>
          <t>-</t>
        </is>
      </c>
      <c r="B57" s="8" t="inlineStr">
        <is>
          <t>N2505304</t>
        </is>
      </c>
      <c r="C57" s="56">
        <f>VLOOKUP(LEFT(B57,1),Tabela5[],2,0)</f>
        <v/>
      </c>
      <c r="D57" s="57" t="inlineStr">
        <is>
          <t>MDF - 15MM</t>
        </is>
      </c>
      <c r="E57" s="170">
        <f>VLOOKUP(Tabela10[[#This Row],[Tipo de Chapa]],Tabela11[],2,FALSE)</f>
        <v/>
      </c>
      <c r="F57" s="169" t="n">
        <v>181</v>
      </c>
      <c r="G57" s="152" t="n"/>
      <c r="H57" s="170">
        <f>Tabela10[[#This Row],[M² Da chapa]]*Tabela10[[#This Row],[Qtde Chapas
Liberadas]]</f>
        <v/>
      </c>
      <c r="J57" s="59">
        <f>Tabela10[[#This Row],[ERP]]/Tabela10[[#This Row],[M² Da chapa]]</f>
        <v/>
      </c>
      <c r="K57" s="170">
        <f>Tabela10[[#This Row],[M² CHAPAS]]-Tabela10[[#This Row],[ERP]]</f>
        <v/>
      </c>
      <c r="L57" s="170">
        <f>Tabela10[[#This Row],[DIFERENÇA M²]]/Tabela10[[#This Row],[M² Da chapa]]</f>
        <v/>
      </c>
    </row>
    <row r="58">
      <c r="A58" s="6" t="inlineStr">
        <is>
          <t>-</t>
        </is>
      </c>
      <c r="B58" s="8" t="inlineStr">
        <is>
          <t>N2505303</t>
        </is>
      </c>
      <c r="C58" s="56">
        <f>VLOOKUP(LEFT(B58,1),Tabela5[],2,0)</f>
        <v/>
      </c>
      <c r="D58" s="57" t="inlineStr">
        <is>
          <t>MDF - 15MM</t>
        </is>
      </c>
      <c r="E58" s="170">
        <f>VLOOKUP(Tabela10[[#This Row],[Tipo de Chapa]],Tabela11[],2,FALSE)</f>
        <v/>
      </c>
      <c r="F58" s="169" t="n">
        <v>299</v>
      </c>
      <c r="G58" s="152" t="n"/>
      <c r="H58" s="170">
        <f>Tabela10[[#This Row],[M² Da chapa]]*Tabela10[[#This Row],[Qtde Chapas
Liberadas]]</f>
        <v/>
      </c>
      <c r="J58" s="59">
        <f>Tabela10[[#This Row],[ERP]]/Tabela10[[#This Row],[M² Da chapa]]</f>
        <v/>
      </c>
      <c r="K58" s="170">
        <f>Tabela10[[#This Row],[M² CHAPAS]]-Tabela10[[#This Row],[ERP]]</f>
        <v/>
      </c>
      <c r="L58" s="170">
        <f>Tabela10[[#This Row],[DIFERENÇA M²]]/Tabela10[[#This Row],[M² Da chapa]]</f>
        <v/>
      </c>
    </row>
    <row r="59">
      <c r="A59" s="6" t="inlineStr">
        <is>
          <t>-</t>
        </is>
      </c>
      <c r="B59" s="8" t="inlineStr">
        <is>
          <t>N2505201/N2505202</t>
        </is>
      </c>
      <c r="C59" s="56">
        <f>VLOOKUP(LEFT(B59,1),Tabela5[],2,0)</f>
        <v/>
      </c>
      <c r="D59" s="57" t="inlineStr">
        <is>
          <t>MDF - 15MM</t>
        </is>
      </c>
      <c r="E59" s="170">
        <f>VLOOKUP(Tabela10[[#This Row],[Tipo de Chapa]],Tabela11[],2,FALSE)</f>
        <v/>
      </c>
      <c r="F59" s="169" t="n">
        <v>520</v>
      </c>
      <c r="G59" s="152" t="n"/>
      <c r="H59" s="170">
        <f>Tabela10[[#This Row],[M² Da chapa]]*Tabela10[[#This Row],[Qtde Chapas
Liberadas]]</f>
        <v/>
      </c>
      <c r="I59" s="59" t="n">
        <v>3181.7744</v>
      </c>
      <c r="J59" s="59">
        <f>Tabela10[[#This Row],[ERP]]/Tabela10[[#This Row],[M² Da chapa]]</f>
        <v/>
      </c>
      <c r="K59" s="170">
        <f>Tabela10[[#This Row],[M² CHAPAS]]-Tabela10[[#This Row],[ERP]]</f>
        <v/>
      </c>
      <c r="L59" s="170">
        <f>Tabela10[[#This Row],[DIFERENÇA M²]]/Tabela10[[#This Row],[M² Da chapa]]</f>
        <v/>
      </c>
    </row>
    <row r="60">
      <c r="A60" s="6" t="inlineStr">
        <is>
          <t>-</t>
        </is>
      </c>
      <c r="B60" s="8" t="inlineStr">
        <is>
          <t>N25051</t>
        </is>
      </c>
      <c r="C60" s="56">
        <f>VLOOKUP(LEFT(B60,1),Tabela5[],2,0)</f>
        <v/>
      </c>
      <c r="D60" s="57" t="inlineStr">
        <is>
          <t>EUCADUR FRJ - 2,5MM</t>
        </is>
      </c>
      <c r="E60" s="170">
        <f>VLOOKUP(Tabela10[[#This Row],[Tipo de Chapa]],Tabela11[],2,FALSE)</f>
        <v/>
      </c>
      <c r="F60" s="169" t="n">
        <v>371</v>
      </c>
      <c r="G60" s="152" t="n"/>
      <c r="H60" s="170">
        <f>Tabela10[[#This Row],[M² Da chapa]]*Tabela10[[#This Row],[Qtde Chapas
Liberadas]]</f>
        <v/>
      </c>
      <c r="I60" s="170" t="n">
        <v>2115.3407</v>
      </c>
      <c r="J60" s="59">
        <f>Tabela10[[#This Row],[ERP]]/Tabela10[[#This Row],[M² Da chapa]]</f>
        <v/>
      </c>
      <c r="K60" s="170">
        <f>Tabela10[[#This Row],[M² CHAPAS]]-Tabela10[[#This Row],[ERP]]</f>
        <v/>
      </c>
      <c r="L60" s="170">
        <f>Tabela10[[#This Row],[DIFERENÇA M²]]/Tabela10[[#This Row],[M² Da chapa]]</f>
        <v/>
      </c>
    </row>
    <row r="61">
      <c r="A61" s="6" t="inlineStr">
        <is>
          <t>-</t>
        </is>
      </c>
      <c r="B61" s="8" t="inlineStr">
        <is>
          <t>PROTÓTIPO 08/07/25</t>
        </is>
      </c>
      <c r="C61" s="56" t="inlineStr">
        <is>
          <t>Nesher</t>
        </is>
      </c>
      <c r="D61" s="57" t="inlineStr">
        <is>
          <t>MDF - 15MM</t>
        </is>
      </c>
      <c r="E61" s="170">
        <f>VLOOKUP(Tabela10[[#This Row],[Tipo de Chapa]],Tabela11[],2,FALSE)</f>
        <v/>
      </c>
      <c r="F61" s="169">
        <f>11+3+1+2+3+2+2+4</f>
        <v/>
      </c>
      <c r="G61" s="152" t="n"/>
      <c r="H61" s="170">
        <f>Tabela10[[#This Row],[M² Da chapa]]*Tabela10[[#This Row],[Qtde Chapas
Liberadas]]</f>
        <v/>
      </c>
      <c r="J61" s="59">
        <f>Tabela10[[#This Row],[ERP]]/Tabela10[[#This Row],[M² Da chapa]]</f>
        <v/>
      </c>
      <c r="K61" s="170">
        <f>Tabela10[[#This Row],[M² CHAPAS]]-Tabela10[[#This Row],[ERP]]</f>
        <v/>
      </c>
      <c r="L61" s="170">
        <f>Tabela10[[#This Row],[DIFERENÇA M²]]/Tabela10[[#This Row],[M² Da chapa]]</f>
        <v/>
      </c>
    </row>
    <row r="62">
      <c r="A62" s="6" t="inlineStr">
        <is>
          <t>-</t>
        </is>
      </c>
      <c r="B62" s="8" t="inlineStr">
        <is>
          <t>PROTÓTIPO 08/07/25</t>
        </is>
      </c>
      <c r="C62" s="56" t="inlineStr">
        <is>
          <t>Nesher</t>
        </is>
      </c>
      <c r="D62" s="170" t="inlineStr">
        <is>
          <t>MDF - 25MM 2750x2100</t>
        </is>
      </c>
      <c r="E62" s="170">
        <f>VLOOKUP(Tabela10[[#This Row],[Tipo de Chapa]],Tabela11[],2,FALSE)</f>
        <v/>
      </c>
      <c r="F62" s="169" t="n">
        <v>2</v>
      </c>
      <c r="G62" s="152" t="n"/>
      <c r="H62" s="170">
        <f>Tabela10[[#This Row],[M² Da chapa]]*Tabela10[[#This Row],[Qtde Chapas
Liberadas]]</f>
        <v/>
      </c>
      <c r="J62" s="59">
        <f>Tabela10[[#This Row],[ERP]]/Tabela10[[#This Row],[M² Da chapa]]</f>
        <v/>
      </c>
      <c r="K62" s="170">
        <f>Tabela10[[#This Row],[M² CHAPAS]]-Tabela10[[#This Row],[ERP]]</f>
        <v/>
      </c>
      <c r="L62" s="170">
        <f>Tabela10[[#This Row],[DIFERENÇA M²]]/Tabela10[[#This Row],[M² Da chapa]]</f>
        <v/>
      </c>
    </row>
    <row r="63">
      <c r="A63" s="6" t="inlineStr">
        <is>
          <t>-</t>
        </is>
      </c>
      <c r="B63" s="8" t="inlineStr">
        <is>
          <t>PROTÓTIPO 08/07/25</t>
        </is>
      </c>
      <c r="C63" s="56" t="inlineStr">
        <is>
          <t>Nesher</t>
        </is>
      </c>
      <c r="D63" s="57" t="inlineStr">
        <is>
          <t>MDF - 9MM</t>
        </is>
      </c>
      <c r="E63" s="170">
        <f>VLOOKUP(Tabela10[[#This Row],[Tipo de Chapa]],Tabela11[],2,FALSE)</f>
        <v/>
      </c>
      <c r="F63" s="169" t="inlineStr">
        <is>
          <t>SOBRAS</t>
        </is>
      </c>
      <c r="G63" s="152" t="n"/>
      <c r="H63" s="170">
        <f>Tabela10[[#This Row],[M² Da chapa]]*Tabela10[[#This Row],[Qtde Chapas
Liberadas]]</f>
        <v/>
      </c>
      <c r="J63" s="59">
        <f>Tabela10[[#This Row],[ERP]]/Tabela10[[#This Row],[M² Da chapa]]</f>
        <v/>
      </c>
      <c r="K63" s="170">
        <f>Tabela10[[#This Row],[M² CHAPAS]]-Tabela10[[#This Row],[ERP]]</f>
        <v/>
      </c>
      <c r="L63" s="170">
        <f>Tabela10[[#This Row],[DIFERENÇA M²]]/Tabela10[[#This Row],[M² Da chapa]]</f>
        <v/>
      </c>
    </row>
    <row r="64">
      <c r="A64" s="6" t="inlineStr">
        <is>
          <t>-</t>
        </is>
      </c>
      <c r="B64" s="8" t="inlineStr">
        <is>
          <t>N25052|53|54</t>
        </is>
      </c>
      <c r="C64" s="56">
        <f>VLOOKUP(LEFT(B64,1),Tabela5[],2,0)</f>
        <v/>
      </c>
      <c r="D64" s="57" t="inlineStr">
        <is>
          <t>EUCADUR NT - 2,5MM</t>
        </is>
      </c>
      <c r="E64" s="170">
        <f>VLOOKUP(Tabela10[[#This Row],[Tipo de Chapa]],Tabela11[],2,FALSE)</f>
        <v/>
      </c>
      <c r="F64" s="169" t="n">
        <v>576</v>
      </c>
      <c r="G64" s="152" t="n"/>
      <c r="H64" s="170">
        <f>Tabela10[[#This Row],[M² Da chapa]]*Tabela10[[#This Row],[Qtde Chapas
Liberadas]]</f>
        <v/>
      </c>
      <c r="I64" s="170" t="n">
        <v>3812.5162</v>
      </c>
      <c r="J64" s="59">
        <f>Tabela10[[#This Row],[ERP]]/Tabela10[[#This Row],[M² Da chapa]]</f>
        <v/>
      </c>
      <c r="K64" s="170">
        <f>Tabela10[[#This Row],[M² CHAPAS]]-Tabela10[[#This Row],[ERP]]</f>
        <v/>
      </c>
      <c r="L64" s="170">
        <f>Tabela10[[#This Row],[DIFERENÇA M²]]/Tabela10[[#This Row],[M² Da chapa]]</f>
        <v/>
      </c>
    </row>
    <row r="65">
      <c r="A65" s="6" t="inlineStr">
        <is>
          <t>-</t>
        </is>
      </c>
      <c r="B65" s="8" t="inlineStr">
        <is>
          <t>N25052|54</t>
        </is>
      </c>
      <c r="C65" s="56">
        <f>VLOOKUP(LEFT(B65,1),Tabela5[],2,0)</f>
        <v/>
      </c>
      <c r="D65" s="57" t="inlineStr">
        <is>
          <t>EUCADUR FRJ - 2,5MM</t>
        </is>
      </c>
      <c r="E65" s="170">
        <f>VLOOKUP(Tabela10[[#This Row],[Tipo de Chapa]],Tabela11[],2,FALSE)</f>
        <v/>
      </c>
      <c r="F65" s="169" t="n">
        <v>378</v>
      </c>
      <c r="G65" s="152" t="n"/>
      <c r="H65" s="170">
        <f>Tabela10[[#This Row],[M² Da chapa]]*Tabela10[[#This Row],[Qtde Chapas
Liberadas]]</f>
        <v/>
      </c>
      <c r="I65" s="170" t="n">
        <v>2018.5093</v>
      </c>
      <c r="J65" s="59">
        <f>Tabela10[[#This Row],[ERP]]/Tabela10[[#This Row],[M² Da chapa]]</f>
        <v/>
      </c>
      <c r="K65" s="170">
        <f>Tabela10[[#This Row],[M² CHAPAS]]-Tabela10[[#This Row],[ERP]]</f>
        <v/>
      </c>
      <c r="L65" s="170">
        <f>Tabela10[[#This Row],[DIFERENÇA M²]]/Tabela10[[#This Row],[M² Da chapa]]</f>
        <v/>
      </c>
    </row>
    <row r="66" hidden="1">
      <c r="A66" s="6" t="inlineStr">
        <is>
          <t>-</t>
        </is>
      </c>
      <c r="B66" s="8" t="inlineStr">
        <is>
          <t>I25031</t>
        </is>
      </c>
      <c r="C66" s="56">
        <f>VLOOKUP(LEFT(B66,1),Tabela5[],2,0)</f>
        <v/>
      </c>
      <c r="D66" s="57" t="inlineStr">
        <is>
          <t>EUCADUR FRJ - 2,5MM</t>
        </is>
      </c>
      <c r="E66" s="170">
        <f>VLOOKUP(Tabela10[[#This Row],[Tipo de Chapa]],Tabela11[],2,FALSE)</f>
        <v/>
      </c>
      <c r="F66" s="169" t="n">
        <v>148</v>
      </c>
      <c r="G66" s="152" t="n"/>
      <c r="H66" s="170">
        <f>Tabela10[[#This Row],[M² Da chapa]]*Tabela10[[#This Row],[Qtde Chapas
Liberadas]]</f>
        <v/>
      </c>
      <c r="J66" s="59">
        <f>Tabela10[[#This Row],[ERP]]/Tabela10[[#This Row],[M² Da chapa]]</f>
        <v/>
      </c>
      <c r="K66" s="170">
        <f>Tabela10[[#This Row],[M² CHAPAS]]-Tabela10[[#This Row],[ERP]]</f>
        <v/>
      </c>
      <c r="L66" s="170">
        <f>Tabela10[[#This Row],[DIFERENÇA M²]]/Tabela10[[#This Row],[M² Da chapa]]</f>
        <v/>
      </c>
    </row>
    <row r="67">
      <c r="A67" s="6" t="inlineStr">
        <is>
          <t>-</t>
        </is>
      </c>
      <c r="B67" s="8" t="inlineStr">
        <is>
          <t>EXPOSITOR CARUARU AGOSTO 2025</t>
        </is>
      </c>
      <c r="C67" s="56">
        <f>VLOOKUP(LEFT(B67,1),Tabela5[],2,0)</f>
        <v/>
      </c>
      <c r="D67" s="57" t="inlineStr">
        <is>
          <t>MDF - 15MM</t>
        </is>
      </c>
      <c r="E67" s="170">
        <f>VLOOKUP(Tabela10[[#This Row],[Tipo de Chapa]],Tabela11[],2,FALSE)</f>
        <v/>
      </c>
      <c r="F67" s="169" t="n">
        <v>34</v>
      </c>
      <c r="G67" s="152" t="n"/>
      <c r="H67" s="170">
        <f>Tabela10[[#This Row],[M² Da chapa]]*Tabela10[[#This Row],[Qtde Chapas
Liberadas]]</f>
        <v/>
      </c>
      <c r="J67" s="59">
        <f>Tabela10[[#This Row],[ERP]]/Tabela10[[#This Row],[M² Da chapa]]</f>
        <v/>
      </c>
      <c r="K67" s="170">
        <f>Tabela10[[#This Row],[M² CHAPAS]]-Tabela10[[#This Row],[ERP]]</f>
        <v/>
      </c>
      <c r="L67" s="170">
        <f>Tabela10[[#This Row],[DIFERENÇA M²]]/Tabela10[[#This Row],[M² Da chapa]]</f>
        <v/>
      </c>
    </row>
    <row r="68">
      <c r="A68" s="6" t="inlineStr">
        <is>
          <t>-</t>
        </is>
      </c>
      <c r="B68" s="8" t="inlineStr">
        <is>
          <t>N2505405</t>
        </is>
      </c>
      <c r="C68" s="56">
        <f>VLOOKUP(LEFT(B68,1),Tabela5[],2,0)</f>
        <v/>
      </c>
      <c r="D68" s="57" t="inlineStr">
        <is>
          <t>MDF - 15MM</t>
        </is>
      </c>
      <c r="E68" s="170">
        <f>VLOOKUP(Tabela10[[#This Row],[Tipo de Chapa]],Tabela11[],2,FALSE)</f>
        <v/>
      </c>
      <c r="F68" s="169" t="n">
        <v>205</v>
      </c>
      <c r="G68" s="152" t="n"/>
      <c r="H68" s="170">
        <f>Tabela10[[#This Row],[M² Da chapa]]*Tabela10[[#This Row],[Qtde Chapas
Liberadas]]</f>
        <v/>
      </c>
      <c r="J68" s="59">
        <f>Tabela10[[#This Row],[ERP]]/Tabela10[[#This Row],[M² Da chapa]]</f>
        <v/>
      </c>
      <c r="K68" s="170">
        <f>Tabela10[[#This Row],[M² CHAPAS]]-Tabela10[[#This Row],[ERP]]</f>
        <v/>
      </c>
      <c r="L68" s="170">
        <f>Tabela10[[#This Row],[DIFERENÇA M²]]/Tabela10[[#This Row],[M² Da chapa]]</f>
        <v/>
      </c>
    </row>
    <row r="69">
      <c r="A69" s="6" t="inlineStr">
        <is>
          <t>-</t>
        </is>
      </c>
      <c r="B69" s="8" t="inlineStr">
        <is>
          <t>N2505404</t>
        </is>
      </c>
      <c r="C69" s="56">
        <f>VLOOKUP(LEFT(B69,1),Tabela5[],2,0)</f>
        <v/>
      </c>
      <c r="D69" s="57" t="inlineStr">
        <is>
          <t>MDF - 15MM</t>
        </is>
      </c>
      <c r="E69" s="170">
        <f>VLOOKUP(Tabela10[[#This Row],[Tipo de Chapa]],Tabela11[],2,FALSE)</f>
        <v/>
      </c>
      <c r="F69" s="169" t="n">
        <v>177</v>
      </c>
      <c r="G69" s="152" t="n"/>
      <c r="H69" s="170">
        <f>Tabela10[[#This Row],[M² Da chapa]]*Tabela10[[#This Row],[Qtde Chapas
Liberadas]]</f>
        <v/>
      </c>
      <c r="J69" s="59">
        <f>Tabela10[[#This Row],[ERP]]/Tabela10[[#This Row],[M² Da chapa]]</f>
        <v/>
      </c>
      <c r="K69" s="170">
        <f>Tabela10[[#This Row],[M² CHAPAS]]-Tabela10[[#This Row],[ERP]]</f>
        <v/>
      </c>
      <c r="L69" s="170">
        <f>Tabela10[[#This Row],[DIFERENÇA M²]]/Tabela10[[#This Row],[M² Da chapa]]</f>
        <v/>
      </c>
    </row>
    <row r="70">
      <c r="A70" s="6" t="inlineStr">
        <is>
          <t>-</t>
        </is>
      </c>
      <c r="B70" s="8" t="inlineStr">
        <is>
          <t>N2505402 | N2505403</t>
        </is>
      </c>
      <c r="C70" s="56">
        <f>VLOOKUP(LEFT(B70,1),Tabela5[],2,0)</f>
        <v/>
      </c>
      <c r="D70" s="57" t="inlineStr">
        <is>
          <t>MDF - 15MM</t>
        </is>
      </c>
      <c r="E70" s="170">
        <f>VLOOKUP(Tabela10[[#This Row],[Tipo de Chapa]],Tabela11[],2,FALSE)</f>
        <v/>
      </c>
      <c r="F70" s="169" t="n">
        <v>180</v>
      </c>
      <c r="G70" s="152" t="n"/>
      <c r="H70" s="170">
        <f>Tabela10[[#This Row],[M² Da chapa]]*Tabela10[[#This Row],[Qtde Chapas
Liberadas]]</f>
        <v/>
      </c>
      <c r="J70" s="59">
        <f>Tabela10[[#This Row],[ERP]]/Tabela10[[#This Row],[M² Da chapa]]</f>
        <v/>
      </c>
      <c r="K70" s="170">
        <f>Tabela10[[#This Row],[M² CHAPAS]]-Tabela10[[#This Row],[ERP]]</f>
        <v/>
      </c>
      <c r="L70" s="170">
        <f>Tabela10[[#This Row],[DIFERENÇA M²]]/Tabela10[[#This Row],[M² Da chapa]]</f>
        <v/>
      </c>
    </row>
    <row r="71" hidden="1">
      <c r="A71" s="6" t="inlineStr">
        <is>
          <t>-</t>
        </is>
      </c>
      <c r="B71" s="8" t="inlineStr">
        <is>
          <t>M25030</t>
        </is>
      </c>
      <c r="C71" s="56">
        <f>VLOOKUP(LEFT(B71,1),Tabela5[],2,0)</f>
        <v/>
      </c>
      <c r="D71" s="57" t="inlineStr">
        <is>
          <t>EUCADUR NT - 2,5MM</t>
        </is>
      </c>
      <c r="E71" s="170">
        <f>VLOOKUP(Tabela10[[#This Row],[Tipo de Chapa]],Tabela11[],2,FALSE)</f>
        <v/>
      </c>
      <c r="F71" s="169" t="n">
        <v>398</v>
      </c>
      <c r="G71" s="152" t="n"/>
      <c r="H71" s="170">
        <f>Tabela10[[#This Row],[M² Da chapa]]*Tabela10[[#This Row],[Qtde Chapas
Liberadas]]</f>
        <v/>
      </c>
      <c r="I71" s="170" t="n">
        <v>2170.487</v>
      </c>
      <c r="J71" s="59">
        <f>Tabela10[[#This Row],[ERP]]/Tabela10[[#This Row],[M² Da chapa]]</f>
        <v/>
      </c>
      <c r="K71" s="170">
        <f>Tabela10[[#This Row],[M² CHAPAS]]-Tabela10[[#This Row],[ERP]]</f>
        <v/>
      </c>
      <c r="L71" s="170">
        <f>Tabela10[[#This Row],[DIFERENÇA M²]]/Tabela10[[#This Row],[M² Da chapa]]</f>
        <v/>
      </c>
    </row>
    <row r="72" hidden="1">
      <c r="A72" s="6" t="inlineStr">
        <is>
          <t>-</t>
        </is>
      </c>
      <c r="B72" s="8" t="inlineStr">
        <is>
          <t>M25031</t>
        </is>
      </c>
      <c r="C72" s="56">
        <f>VLOOKUP(LEFT(B72,1),Tabela5[],2,0)</f>
        <v/>
      </c>
      <c r="D72" s="57" t="inlineStr">
        <is>
          <t>EUCADUR FRJ - 2,5MM</t>
        </is>
      </c>
      <c r="E72" s="170">
        <f>VLOOKUP(Tabela10[[#This Row],[Tipo de Chapa]],Tabela11[],2,FALSE)</f>
        <v/>
      </c>
      <c r="F72" s="169">
        <f>663-F71</f>
        <v/>
      </c>
      <c r="G72" s="152" t="n"/>
      <c r="H72" s="170">
        <f>Tabela10[[#This Row],[M² Da chapa]]*Tabela10[[#This Row],[Qtde Chapas
Liberadas]]</f>
        <v/>
      </c>
      <c r="J72" s="59">
        <f>Tabela10[[#This Row],[ERP]]/Tabela10[[#This Row],[M² Da chapa]]</f>
        <v/>
      </c>
      <c r="K72" s="170">
        <f>Tabela10[[#This Row],[M² CHAPAS]]-Tabela10[[#This Row],[ERP]]</f>
        <v/>
      </c>
      <c r="L72" s="170">
        <f>Tabela10[[#This Row],[DIFERENÇA M²]]/Tabela10[[#This Row],[M² Da chapa]]</f>
        <v/>
      </c>
    </row>
    <row r="73">
      <c r="A73" s="6" t="inlineStr">
        <is>
          <t>-</t>
        </is>
      </c>
      <c r="B73" s="8" t="inlineStr">
        <is>
          <t>N2505602</t>
        </is>
      </c>
      <c r="C73" s="56">
        <f>VLOOKUP(LEFT(B73,1),Tabela5[],2,0)</f>
        <v/>
      </c>
      <c r="D73" s="57" t="inlineStr">
        <is>
          <t>MDF - 15MM</t>
        </is>
      </c>
      <c r="E73" s="170">
        <f>VLOOKUP(Tabela10[[#This Row],[Tipo de Chapa]],Tabela11[],2,FALSE)</f>
        <v/>
      </c>
      <c r="F73" s="169" t="n">
        <v>332</v>
      </c>
      <c r="G73" s="152" t="n"/>
      <c r="H73" s="170">
        <f>Tabela10[[#This Row],[M² Da chapa]]*Tabela10[[#This Row],[Qtde Chapas
Liberadas]]</f>
        <v/>
      </c>
      <c r="J73" s="59">
        <f>Tabela10[[#This Row],[ERP]]/Tabela10[[#This Row],[M² Da chapa]]</f>
        <v/>
      </c>
      <c r="K73" s="170">
        <f>Tabela10[[#This Row],[M² CHAPAS]]-Tabela10[[#This Row],[ERP]]</f>
        <v/>
      </c>
      <c r="L73" s="170">
        <f>Tabela10[[#This Row],[DIFERENÇA M²]]/Tabela10[[#This Row],[M² Da chapa]]</f>
        <v/>
      </c>
    </row>
    <row r="74">
      <c r="A74" s="6" t="inlineStr">
        <is>
          <t>-</t>
        </is>
      </c>
      <c r="B74" s="8" t="inlineStr">
        <is>
          <t>N2505604</t>
        </is>
      </c>
      <c r="C74" s="56">
        <f>VLOOKUP(LEFT(B74,1),Tabela5[],2,0)</f>
        <v/>
      </c>
      <c r="D74" s="57" t="inlineStr">
        <is>
          <t>MDF - 15MM</t>
        </is>
      </c>
      <c r="E74" s="170">
        <f>VLOOKUP(Tabela10[[#This Row],[Tipo de Chapa]],Tabela11[],2,FALSE)</f>
        <v/>
      </c>
      <c r="F74" s="169" t="n">
        <v>186</v>
      </c>
      <c r="G74" s="152" t="n"/>
      <c r="H74" s="170">
        <f>Tabela10[[#This Row],[M² Da chapa]]*Tabela10[[#This Row],[Qtde Chapas
Liberadas]]</f>
        <v/>
      </c>
      <c r="J74" s="59">
        <f>Tabela10[[#This Row],[ERP]]/Tabela10[[#This Row],[M² Da chapa]]</f>
        <v/>
      </c>
      <c r="K74" s="170">
        <f>Tabela10[[#This Row],[M² CHAPAS]]-Tabela10[[#This Row],[ERP]]</f>
        <v/>
      </c>
      <c r="L74" s="170">
        <f>Tabela10[[#This Row],[DIFERENÇA M²]]/Tabela10[[#This Row],[M² Da chapa]]</f>
        <v/>
      </c>
    </row>
    <row r="75">
      <c r="A75" s="6" t="inlineStr">
        <is>
          <t>-</t>
        </is>
      </c>
      <c r="B75" s="8" t="inlineStr">
        <is>
          <t>N Fundo  20%</t>
        </is>
      </c>
      <c r="C75" s="56">
        <f>VLOOKUP(LEFT(B75,1),Tabela5[],2,0)</f>
        <v/>
      </c>
      <c r="D75" s="57" t="inlineStr">
        <is>
          <t>EUCADUR FRJ - 2,5MM</t>
        </is>
      </c>
      <c r="E75" s="170">
        <f>VLOOKUP(Tabela10[[#This Row],[Tipo de Chapa]],Tabela11[],2,FALSE)</f>
        <v/>
      </c>
      <c r="F75" s="169" t="n">
        <v>4</v>
      </c>
      <c r="G75" s="152" t="n"/>
      <c r="H75" s="170">
        <f>Tabela10[[#This Row],[M² Da chapa]]*Tabela10[[#This Row],[Qtde Chapas
Liberadas]]</f>
        <v/>
      </c>
      <c r="J75" s="59">
        <f>Tabela10[[#This Row],[ERP]]/Tabela10[[#This Row],[M² Da chapa]]</f>
        <v/>
      </c>
      <c r="K75" s="170">
        <f>Tabela10[[#This Row],[M² CHAPAS]]-Tabela10[[#This Row],[ERP]]</f>
        <v/>
      </c>
      <c r="L75" s="170">
        <f>Tabela10[[#This Row],[DIFERENÇA M²]]/Tabela10[[#This Row],[M² Da chapa]]</f>
        <v/>
      </c>
    </row>
    <row r="76">
      <c r="A76" s="6" t="inlineStr">
        <is>
          <t>-</t>
        </is>
      </c>
      <c r="B76" s="8" t="inlineStr">
        <is>
          <t xml:space="preserve">N Fundo Leroy </t>
        </is>
      </c>
      <c r="C76" s="56">
        <f>VLOOKUP(LEFT(B76,1),Tabela5[],2,0)</f>
        <v/>
      </c>
      <c r="D76" s="57" t="inlineStr">
        <is>
          <t>EUCADUR NT - 2,5MM</t>
        </is>
      </c>
      <c r="E76" s="170">
        <f>VLOOKUP(Tabela10[[#This Row],[Tipo de Chapa]],Tabela11[],2,FALSE)</f>
        <v/>
      </c>
      <c r="F76" s="169" t="n">
        <v>2</v>
      </c>
      <c r="G76" s="152" t="n"/>
      <c r="H76" s="170">
        <f>Tabela10[[#This Row],[M² Da chapa]]*Tabela10[[#This Row],[Qtde Chapas
Liberadas]]</f>
        <v/>
      </c>
      <c r="J76" s="59">
        <f>Tabela10[[#This Row],[ERP]]/Tabela10[[#This Row],[M² Da chapa]]</f>
        <v/>
      </c>
      <c r="K76" s="170">
        <f>Tabela10[[#This Row],[M² CHAPAS]]-Tabela10[[#This Row],[ERP]]</f>
        <v/>
      </c>
      <c r="L76" s="170">
        <f>Tabela10[[#This Row],[DIFERENÇA M²]]/Tabela10[[#This Row],[M² Da chapa]]</f>
        <v/>
      </c>
    </row>
    <row r="77">
      <c r="A77" s="6" t="inlineStr">
        <is>
          <t>-</t>
        </is>
      </c>
      <c r="B77" s="8" t="inlineStr">
        <is>
          <t>N fundo cozinha Mauro</t>
        </is>
      </c>
      <c r="C77" s="56">
        <f>VLOOKUP(LEFT(B77,1),Tabela5[],2,0)</f>
        <v/>
      </c>
      <c r="D77" s="57" t="inlineStr">
        <is>
          <t>EUCADUR FRJ - 2,5MM</t>
        </is>
      </c>
      <c r="E77" s="170">
        <f>VLOOKUP(Tabela10[[#This Row],[Tipo de Chapa]],Tabela11[],2,FALSE)</f>
        <v/>
      </c>
      <c r="F77" s="169" t="n">
        <v>5</v>
      </c>
      <c r="G77" s="152" t="n"/>
      <c r="H77" s="170">
        <f>Tabela10[[#This Row],[M² Da chapa]]*Tabela10[[#This Row],[Qtde Chapas
Liberadas]]</f>
        <v/>
      </c>
      <c r="J77" s="59">
        <f>Tabela10[[#This Row],[ERP]]/Tabela10[[#This Row],[M² Da chapa]]</f>
        <v/>
      </c>
      <c r="K77" s="170">
        <f>Tabela10[[#This Row],[M² CHAPAS]]-Tabela10[[#This Row],[ERP]]</f>
        <v/>
      </c>
      <c r="L77" s="170">
        <f>Tabela10[[#This Row],[DIFERENÇA M²]]/Tabela10[[#This Row],[M² Da chapa]]</f>
        <v/>
      </c>
    </row>
    <row r="78">
      <c r="A78" s="6" t="inlineStr">
        <is>
          <t>-</t>
        </is>
      </c>
      <c r="B78" s="8" t="inlineStr">
        <is>
          <t>ASTEC 12/25 - 15.07.25</t>
        </is>
      </c>
      <c r="C78" s="56">
        <f>VLOOKUP(LEFT(B78,1),Tabela5[],2,0)</f>
        <v/>
      </c>
      <c r="D78" s="57" t="inlineStr">
        <is>
          <t>MDF - 15MM</t>
        </is>
      </c>
      <c r="E78" s="170">
        <f>VLOOKUP(Tabela10[[#This Row],[Tipo de Chapa]],Tabela11[],2,FALSE)</f>
        <v/>
      </c>
      <c r="F78" s="169" t="n">
        <v>16</v>
      </c>
      <c r="G78" s="152" t="n"/>
      <c r="H78" s="170">
        <f>Tabela10[[#This Row],[M² Da chapa]]*Tabela10[[#This Row],[Qtde Chapas
Liberadas]]</f>
        <v/>
      </c>
      <c r="J78" s="59">
        <f>Tabela10[[#This Row],[ERP]]/Tabela10[[#This Row],[M² Da chapa]]</f>
        <v/>
      </c>
      <c r="K78" s="170">
        <f>Tabela10[[#This Row],[M² CHAPAS]]-Tabela10[[#This Row],[ERP]]</f>
        <v/>
      </c>
      <c r="L78" s="170">
        <f>Tabela10[[#This Row],[DIFERENÇA M²]]/Tabela10[[#This Row],[M² Da chapa]]</f>
        <v/>
      </c>
    </row>
    <row r="79">
      <c r="A79" s="6" t="inlineStr">
        <is>
          <t>-</t>
        </is>
      </c>
      <c r="B79" s="8" t="inlineStr">
        <is>
          <t>N25056</t>
        </is>
      </c>
      <c r="C79" s="56">
        <f>VLOOKUP(LEFT(B79,1),Tabela5[],2,0)</f>
        <v/>
      </c>
      <c r="D79" s="57" t="inlineStr">
        <is>
          <t>EUCADUR FRJ - 2,5MM</t>
        </is>
      </c>
      <c r="E79" s="170">
        <f>VLOOKUP(Tabela10[[#This Row],[Tipo de Chapa]],Tabela11[],2,FALSE)</f>
        <v/>
      </c>
      <c r="F79" s="169" t="n">
        <v>417</v>
      </c>
      <c r="G79" s="152" t="n"/>
      <c r="H79" s="170">
        <f>Tabela10[[#This Row],[M² Da chapa]]*Tabela10[[#This Row],[Qtde Chapas
Liberadas]]</f>
        <v/>
      </c>
      <c r="J79" s="59">
        <f>Tabela10[[#This Row],[ERP]]/Tabela10[[#This Row],[M² Da chapa]]</f>
        <v/>
      </c>
      <c r="K79" s="170">
        <f>Tabela10[[#This Row],[M² CHAPAS]]-Tabela10[[#This Row],[ERP]]</f>
        <v/>
      </c>
      <c r="L79" s="170">
        <f>Tabela10[[#This Row],[DIFERENÇA M²]]/Tabela10[[#This Row],[M² Da chapa]]</f>
        <v/>
      </c>
    </row>
    <row r="80" hidden="1">
      <c r="A80" s="6" t="inlineStr">
        <is>
          <t>-</t>
        </is>
      </c>
      <c r="B80" s="8" t="inlineStr">
        <is>
          <t>M25032</t>
        </is>
      </c>
      <c r="C80" s="56">
        <f>VLOOKUP(LEFT(B80,1),Tabela5[],2,0)</f>
        <v/>
      </c>
      <c r="D80" s="57" t="inlineStr">
        <is>
          <t>EUCADUR FRJ - 2,5MM</t>
        </is>
      </c>
      <c r="E80" s="170">
        <f>VLOOKUP(Tabela10[[#This Row],[Tipo de Chapa]],Tabela11[],2,FALSE)</f>
        <v/>
      </c>
      <c r="F80" s="169" t="n">
        <v>291</v>
      </c>
      <c r="G80" s="152" t="n"/>
      <c r="H80" s="170">
        <f>Tabela10[[#This Row],[M² Da chapa]]*Tabela10[[#This Row],[Qtde Chapas
Liberadas]]</f>
        <v/>
      </c>
      <c r="I80" s="170" t="n">
        <v>1711.4296</v>
      </c>
      <c r="J80" s="59">
        <f>Tabela10[[#This Row],[ERP]]/Tabela10[[#This Row],[M² Da chapa]]</f>
        <v/>
      </c>
      <c r="K80" s="170">
        <f>Tabela10[[#This Row],[M² CHAPAS]]-Tabela10[[#This Row],[ERP]]</f>
        <v/>
      </c>
      <c r="L80" s="170">
        <f>Tabela10[[#This Row],[DIFERENÇA M²]]/Tabela10[[#This Row],[M² Da chapa]]</f>
        <v/>
      </c>
    </row>
    <row r="81">
      <c r="A81" s="6" t="inlineStr">
        <is>
          <t>-</t>
        </is>
      </c>
      <c r="B81" s="8" t="inlineStr">
        <is>
          <t>N25057</t>
        </is>
      </c>
      <c r="C81" s="56">
        <f>VLOOKUP(LEFT(B81,1),Tabela5[],2,0)</f>
        <v/>
      </c>
      <c r="D81" s="57" t="inlineStr">
        <is>
          <t>EUCADUR NT - 2,5MM</t>
        </is>
      </c>
      <c r="E81" s="170">
        <f>VLOOKUP(Tabela10[[#This Row],[Tipo de Chapa]],Tabela11[],2,FALSE)</f>
        <v/>
      </c>
      <c r="F81" s="169" t="n">
        <v>367</v>
      </c>
      <c r="G81" s="152" t="n"/>
      <c r="H81" s="170">
        <f>Tabela10[[#This Row],[M² Da chapa]]*Tabela10[[#This Row],[Qtde Chapas
Liberadas]]</f>
        <v/>
      </c>
      <c r="J81" s="59">
        <f>Tabela10[[#This Row],[ERP]]/Tabela10[[#This Row],[M² Da chapa]]</f>
        <v/>
      </c>
      <c r="K81" s="170">
        <f>Tabela10[[#This Row],[M² CHAPAS]]-Tabela10[[#This Row],[ERP]]</f>
        <v/>
      </c>
      <c r="L81" s="170">
        <f>Tabela10[[#This Row],[DIFERENÇA M²]]/Tabela10[[#This Row],[M² Da chapa]]</f>
        <v/>
      </c>
    </row>
    <row r="82" hidden="1">
      <c r="A82" s="6" t="inlineStr">
        <is>
          <t>-</t>
        </is>
      </c>
      <c r="B82" s="8" t="inlineStr">
        <is>
          <t>M25033</t>
        </is>
      </c>
      <c r="C82" s="56">
        <f>VLOOKUP(LEFT(B82,1),Tabela5[],2,0)</f>
        <v/>
      </c>
      <c r="D82" s="57" t="inlineStr">
        <is>
          <t>EUCADUR NT - 2,5MM</t>
        </is>
      </c>
      <c r="E82" s="170">
        <f>VLOOKUP(Tabela10[[#This Row],[Tipo de Chapa]],Tabela11[],2,FALSE)</f>
        <v/>
      </c>
      <c r="F82" s="169" t="n">
        <v>297</v>
      </c>
      <c r="G82" s="152" t="n"/>
      <c r="H82" s="170">
        <f>Tabela10[[#This Row],[M² Da chapa]]*Tabela10[[#This Row],[Qtde Chapas
Liberadas]]</f>
        <v/>
      </c>
      <c r="J82" s="59">
        <f>Tabela10[[#This Row],[ERP]]/Tabela10[[#This Row],[M² Da chapa]]</f>
        <v/>
      </c>
      <c r="K82" s="170">
        <f>Tabela10[[#This Row],[M² CHAPAS]]-Tabela10[[#This Row],[ERP]]</f>
        <v/>
      </c>
      <c r="L82" s="170">
        <f>Tabela10[[#This Row],[DIFERENÇA M²]]/Tabela10[[#This Row],[M² Da chapa]]</f>
        <v/>
      </c>
    </row>
    <row r="83" hidden="1">
      <c r="A83" s="6" t="inlineStr">
        <is>
          <t>-</t>
        </is>
      </c>
      <c r="B83" s="8" t="inlineStr">
        <is>
          <t>I25032</t>
        </is>
      </c>
      <c r="C83" s="56">
        <f>VLOOKUP(LEFT(B83,1),Tabela5[],2,0)</f>
        <v/>
      </c>
      <c r="D83" s="57" t="inlineStr">
        <is>
          <t>EUCADUR NT - 2,5MM</t>
        </is>
      </c>
      <c r="E83" s="170">
        <f>VLOOKUP(Tabela10[[#This Row],[Tipo de Chapa]],Tabela11[],2,FALSE)</f>
        <v/>
      </c>
      <c r="F83" s="169" t="n">
        <v>19</v>
      </c>
      <c r="G83" s="152" t="n"/>
      <c r="H83" s="170">
        <f>Tabela10[[#This Row],[M² Da chapa]]*Tabela10[[#This Row],[Qtde Chapas
Liberadas]]</f>
        <v/>
      </c>
      <c r="J83" s="59">
        <f>Tabela10[[#This Row],[ERP]]/Tabela10[[#This Row],[M² Da chapa]]</f>
        <v/>
      </c>
      <c r="K83" s="170">
        <f>Tabela10[[#This Row],[M² CHAPAS]]-Tabela10[[#This Row],[ERP]]</f>
        <v/>
      </c>
      <c r="L83" s="170">
        <f>Tabela10[[#This Row],[DIFERENÇA M²]]/Tabela10[[#This Row],[M² Da chapa]]</f>
        <v/>
      </c>
    </row>
    <row r="84" hidden="1">
      <c r="A84" s="6" t="inlineStr">
        <is>
          <t>-</t>
        </is>
      </c>
      <c r="B84" s="8" t="inlineStr">
        <is>
          <t>I25032</t>
        </is>
      </c>
      <c r="C84" s="56">
        <f>VLOOKUP(LEFT(B84,1),Tabela5[],2,0)</f>
        <v/>
      </c>
      <c r="D84" s="57" t="inlineStr">
        <is>
          <t>DURATREE -2,5MM</t>
        </is>
      </c>
      <c r="E84" s="170">
        <f>VLOOKUP(Tabela10[[#This Row],[Tipo de Chapa]],Tabela11[],2,FALSE)</f>
        <v/>
      </c>
      <c r="F84" s="169" t="n">
        <v>168</v>
      </c>
      <c r="G84" s="152" t="n"/>
      <c r="H84" s="170">
        <f>Tabela10[[#This Row],[M² Da chapa]]*Tabela10[[#This Row],[Qtde Chapas
Liberadas]]</f>
        <v/>
      </c>
      <c r="J84" s="59">
        <f>Tabela10[[#This Row],[ERP]]/Tabela10[[#This Row],[M² Da chapa]]</f>
        <v/>
      </c>
      <c r="K84" s="170">
        <f>Tabela10[[#This Row],[M² CHAPAS]]-Tabela10[[#This Row],[ERP]]</f>
        <v/>
      </c>
      <c r="L84" s="170">
        <f>Tabela10[[#This Row],[DIFERENÇA M²]]/Tabela10[[#This Row],[M² Da chapa]]</f>
        <v/>
      </c>
    </row>
    <row r="85">
      <c r="A85" s="6" t="inlineStr">
        <is>
          <t>-</t>
        </is>
      </c>
      <c r="B85" s="8" t="inlineStr">
        <is>
          <t>Fundos condessa Moisés</t>
        </is>
      </c>
      <c r="C85" s="56" t="inlineStr">
        <is>
          <t>Nesher</t>
        </is>
      </c>
      <c r="D85" s="57" t="inlineStr">
        <is>
          <t>EUCADUR FRJ - 2,5MM</t>
        </is>
      </c>
      <c r="E85" s="170">
        <f>VLOOKUP(Tabela10[[#This Row],[Tipo de Chapa]],Tabela11[],2,FALSE)</f>
        <v/>
      </c>
      <c r="F85" s="169" t="n">
        <v>2</v>
      </c>
      <c r="G85" s="152" t="n"/>
      <c r="H85" s="170">
        <f>Tabela10[[#This Row],[M² Da chapa]]*Tabela10[[#This Row],[Qtde Chapas
Liberadas]]</f>
        <v/>
      </c>
      <c r="J85" s="59">
        <f>Tabela10[[#This Row],[ERP]]/Tabela10[[#This Row],[M² Da chapa]]</f>
        <v/>
      </c>
      <c r="K85" s="170">
        <f>Tabela10[[#This Row],[M² CHAPAS]]-Tabela10[[#This Row],[ERP]]</f>
        <v/>
      </c>
      <c r="L85" s="170">
        <f>Tabela10[[#This Row],[DIFERENÇA M²]]/Tabela10[[#This Row],[M² Da chapa]]</f>
        <v/>
      </c>
    </row>
    <row r="86">
      <c r="A86" s="6" t="inlineStr">
        <is>
          <t>-</t>
        </is>
      </c>
      <c r="B86" s="8" t="inlineStr">
        <is>
          <t>N25059</t>
        </is>
      </c>
      <c r="C86" s="56">
        <f>VLOOKUP(LEFT(B86,1),Tabela5[],2,0)</f>
        <v/>
      </c>
      <c r="D86" s="57" t="inlineStr">
        <is>
          <t>EUCADUR FRJ - 2,5MM</t>
        </is>
      </c>
      <c r="E86" s="170">
        <f>VLOOKUP(Tabela10[[#This Row],[Tipo de Chapa]],Tabela11[],2,FALSE)</f>
        <v/>
      </c>
      <c r="F86" s="169" t="n">
        <v>565</v>
      </c>
      <c r="G86" s="152" t="n"/>
      <c r="H86" s="170">
        <f>Tabela10[[#This Row],[M² Da chapa]]*Tabela10[[#This Row],[Qtde Chapas
Liberadas]]</f>
        <v/>
      </c>
      <c r="J86" s="59">
        <f>Tabela10[[#This Row],[ERP]]/Tabela10[[#This Row],[M² Da chapa]]</f>
        <v/>
      </c>
      <c r="K86" s="170">
        <f>Tabela10[[#This Row],[M² CHAPAS]]-Tabela10[[#This Row],[ERP]]</f>
        <v/>
      </c>
      <c r="L86" s="170">
        <f>Tabela10[[#This Row],[DIFERENÇA M²]]/Tabela10[[#This Row],[M² Da chapa]]</f>
        <v/>
      </c>
    </row>
    <row r="87">
      <c r="A87" s="6" t="inlineStr">
        <is>
          <t>-</t>
        </is>
      </c>
      <c r="B87" s="8" t="inlineStr">
        <is>
          <t>N25060</t>
        </is>
      </c>
      <c r="C87" s="56">
        <f>VLOOKUP(LEFT(B87,1),Tabela5[],2,0)</f>
        <v/>
      </c>
      <c r="D87" s="57" t="inlineStr">
        <is>
          <t>EUCADUR NT - 2,5MM</t>
        </is>
      </c>
      <c r="E87" s="170">
        <f>VLOOKUP(Tabela10[[#This Row],[Tipo de Chapa]],Tabela11[],2,FALSE)</f>
        <v/>
      </c>
      <c r="F87" s="169" t="n">
        <v>361</v>
      </c>
      <c r="G87" s="152" t="n"/>
      <c r="H87" s="170">
        <f>Tabela10[[#This Row],[M² Da chapa]]*Tabela10[[#This Row],[Qtde Chapas
Liberadas]]</f>
        <v/>
      </c>
      <c r="I87" s="170" t="n">
        <v>1840.4481</v>
      </c>
      <c r="J87" s="59">
        <f>Tabela10[[#This Row],[ERP]]/Tabela10[[#This Row],[M² Da chapa]]</f>
        <v/>
      </c>
      <c r="K87" s="170">
        <f>Tabela10[[#This Row],[M² CHAPAS]]-Tabela10[[#This Row],[ERP]]</f>
        <v/>
      </c>
      <c r="L87" s="170">
        <f>Tabela10[[#This Row],[DIFERENÇA M²]]/Tabela10[[#This Row],[M² Da chapa]]</f>
        <v/>
      </c>
    </row>
    <row r="88">
      <c r="A88" s="6" t="inlineStr">
        <is>
          <t>-</t>
        </is>
      </c>
      <c r="B88" s="8" t="inlineStr">
        <is>
          <t>N25061</t>
        </is>
      </c>
      <c r="C88" s="56">
        <f>VLOOKUP(LEFT(B88,1),Tabela5[],2,0)</f>
        <v/>
      </c>
      <c r="D88" s="57" t="inlineStr">
        <is>
          <t>EUCADUR NT - 2,5MM</t>
        </is>
      </c>
      <c r="E88" s="170">
        <f>VLOOKUP(Tabela10[[#This Row],[Tipo de Chapa]],Tabela11[],2,FALSE)</f>
        <v/>
      </c>
      <c r="F88" s="169" t="n">
        <v>72</v>
      </c>
      <c r="G88" s="152" t="n"/>
      <c r="H88" s="170">
        <f>Tabela10[[#This Row],[M² Da chapa]]*Tabela10[[#This Row],[Qtde Chapas
Liberadas]]</f>
        <v/>
      </c>
      <c r="I88" s="170" t="n">
        <v>645.0429</v>
      </c>
      <c r="J88" s="59">
        <f>Tabela10[[#This Row],[ERP]]/Tabela10[[#This Row],[M² Da chapa]]</f>
        <v/>
      </c>
      <c r="K88" s="170">
        <f>Tabela10[[#This Row],[M² CHAPAS]]-Tabela10[[#This Row],[ERP]]</f>
        <v/>
      </c>
      <c r="L88" s="170">
        <f>Tabela10[[#This Row],[DIFERENÇA M²]]/Tabela10[[#This Row],[M² Da chapa]]</f>
        <v/>
      </c>
    </row>
    <row r="89">
      <c r="A89" s="6" t="inlineStr">
        <is>
          <t>-</t>
        </is>
      </c>
      <c r="B89" s="8" t="inlineStr">
        <is>
          <t>N25062</t>
        </is>
      </c>
      <c r="C89" s="56">
        <f>VLOOKUP(LEFT(B89,1),Tabela5[],2,0)</f>
        <v/>
      </c>
      <c r="D89" s="57" t="inlineStr">
        <is>
          <t>EUCADUR FRJ - 2,5MM</t>
        </is>
      </c>
      <c r="E89" s="170">
        <f>VLOOKUP(Tabela10[[#This Row],[Tipo de Chapa]],Tabela11[],2,FALSE)</f>
        <v/>
      </c>
      <c r="F89" s="169" t="n">
        <v>39</v>
      </c>
      <c r="G89" s="152" t="n"/>
      <c r="H89" s="170">
        <f>Tabela10[[#This Row],[M² Da chapa]]*Tabela10[[#This Row],[Qtde Chapas
Liberadas]]</f>
        <v/>
      </c>
      <c r="J89" s="59">
        <f>Tabela10[[#This Row],[ERP]]/Tabela10[[#This Row],[M² Da chapa]]</f>
        <v/>
      </c>
      <c r="K89" s="170">
        <f>Tabela10[[#This Row],[M² CHAPAS]]-Tabela10[[#This Row],[ERP]]</f>
        <v/>
      </c>
      <c r="L89" s="170">
        <f>Tabela10[[#This Row],[DIFERENÇA M²]]/Tabela10[[#This Row],[M² Da chapa]]</f>
        <v/>
      </c>
    </row>
    <row r="90">
      <c r="A90" s="6" t="inlineStr">
        <is>
          <t>-</t>
        </is>
      </c>
      <c r="B90" s="8" t="inlineStr">
        <is>
          <t>N25063</t>
        </is>
      </c>
      <c r="C90" s="56">
        <f>VLOOKUP(LEFT(B90,1),Tabela5[],2,0)</f>
        <v/>
      </c>
      <c r="D90" s="57" t="inlineStr">
        <is>
          <t>EUCADUR NT - 2,5MM</t>
        </is>
      </c>
      <c r="E90" s="170">
        <f>VLOOKUP(Tabela10[[#This Row],[Tipo de Chapa]],Tabela11[],2,FALSE)</f>
        <v/>
      </c>
      <c r="F90" s="169" t="n">
        <v>316</v>
      </c>
      <c r="G90" s="152" t="n"/>
      <c r="H90" s="170">
        <f>Tabela10[[#This Row],[M² Da chapa]]*Tabela10[[#This Row],[Qtde Chapas
Liberadas]]</f>
        <v/>
      </c>
      <c r="I90" s="170" t="n">
        <v>1864.7884</v>
      </c>
      <c r="J90" s="59">
        <f>Tabela10[[#This Row],[ERP]]/Tabela10[[#This Row],[M² Da chapa]]</f>
        <v/>
      </c>
      <c r="K90" s="170">
        <f>Tabela10[[#This Row],[M² CHAPAS]]-Tabela10[[#This Row],[ERP]]</f>
        <v/>
      </c>
      <c r="L90" s="170">
        <f>Tabela10[[#This Row],[DIFERENÇA M²]]/Tabela10[[#This Row],[M² Da chapa]]</f>
        <v/>
      </c>
    </row>
    <row r="91">
      <c r="A91" s="6" t="inlineStr">
        <is>
          <t>-</t>
        </is>
      </c>
      <c r="B91" s="8" t="inlineStr">
        <is>
          <t>N25063</t>
        </is>
      </c>
      <c r="C91" s="56">
        <f>VLOOKUP(LEFT(B91,1),Tabela5[],2,0)</f>
        <v/>
      </c>
      <c r="D91" s="57" t="inlineStr">
        <is>
          <t>EUCADUR NT - 2,5MM</t>
        </is>
      </c>
      <c r="E91" s="170">
        <f>VLOOKUP(Tabela10[[#This Row],[Tipo de Chapa]],Tabela11[],2,FALSE)</f>
        <v/>
      </c>
      <c r="F91" s="169" t="n">
        <v>70</v>
      </c>
      <c r="G91" s="152" t="n"/>
      <c r="H91" s="170">
        <f>Tabela10[[#This Row],[M² Da chapa]]*Tabela10[[#This Row],[Qtde Chapas
Liberadas]]</f>
        <v/>
      </c>
      <c r="I91" s="170" t="n">
        <v>326.5048</v>
      </c>
      <c r="J91" s="59">
        <f>Tabela10[[#This Row],[ERP]]/Tabela10[[#This Row],[M² Da chapa]]</f>
        <v/>
      </c>
      <c r="K91" s="170">
        <f>Tabela10[[#This Row],[M² CHAPAS]]-Tabela10[[#This Row],[ERP]]</f>
        <v/>
      </c>
      <c r="L91" s="170">
        <f>Tabela10[[#This Row],[DIFERENÇA M²]]/Tabela10[[#This Row],[M² Da chapa]]</f>
        <v/>
      </c>
    </row>
    <row r="92" hidden="1">
      <c r="A92" s="6" t="inlineStr">
        <is>
          <t>-</t>
        </is>
      </c>
      <c r="B92" s="8" t="inlineStr">
        <is>
          <t>M25034</t>
        </is>
      </c>
      <c r="C92" s="56">
        <f>VLOOKUP(LEFT(B92,1),Tabela5[],2,0)</f>
        <v/>
      </c>
      <c r="D92" s="57" t="inlineStr">
        <is>
          <t>EUCADUR NT - 2,5MM</t>
        </is>
      </c>
      <c r="E92" s="170">
        <f>VLOOKUP(Tabela10[[#This Row],[Tipo de Chapa]],Tabela11[],2,FALSE)</f>
        <v/>
      </c>
      <c r="F92" s="170" t="n">
        <v>263</v>
      </c>
      <c r="G92" s="63" t="n"/>
      <c r="H92" s="170">
        <f>Tabela10[[#This Row],[M² Da chapa]]*Tabela10[[#This Row],[Qtde Chapas
Liberadas]]</f>
        <v/>
      </c>
      <c r="I92" s="59" t="n">
        <v>1134.1903</v>
      </c>
      <c r="J92" s="59">
        <f>Tabela10[[#This Row],[ERP]]/Tabela10[[#This Row],[M² Da chapa]]</f>
        <v/>
      </c>
      <c r="K92" s="170">
        <f>Tabela10[[#This Row],[M² CHAPAS]]-Tabela10[[#This Row],[ERP]]</f>
        <v/>
      </c>
      <c r="L92" s="170">
        <f>Tabela10[[#This Row],[DIFERENÇA M²]]/Tabela10[[#This Row],[M² Da chapa]]</f>
        <v/>
      </c>
    </row>
    <row r="93" hidden="1">
      <c r="A93" s="6" t="inlineStr">
        <is>
          <t>-</t>
        </is>
      </c>
      <c r="B93" s="8" t="inlineStr">
        <is>
          <t>M25035</t>
        </is>
      </c>
      <c r="C93" s="56">
        <f>VLOOKUP(LEFT(B93,1),Tabela5[],2,0)</f>
        <v/>
      </c>
      <c r="D93" s="57" t="inlineStr">
        <is>
          <t>EUCADUR NT - 2,5MM</t>
        </is>
      </c>
      <c r="E93" s="170">
        <f>VLOOKUP(Tabela10[[#This Row],[Tipo de Chapa]],Tabela11[],2,FALSE)</f>
        <v/>
      </c>
      <c r="F93" s="170" t="n">
        <v>388</v>
      </c>
      <c r="G93" s="63" t="n"/>
      <c r="H93" s="170">
        <f>Tabela10[[#This Row],[M² Da chapa]]*Tabela10[[#This Row],[Qtde Chapas
Liberadas]]</f>
        <v/>
      </c>
      <c r="I93" s="59" t="n">
        <v>2114.7855</v>
      </c>
      <c r="J93" s="59">
        <f>Tabela10[[#This Row],[ERP]]/Tabela10[[#This Row],[M² Da chapa]]</f>
        <v/>
      </c>
      <c r="K93" s="170">
        <f>Tabela10[[#This Row],[M² CHAPAS]]-Tabela10[[#This Row],[ERP]]</f>
        <v/>
      </c>
      <c r="L93" s="170">
        <f>Tabela10[[#This Row],[DIFERENÇA M²]]/Tabela10[[#This Row],[M² Da chapa]]</f>
        <v/>
      </c>
    </row>
    <row r="94" hidden="1">
      <c r="A94" s="6" t="inlineStr">
        <is>
          <t>-</t>
        </is>
      </c>
      <c r="B94" s="8" t="inlineStr">
        <is>
          <t>I25033</t>
        </is>
      </c>
      <c r="C94" s="56">
        <f>VLOOKUP(LEFT(B94,1),Tabela5[],2,0)</f>
        <v/>
      </c>
      <c r="D94" s="57" t="inlineStr">
        <is>
          <t>EUCADUR NT - 2,5MM</t>
        </is>
      </c>
      <c r="E94" s="170">
        <f>VLOOKUP(Tabela10[[#This Row],[Tipo de Chapa]],Tabela11[],2,FALSE)</f>
        <v/>
      </c>
      <c r="F94" s="170" t="n">
        <v>280</v>
      </c>
      <c r="G94" s="63" t="n"/>
      <c r="H94" s="170">
        <f>Tabela10[[#This Row],[M² Da chapa]]*Tabela10[[#This Row],[Qtde Chapas
Liberadas]]</f>
        <v/>
      </c>
      <c r="I94" s="59" t="n">
        <v>2125.7826</v>
      </c>
      <c r="J94" s="59">
        <f>Tabela10[[#This Row],[ERP]]/Tabela10[[#This Row],[M² Da chapa]]</f>
        <v/>
      </c>
      <c r="K94" s="170">
        <f>Tabela10[[#This Row],[M² CHAPAS]]-Tabela10[[#This Row],[ERP]]</f>
        <v/>
      </c>
      <c r="L94" s="170">
        <f>Tabela10[[#This Row],[DIFERENÇA M²]]/Tabela10[[#This Row],[M² Da chapa]]</f>
        <v/>
      </c>
    </row>
    <row r="95">
      <c r="A95" s="6" t="inlineStr">
        <is>
          <t>-</t>
        </is>
      </c>
      <c r="B95" s="8" t="inlineStr">
        <is>
          <t>N25064</t>
        </is>
      </c>
      <c r="C95" s="56">
        <f>VLOOKUP(LEFT(B95,1),Tabela5[],2,0)</f>
        <v/>
      </c>
      <c r="D95" s="57" t="inlineStr">
        <is>
          <t>EUCADUR NT - 2,5MM</t>
        </is>
      </c>
      <c r="E95" s="170">
        <f>VLOOKUP(Tabela10[[#This Row],[Tipo de Chapa]],Tabela11[],2,FALSE)</f>
        <v/>
      </c>
      <c r="F95" s="169" t="n">
        <v>485</v>
      </c>
      <c r="G95" s="152" t="n"/>
      <c r="H95" s="170">
        <f>Tabela10[[#This Row],[M² Da chapa]]*Tabela10[[#This Row],[Qtde Chapas
Liberadas]]</f>
        <v/>
      </c>
      <c r="I95" s="170" t="n">
        <v>2687.0064</v>
      </c>
      <c r="J95" s="59">
        <f>Tabela10[[#This Row],[ERP]]/Tabela10[[#This Row],[M² Da chapa]]</f>
        <v/>
      </c>
      <c r="K95" s="170">
        <f>Tabela10[[#This Row],[M² CHAPAS]]-Tabela10[[#This Row],[ERP]]</f>
        <v/>
      </c>
      <c r="L95" s="170">
        <f>Tabela10[[#This Row],[DIFERENÇA M²]]/Tabela10[[#This Row],[M² Da chapa]]</f>
        <v/>
      </c>
    </row>
    <row r="96">
      <c r="A96" s="6" t="inlineStr">
        <is>
          <t>-</t>
        </is>
      </c>
      <c r="B96" s="8" t="inlineStr">
        <is>
          <t>N25065</t>
        </is>
      </c>
      <c r="C96" s="56">
        <f>VLOOKUP(LEFT(B96,1),Tabela5[],2,0)</f>
        <v/>
      </c>
      <c r="D96" s="57" t="inlineStr">
        <is>
          <t>EUCADUR NT - 2,5MM</t>
        </is>
      </c>
      <c r="E96" s="170">
        <f>VLOOKUP(Tabela10[[#This Row],[Tipo de Chapa]],Tabela11[],2,FALSE)</f>
        <v/>
      </c>
      <c r="F96" s="169" t="n">
        <v>208</v>
      </c>
      <c r="G96" s="152" t="n"/>
      <c r="H96" s="170">
        <f>Tabela10[[#This Row],[M² Da chapa]]*Tabela10[[#This Row],[Qtde Chapas
Liberadas]]</f>
        <v/>
      </c>
      <c r="I96" s="170" t="n">
        <v>1136.2111</v>
      </c>
      <c r="J96" s="59">
        <f>Tabela10[[#This Row],[ERP]]/Tabela10[[#This Row],[M² Da chapa]]</f>
        <v/>
      </c>
      <c r="K96" s="170">
        <f>Tabela10[[#This Row],[M² CHAPAS]]-Tabela10[[#This Row],[ERP]]</f>
        <v/>
      </c>
      <c r="L96" s="170">
        <f>Tabela10[[#This Row],[DIFERENÇA M²]]/Tabela10[[#This Row],[M² Da chapa]]</f>
        <v/>
      </c>
    </row>
    <row r="97" hidden="1">
      <c r="A97" s="6" t="inlineStr">
        <is>
          <t>-</t>
        </is>
      </c>
      <c r="B97" s="8" t="inlineStr">
        <is>
          <t>M25036</t>
        </is>
      </c>
      <c r="C97" s="56">
        <f>VLOOKUP(LEFT(B97,1),Tabela5[],2,0)</f>
        <v/>
      </c>
      <c r="D97" s="57" t="inlineStr">
        <is>
          <t>EUCADUR NT - 2,5MM</t>
        </is>
      </c>
      <c r="E97" s="170">
        <f>VLOOKUP(Tabela10[[#This Row],[Tipo de Chapa]],Tabela11[],2,FALSE)</f>
        <v/>
      </c>
      <c r="F97" s="170">
        <f>313+7</f>
        <v/>
      </c>
      <c r="G97" s="63" t="n"/>
      <c r="H97" s="170">
        <f>Tabela10[[#This Row],[M² Da chapa]]*Tabela10[[#This Row],[Qtde Chapas
Liberadas]]</f>
        <v/>
      </c>
      <c r="J97" s="59">
        <f>Tabela10[[#This Row],[ERP]]/Tabela10[[#This Row],[M² Da chapa]]</f>
        <v/>
      </c>
      <c r="K97" s="170">
        <f>Tabela10[[#This Row],[M² CHAPAS]]-Tabela10[[#This Row],[ERP]]</f>
        <v/>
      </c>
      <c r="L97" s="170">
        <f>Tabela10[[#This Row],[DIFERENÇA M²]]/Tabela10[[#This Row],[M² Da chapa]]</f>
        <v/>
      </c>
    </row>
    <row r="98" hidden="1">
      <c r="A98" s="6" t="inlineStr">
        <is>
          <t>-</t>
        </is>
      </c>
      <c r="B98" s="8" t="inlineStr">
        <is>
          <t>M25037</t>
        </is>
      </c>
      <c r="C98" s="56">
        <f>VLOOKUP(LEFT(B98,1),Tabela5[],2,0)</f>
        <v/>
      </c>
      <c r="D98" s="57" t="inlineStr">
        <is>
          <t>EUCADUR FRJ - 2,5MM</t>
        </is>
      </c>
      <c r="E98" s="170">
        <f>VLOOKUP(Tabela10[[#This Row],[Tipo de Chapa]],Tabela11[],2,FALSE)</f>
        <v/>
      </c>
      <c r="F98" s="170" t="n">
        <v>70</v>
      </c>
      <c r="G98" s="63" t="n"/>
      <c r="H98" s="170">
        <f>Tabela10[[#This Row],[M² Da chapa]]*Tabela10[[#This Row],[Qtde Chapas
Liberadas]]</f>
        <v/>
      </c>
      <c r="J98" s="59">
        <f>Tabela10[[#This Row],[ERP]]/Tabela10[[#This Row],[M² Da chapa]]</f>
        <v/>
      </c>
      <c r="K98" s="170">
        <f>Tabela10[[#This Row],[M² CHAPAS]]-Tabela10[[#This Row],[ERP]]</f>
        <v/>
      </c>
      <c r="L98" s="170">
        <f>Tabela10[[#This Row],[DIFERENÇA M²]]/Tabela10[[#This Row],[M² Da chapa]]</f>
        <v/>
      </c>
    </row>
    <row r="99" hidden="1">
      <c r="A99" s="6" t="inlineStr">
        <is>
          <t>-</t>
        </is>
      </c>
      <c r="B99" s="8" t="inlineStr">
        <is>
          <t>M25037</t>
        </is>
      </c>
      <c r="C99" s="56">
        <f>VLOOKUP(LEFT(B99,1),Tabela5[],2,0)</f>
        <v/>
      </c>
      <c r="D99" s="57" t="inlineStr">
        <is>
          <t>EUCADUR BR - 2,5MM</t>
        </is>
      </c>
      <c r="E99" s="170">
        <f>VLOOKUP(Tabela10[[#This Row],[Tipo de Chapa]],Tabela11[],2,FALSE)</f>
        <v/>
      </c>
      <c r="F99" s="170" t="n">
        <v>6</v>
      </c>
      <c r="G99" s="63" t="n"/>
      <c r="H99" s="170">
        <f>Tabela10[[#This Row],[M² Da chapa]]*Tabela10[[#This Row],[Qtde Chapas
Liberadas]]</f>
        <v/>
      </c>
      <c r="J99" s="59">
        <f>Tabela10[[#This Row],[ERP]]/Tabela10[[#This Row],[M² Da chapa]]</f>
        <v/>
      </c>
      <c r="K99" s="170">
        <f>Tabela10[[#This Row],[M² CHAPAS]]-Tabela10[[#This Row],[ERP]]</f>
        <v/>
      </c>
      <c r="L99" s="170">
        <f>Tabela10[[#This Row],[DIFERENÇA M²]]/Tabela10[[#This Row],[M² Da chapa]]</f>
        <v/>
      </c>
    </row>
    <row r="100" hidden="1">
      <c r="A100" s="6" t="inlineStr">
        <is>
          <t>-</t>
        </is>
      </c>
      <c r="B100" s="8" t="inlineStr">
        <is>
          <t>M25037</t>
        </is>
      </c>
      <c r="C100" s="56">
        <f>VLOOKUP(LEFT(B100,1),Tabela5[],2,0)</f>
        <v/>
      </c>
      <c r="D100" s="57" t="inlineStr">
        <is>
          <t>EUCADUR NT - 2,5MM</t>
        </is>
      </c>
      <c r="E100" s="170">
        <f>VLOOKUP(Tabela10[[#This Row],[Tipo de Chapa]],Tabela11[],2,FALSE)</f>
        <v/>
      </c>
      <c r="F100" s="170" t="n">
        <v>50</v>
      </c>
      <c r="G100" s="63" t="n"/>
      <c r="H100" s="170">
        <f>Tabela10[[#This Row],[M² Da chapa]]*Tabela10[[#This Row],[Qtde Chapas
Liberadas]]</f>
        <v/>
      </c>
      <c r="J100" s="59">
        <f>Tabela10[[#This Row],[ERP]]/Tabela10[[#This Row],[M² Da chapa]]</f>
        <v/>
      </c>
      <c r="K100" s="170">
        <f>Tabela10[[#This Row],[M² CHAPAS]]-Tabela10[[#This Row],[ERP]]</f>
        <v/>
      </c>
      <c r="L100" s="170">
        <f>Tabela10[[#This Row],[DIFERENÇA M²]]/Tabela10[[#This Row],[M² Da chapa]]</f>
        <v/>
      </c>
    </row>
    <row r="101" hidden="1">
      <c r="A101" s="6" t="inlineStr">
        <is>
          <t>-</t>
        </is>
      </c>
      <c r="B101" s="8" t="inlineStr">
        <is>
          <t>I25034</t>
        </is>
      </c>
      <c r="C101" s="56">
        <f>VLOOKUP(LEFT(B101,1),Tabela5[],2,0)</f>
        <v/>
      </c>
      <c r="D101" s="57" t="inlineStr">
        <is>
          <t>EUCADUR NT - 2,5MM</t>
        </is>
      </c>
      <c r="E101" s="170">
        <f>VLOOKUP(Tabela10[[#This Row],[Tipo de Chapa]],Tabela11[],2,FALSE)</f>
        <v/>
      </c>
      <c r="F101" s="170" t="n">
        <v>277</v>
      </c>
      <c r="G101" s="63" t="n"/>
      <c r="H101" s="170">
        <f>Tabela10[[#This Row],[M² Da chapa]]*Tabela10[[#This Row],[Qtde Chapas
Liberadas]]</f>
        <v/>
      </c>
      <c r="J101" s="59">
        <f>Tabela10[[#This Row],[ERP]]/Tabela10[[#This Row],[M² Da chapa]]</f>
        <v/>
      </c>
      <c r="K101" s="170">
        <f>Tabela10[[#This Row],[M² CHAPAS]]-Tabela10[[#This Row],[ERP]]</f>
        <v/>
      </c>
      <c r="L101" s="170">
        <f>Tabela10[[#This Row],[DIFERENÇA M²]]/Tabela10[[#This Row],[M² Da chapa]]</f>
        <v/>
      </c>
    </row>
    <row r="102" hidden="1">
      <c r="A102" s="6" t="inlineStr">
        <is>
          <t>-</t>
        </is>
      </c>
      <c r="B102" s="8" t="inlineStr">
        <is>
          <t>I25035</t>
        </is>
      </c>
      <c r="C102" s="56">
        <f>VLOOKUP(LEFT(B102,1),Tabela5[],2,0)</f>
        <v/>
      </c>
      <c r="D102" s="57" t="inlineStr">
        <is>
          <t>EUCADUR NT - 2,5MM</t>
        </is>
      </c>
      <c r="E102" s="170">
        <f>VLOOKUP(Tabela10[[#This Row],[Tipo de Chapa]],Tabela11[],2,FALSE)</f>
        <v/>
      </c>
      <c r="F102" s="170" t="n">
        <v>299</v>
      </c>
      <c r="G102" s="63" t="n"/>
      <c r="H102" s="170">
        <f>Tabela10[[#This Row],[M² Da chapa]]*Tabela10[[#This Row],[Qtde Chapas
Liberadas]]</f>
        <v/>
      </c>
      <c r="J102" s="59">
        <f>Tabela10[[#This Row],[ERP]]/Tabela10[[#This Row],[M² Da chapa]]</f>
        <v/>
      </c>
      <c r="K102" s="170">
        <f>Tabela10[[#This Row],[M² CHAPAS]]-Tabela10[[#This Row],[ERP]]</f>
        <v/>
      </c>
      <c r="L102" s="170">
        <f>Tabela10[[#This Row],[DIFERENÇA M²]]/Tabela10[[#This Row],[M² Da chapa]]</f>
        <v/>
      </c>
    </row>
    <row r="103">
      <c r="A103" s="6" t="inlineStr">
        <is>
          <t>-</t>
        </is>
      </c>
      <c r="B103" s="8" t="inlineStr">
        <is>
          <t>N25066 | N25067</t>
        </is>
      </c>
      <c r="C103" s="56">
        <f>VLOOKUP(LEFT(B103,1),Tabela5[],2,0)</f>
        <v/>
      </c>
      <c r="D103" s="57" t="inlineStr">
        <is>
          <t>EUCADUR NT - 2,5MM</t>
        </is>
      </c>
      <c r="E103" s="170">
        <f>VLOOKUP(Tabela10[[#This Row],[Tipo de Chapa]],Tabela11[],2,FALSE)</f>
        <v/>
      </c>
      <c r="F103" s="169" t="n">
        <v>383</v>
      </c>
      <c r="G103" s="152" t="n"/>
      <c r="H103" s="170">
        <f>Tabela10[[#This Row],[M² Da chapa]]*Tabela10[[#This Row],[Qtde Chapas
Liberadas]]</f>
        <v/>
      </c>
      <c r="J103" s="59">
        <f>Tabela10[[#This Row],[ERP]]/Tabela10[[#This Row],[M² Da chapa]]</f>
        <v/>
      </c>
      <c r="K103" s="170">
        <f>Tabela10[[#This Row],[M² CHAPAS]]-Tabela10[[#This Row],[ERP]]</f>
        <v/>
      </c>
      <c r="L103" s="170">
        <f>Tabela10[[#This Row],[DIFERENÇA M²]]/Tabela10[[#This Row],[M² Da chapa]]</f>
        <v/>
      </c>
    </row>
    <row r="104">
      <c r="A104" s="6" t="inlineStr">
        <is>
          <t>-</t>
        </is>
      </c>
      <c r="B104" s="8" t="inlineStr">
        <is>
          <t xml:space="preserve">N25066 </t>
        </is>
      </c>
      <c r="C104" s="56">
        <f>VLOOKUP(LEFT(B104,1),Tabela5[],2,0)</f>
        <v/>
      </c>
      <c r="D104" s="57" t="inlineStr">
        <is>
          <t>EUCADUR FRJ - 2,5MM</t>
        </is>
      </c>
      <c r="E104" s="170">
        <f>VLOOKUP(Tabela10[[#This Row],[Tipo de Chapa]],Tabela11[],2,FALSE)</f>
        <v/>
      </c>
      <c r="F104" s="169" t="n">
        <v>82</v>
      </c>
      <c r="G104" s="152" t="n"/>
      <c r="H104" s="170">
        <f>Tabela10[[#This Row],[M² Da chapa]]*Tabela10[[#This Row],[Qtde Chapas
Liberadas]]</f>
        <v/>
      </c>
      <c r="I104" s="170" t="n">
        <v>629.103</v>
      </c>
      <c r="J104" s="59">
        <f>Tabela10[[#This Row],[ERP]]/Tabela10[[#This Row],[M² Da chapa]]</f>
        <v/>
      </c>
      <c r="K104" s="170">
        <f>Tabela10[[#This Row],[M² CHAPAS]]-Tabela10[[#This Row],[ERP]]</f>
        <v/>
      </c>
      <c r="L104" s="170">
        <f>Tabela10[[#This Row],[DIFERENÇA M²]]/Tabela10[[#This Row],[M² Da chapa]]</f>
        <v/>
      </c>
    </row>
    <row r="105">
      <c r="A105" s="6" t="inlineStr">
        <is>
          <t>-</t>
        </is>
      </c>
      <c r="B105" s="8" t="inlineStr">
        <is>
          <t>N25068</t>
        </is>
      </c>
      <c r="C105" s="56">
        <f>VLOOKUP(LEFT(B105,1),Tabela5[],2,0)</f>
        <v/>
      </c>
      <c r="D105" s="57" t="inlineStr">
        <is>
          <t>EUCADUR FRJ - 2,5MM</t>
        </is>
      </c>
      <c r="E105" s="170">
        <f>VLOOKUP(Tabela10[[#This Row],[Tipo de Chapa]],Tabela11[],2,FALSE)</f>
        <v/>
      </c>
      <c r="F105" s="169" t="n">
        <v>221</v>
      </c>
      <c r="G105" s="152" t="n"/>
      <c r="H105" s="170">
        <f>Tabela10[[#This Row],[M² Da chapa]]*Tabela10[[#This Row],[Qtde Chapas
Liberadas]]</f>
        <v/>
      </c>
      <c r="I105" s="59" t="n">
        <v>1180.7378</v>
      </c>
      <c r="J105" s="59">
        <f>Tabela10[[#This Row],[ERP]]/Tabela10[[#This Row],[M² Da chapa]]</f>
        <v/>
      </c>
      <c r="K105" s="170">
        <f>Tabela10[[#This Row],[M² CHAPAS]]-Tabela10[[#This Row],[ERP]]</f>
        <v/>
      </c>
      <c r="L105" s="170">
        <f>Tabela10[[#This Row],[DIFERENÇA M²]]/Tabela10[[#This Row],[M² Da chapa]]</f>
        <v/>
      </c>
    </row>
    <row r="106">
      <c r="A106" s="6" t="inlineStr">
        <is>
          <t>-</t>
        </is>
      </c>
      <c r="B106" s="8" t="inlineStr">
        <is>
          <t>N25068</t>
        </is>
      </c>
      <c r="C106" s="56">
        <f>VLOOKUP(LEFT(B106,1),Tabela5[],2,0)</f>
        <v/>
      </c>
      <c r="D106" s="57" t="inlineStr">
        <is>
          <t>EUCADUR NT - 2,5MM</t>
        </is>
      </c>
      <c r="E106" s="170">
        <f>VLOOKUP(Tabela10[[#This Row],[Tipo de Chapa]],Tabela11[],2,FALSE)</f>
        <v/>
      </c>
      <c r="F106" s="169" t="n">
        <v>124</v>
      </c>
      <c r="G106" s="152" t="n"/>
      <c r="H106" s="170">
        <f>Tabela10[[#This Row],[M² Da chapa]]*Tabela10[[#This Row],[Qtde Chapas
Liberadas]]</f>
        <v/>
      </c>
      <c r="I106" s="59" t="n"/>
      <c r="J106" s="59">
        <f>Tabela10[[#This Row],[ERP]]/Tabela10[[#This Row],[M² Da chapa]]</f>
        <v/>
      </c>
      <c r="K106" s="170">
        <f>Tabela10[[#This Row],[M² CHAPAS]]-Tabela10[[#This Row],[ERP]]</f>
        <v/>
      </c>
      <c r="L106" s="170">
        <f>Tabela10[[#This Row],[DIFERENÇA M²]]/Tabela10[[#This Row],[M² Da chapa]]</f>
        <v/>
      </c>
    </row>
    <row r="107">
      <c r="A107" s="6" t="inlineStr">
        <is>
          <t>-</t>
        </is>
      </c>
      <c r="B107" s="8" t="inlineStr">
        <is>
          <t>N25069</t>
        </is>
      </c>
      <c r="C107" s="56">
        <f>VLOOKUP(LEFT(B107,1),Tabela5[],2,0)</f>
        <v/>
      </c>
      <c r="D107" s="57" t="inlineStr">
        <is>
          <t>EUCADUR NT - 2,5MM</t>
        </is>
      </c>
      <c r="E107" s="170">
        <f>VLOOKUP(Tabela10[[#This Row],[Tipo de Chapa]],Tabela11[],2,FALSE)</f>
        <v/>
      </c>
      <c r="F107" s="169" t="n">
        <v>140</v>
      </c>
      <c r="G107" s="152" t="n"/>
      <c r="H107" s="170">
        <f>Tabela10[[#This Row],[M² Da chapa]]*Tabela10[[#This Row],[Qtde Chapas
Liberadas]]</f>
        <v/>
      </c>
      <c r="I107" s="59" t="n"/>
      <c r="J107" s="59">
        <f>Tabela10[[#This Row],[ERP]]/Tabela10[[#This Row],[M² Da chapa]]</f>
        <v/>
      </c>
      <c r="K107" s="170">
        <f>Tabela10[[#This Row],[M² CHAPAS]]-Tabela10[[#This Row],[ERP]]</f>
        <v/>
      </c>
      <c r="L107" s="170">
        <f>Tabela10[[#This Row],[DIFERENÇA M²]]/Tabela10[[#This Row],[M² Da chapa]]</f>
        <v/>
      </c>
    </row>
    <row r="108">
      <c r="A108" s="6" t="inlineStr">
        <is>
          <t>-</t>
        </is>
      </c>
      <c r="B108" s="8" t="inlineStr">
        <is>
          <t>N25070</t>
        </is>
      </c>
      <c r="C108" s="56">
        <f>VLOOKUP(LEFT(B108,1),Tabela5[],2,0)</f>
        <v/>
      </c>
      <c r="D108" s="57" t="inlineStr">
        <is>
          <t>EUCADUR NT - 2,5MM</t>
        </is>
      </c>
      <c r="E108" s="170">
        <f>VLOOKUP(Tabela10[[#This Row],[Tipo de Chapa]],Tabela11[],2,FALSE)</f>
        <v/>
      </c>
      <c r="F108" s="169">
        <f>126+30</f>
        <v/>
      </c>
      <c r="G108" s="152" t="n"/>
      <c r="H108" s="170">
        <f>Tabela10[[#This Row],[M² Da chapa]]*Tabela10[[#This Row],[Qtde Chapas
Liberadas]]</f>
        <v/>
      </c>
      <c r="J108" s="59">
        <f>Tabela10[[#This Row],[ERP]]/Tabela10[[#This Row],[M² Da chapa]]</f>
        <v/>
      </c>
      <c r="K108" s="170">
        <f>Tabela10[[#This Row],[M² CHAPAS]]-Tabela10[[#This Row],[ERP]]</f>
        <v/>
      </c>
      <c r="L108" s="170">
        <f>Tabela10[[#This Row],[DIFERENÇA M²]]/Tabela10[[#This Row],[M² Da chapa]]</f>
        <v/>
      </c>
    </row>
    <row r="109">
      <c r="A109" s="6" t="inlineStr">
        <is>
          <t>-</t>
        </is>
      </c>
      <c r="B109" s="8" t="inlineStr">
        <is>
          <t>N25072</t>
        </is>
      </c>
      <c r="C109" s="56">
        <f>VLOOKUP(LEFT(B109,1),Tabela5[],2,0)</f>
        <v/>
      </c>
      <c r="D109" s="57" t="inlineStr">
        <is>
          <t>EUCADUR FRJ - 2,5MM</t>
        </is>
      </c>
      <c r="E109" s="170">
        <f>VLOOKUP(Tabela10[[#This Row],[Tipo de Chapa]],Tabela11[],2,FALSE)</f>
        <v/>
      </c>
      <c r="F109" s="169">
        <f>581+28</f>
        <v/>
      </c>
      <c r="G109" s="152" t="n"/>
      <c r="H109" s="170">
        <f>Tabela10[[#This Row],[M² Da chapa]]*Tabela10[[#This Row],[Qtde Chapas
Liberadas]]</f>
        <v/>
      </c>
      <c r="I109" s="170" t="n">
        <v>3568.6986</v>
      </c>
      <c r="J109" s="59">
        <f>Tabela10[[#This Row],[ERP]]/Tabela10[[#This Row],[M² Da chapa]]</f>
        <v/>
      </c>
      <c r="K109" s="170">
        <f>Tabela10[[#This Row],[M² CHAPAS]]-Tabela10[[#This Row],[ERP]]</f>
        <v/>
      </c>
      <c r="L109" s="170">
        <f>Tabela10[[#This Row],[DIFERENÇA M²]]/Tabela10[[#This Row],[M² Da chapa]]</f>
        <v/>
      </c>
    </row>
    <row r="110">
      <c r="A110" s="6" t="inlineStr">
        <is>
          <t>-</t>
        </is>
      </c>
      <c r="B110" s="8" t="inlineStr">
        <is>
          <t>N25073</t>
        </is>
      </c>
      <c r="C110" s="56">
        <f>VLOOKUP(LEFT(B110,1),Tabela5[],2,0)</f>
        <v/>
      </c>
      <c r="D110" s="170" t="inlineStr">
        <is>
          <t>EUCADUR FRJ - 2,5MM</t>
        </is>
      </c>
      <c r="E110" s="170">
        <f>VLOOKUP(Tabela10[[#This Row],[Tipo de Chapa]],Tabela11[],2,FALSE)</f>
        <v/>
      </c>
      <c r="F110" s="169" t="n">
        <v>639</v>
      </c>
      <c r="G110" s="152" t="n"/>
      <c r="H110" s="170">
        <f>Tabela10[[#This Row],[M² Da chapa]]*Tabela10[[#This Row],[Qtde Chapas
Liberadas]]</f>
        <v/>
      </c>
      <c r="J110" s="59">
        <f>Tabela10[[#This Row],[ERP]]/Tabela10[[#This Row],[M² Da chapa]]</f>
        <v/>
      </c>
      <c r="K110" s="170">
        <f>Tabela10[[#This Row],[M² CHAPAS]]-Tabela10[[#This Row],[ERP]]</f>
        <v/>
      </c>
      <c r="L110" s="170">
        <f>Tabela10[[#This Row],[DIFERENÇA M²]]/Tabela10[[#This Row],[M² Da chapa]]</f>
        <v/>
      </c>
    </row>
    <row r="111" hidden="1">
      <c r="A111" s="6" t="inlineStr">
        <is>
          <t>-</t>
        </is>
      </c>
      <c r="B111" s="8" t="inlineStr">
        <is>
          <t>M25038</t>
        </is>
      </c>
      <c r="C111" s="56">
        <f>VLOOKUP(LEFT(B111,1),Tabela5[],2,0)</f>
        <v/>
      </c>
      <c r="D111" s="57" t="inlineStr">
        <is>
          <t>EUCADUR NT - 2,5MM</t>
        </is>
      </c>
      <c r="E111" s="170">
        <f>VLOOKUP(Tabela10[[#This Row],[Tipo de Chapa]],Tabela11[],2,FALSE)</f>
        <v/>
      </c>
      <c r="F111" s="169" t="n">
        <v>466</v>
      </c>
      <c r="G111" s="152" t="n"/>
      <c r="H111" s="170">
        <f>Tabela10[[#This Row],[M² Da chapa]]*Tabela10[[#This Row],[Qtde Chapas
Liberadas]]</f>
        <v/>
      </c>
      <c r="J111" s="59">
        <f>Tabela10[[#This Row],[ERP]]/Tabela10[[#This Row],[M² Da chapa]]</f>
        <v/>
      </c>
      <c r="K111" s="170">
        <f>Tabela10[[#This Row],[M² CHAPAS]]-Tabela10[[#This Row],[ERP]]</f>
        <v/>
      </c>
      <c r="L111" s="170">
        <f>Tabela10[[#This Row],[DIFERENÇA M²]]/Tabela10[[#This Row],[M² Da chapa]]</f>
        <v/>
      </c>
    </row>
    <row r="112" hidden="1">
      <c r="A112" s="6" t="inlineStr">
        <is>
          <t>-</t>
        </is>
      </c>
      <c r="B112" s="8" t="inlineStr">
        <is>
          <t>M25039</t>
        </is>
      </c>
      <c r="C112" s="56">
        <f>VLOOKUP(LEFT(B112,1),Tabela5[],2,0)</f>
        <v/>
      </c>
      <c r="D112" s="57" t="inlineStr">
        <is>
          <t>EUCADUR NT - 2,5MM</t>
        </is>
      </c>
      <c r="E112" s="170">
        <f>VLOOKUP(Tabela10[[#This Row],[Tipo de Chapa]],Tabela11[],2,FALSE)</f>
        <v/>
      </c>
      <c r="F112" s="169" t="n">
        <v>315</v>
      </c>
      <c r="G112" s="152" t="n"/>
      <c r="H112" s="170">
        <f>Tabela10[[#This Row],[M² Da chapa]]*Tabela10[[#This Row],[Qtde Chapas
Liberadas]]</f>
        <v/>
      </c>
      <c r="J112" s="59">
        <f>Tabela10[[#This Row],[ERP]]/Tabela10[[#This Row],[M² Da chapa]]</f>
        <v/>
      </c>
      <c r="K112" s="170">
        <f>Tabela10[[#This Row],[M² CHAPAS]]-Tabela10[[#This Row],[ERP]]</f>
        <v/>
      </c>
      <c r="L112" s="170">
        <f>Tabela10[[#This Row],[DIFERENÇA M²]]/Tabela10[[#This Row],[M² Da chapa]]</f>
        <v/>
      </c>
    </row>
    <row r="113">
      <c r="A113" s="6" t="inlineStr">
        <is>
          <t>-</t>
        </is>
      </c>
      <c r="B113" s="8" t="inlineStr">
        <is>
          <t>N25074</t>
        </is>
      </c>
      <c r="C113" s="56">
        <f>VLOOKUP(LEFT(B113,1),Tabela5[],2,0)</f>
        <v/>
      </c>
      <c r="D113" s="57" t="inlineStr">
        <is>
          <t>EUCADUR NT - 2,5MM</t>
        </is>
      </c>
      <c r="E113" s="170">
        <f>VLOOKUP(Tabela10[[#This Row],[Tipo de Chapa]],Tabela11[],2,FALSE)</f>
        <v/>
      </c>
      <c r="F113" s="169" t="n">
        <v>368</v>
      </c>
      <c r="G113" s="152" t="n"/>
      <c r="H113" s="170">
        <f>Tabela10[[#This Row],[M² Da chapa]]*Tabela10[[#This Row],[Qtde Chapas
Liberadas]]</f>
        <v/>
      </c>
      <c r="I113" s="170" t="n">
        <v>2180.3646</v>
      </c>
      <c r="J113" s="59">
        <f>Tabela10[[#This Row],[ERP]]/Tabela10[[#This Row],[M² Da chapa]]</f>
        <v/>
      </c>
      <c r="K113" s="170">
        <f>Tabela10[[#This Row],[M² CHAPAS]]-Tabela10[[#This Row],[ERP]]</f>
        <v/>
      </c>
      <c r="L113" s="170">
        <f>Tabela10[[#This Row],[DIFERENÇA M²]]/Tabela10[[#This Row],[M² Da chapa]]</f>
        <v/>
      </c>
    </row>
    <row r="114">
      <c r="A114" s="6" t="inlineStr">
        <is>
          <t>-</t>
        </is>
      </c>
      <c r="B114" s="8" t="inlineStr">
        <is>
          <t>N25074</t>
        </is>
      </c>
      <c r="C114" s="56">
        <f>VLOOKUP(LEFT(B114,1),Tabela5[],2,0)</f>
        <v/>
      </c>
      <c r="D114" s="57" t="inlineStr">
        <is>
          <t>EUCADUR FRJ - 2,5MM</t>
        </is>
      </c>
      <c r="E114" s="170">
        <f>VLOOKUP(Tabela10[[#This Row],[Tipo de Chapa]],Tabela11[],2,FALSE)</f>
        <v/>
      </c>
      <c r="F114" s="169" t="n">
        <v>27</v>
      </c>
      <c r="G114" s="152" t="n"/>
      <c r="H114" s="170">
        <f>Tabela10[[#This Row],[M² Da chapa]]*Tabela10[[#This Row],[Qtde Chapas
Liberadas]]</f>
        <v/>
      </c>
      <c r="J114" s="59">
        <f>Tabela10[[#This Row],[ERP]]/Tabela10[[#This Row],[M² Da chapa]]</f>
        <v/>
      </c>
      <c r="K114" s="170">
        <f>Tabela10[[#This Row],[M² CHAPAS]]-Tabela10[[#This Row],[ERP]]</f>
        <v/>
      </c>
      <c r="L114" s="170">
        <f>Tabela10[[#This Row],[DIFERENÇA M²]]/Tabela10[[#This Row],[M² Da chapa]]</f>
        <v/>
      </c>
    </row>
    <row r="115">
      <c r="A115" s="6" t="inlineStr">
        <is>
          <t>-</t>
        </is>
      </c>
      <c r="B115" s="8" t="inlineStr">
        <is>
          <t>N25075</t>
        </is>
      </c>
      <c r="C115" s="56">
        <f>VLOOKUP(LEFT(B115,1),Tabela5[],2,0)</f>
        <v/>
      </c>
      <c r="D115" s="57" t="inlineStr">
        <is>
          <t>EUCADUR FRJ - 2,5MM</t>
        </is>
      </c>
      <c r="E115" s="170">
        <f>VLOOKUP(Tabela10[[#This Row],[Tipo de Chapa]],Tabela11[],2,FALSE)</f>
        <v/>
      </c>
      <c r="F115" s="169" t="n">
        <v>383</v>
      </c>
      <c r="G115" s="152" t="n"/>
      <c r="H115" s="170">
        <f>Tabela10[[#This Row],[M² Da chapa]]*Tabela10[[#This Row],[Qtde Chapas
Liberadas]]</f>
        <v/>
      </c>
      <c r="J115" s="59">
        <f>Tabela10[[#This Row],[ERP]]/Tabela10[[#This Row],[M² Da chapa]]</f>
        <v/>
      </c>
      <c r="K115" s="170">
        <f>Tabela10[[#This Row],[M² CHAPAS]]-Tabela10[[#This Row],[ERP]]</f>
        <v/>
      </c>
      <c r="L115" s="170">
        <f>Tabela10[[#This Row],[DIFERENÇA M²]]/Tabela10[[#This Row],[M² Da chapa]]</f>
        <v/>
      </c>
    </row>
    <row r="116" hidden="1">
      <c r="A116" s="6" t="inlineStr">
        <is>
          <t>-</t>
        </is>
      </c>
      <c r="B116" s="8" t="inlineStr">
        <is>
          <t>I25036</t>
        </is>
      </c>
      <c r="C116" s="56">
        <f>VLOOKUP(LEFT(B116,1),Tabela5[],2,0)</f>
        <v/>
      </c>
      <c r="D116" s="57" t="inlineStr">
        <is>
          <t>EUCADUR NT - 2,5MM</t>
        </is>
      </c>
      <c r="E116" s="170">
        <f>VLOOKUP(Tabela10[[#This Row],[Tipo de Chapa]],Tabela11[],2,FALSE)</f>
        <v/>
      </c>
      <c r="F116" s="169" t="n">
        <v>356</v>
      </c>
      <c r="G116" s="152" t="n"/>
      <c r="H116" s="170">
        <f>Tabela10[[#This Row],[M² Da chapa]]*Tabela10[[#This Row],[Qtde Chapas
Liberadas]]</f>
        <v/>
      </c>
      <c r="J116" s="59">
        <f>Tabela10[[#This Row],[ERP]]/Tabela10[[#This Row],[M² Da chapa]]</f>
        <v/>
      </c>
      <c r="K116" s="170">
        <f>Tabela10[[#This Row],[M² CHAPAS]]-Tabela10[[#This Row],[ERP]]</f>
        <v/>
      </c>
      <c r="L116" s="170">
        <f>Tabela10[[#This Row],[DIFERENÇA M²]]/Tabela10[[#This Row],[M² Da chapa]]</f>
        <v/>
      </c>
    </row>
    <row r="117" hidden="1">
      <c r="A117" s="6" t="inlineStr">
        <is>
          <t>-</t>
        </is>
      </c>
      <c r="B117" s="8" t="inlineStr">
        <is>
          <t>I25037</t>
        </is>
      </c>
      <c r="C117" s="56">
        <f>VLOOKUP(LEFT(B117,1),Tabela5[],2,0)</f>
        <v/>
      </c>
      <c r="D117" s="57" t="inlineStr">
        <is>
          <t>EUCADUR NT - 2,5MM</t>
        </is>
      </c>
      <c r="E117" s="170">
        <f>VLOOKUP(Tabela10[[#This Row],[Tipo de Chapa]],Tabela11[],2,FALSE)</f>
        <v/>
      </c>
      <c r="F117" s="169" t="n">
        <v>233</v>
      </c>
      <c r="G117" s="152" t="n"/>
      <c r="H117" s="170">
        <f>Tabela10[[#This Row],[M² Da chapa]]*Tabela10[[#This Row],[Qtde Chapas
Liberadas]]</f>
        <v/>
      </c>
      <c r="J117" s="59">
        <f>Tabela10[[#This Row],[ERP]]/Tabela10[[#This Row],[M² Da chapa]]</f>
        <v/>
      </c>
      <c r="K117" s="170">
        <f>Tabela10[[#This Row],[M² CHAPAS]]-Tabela10[[#This Row],[ERP]]</f>
        <v/>
      </c>
      <c r="L117" s="170">
        <f>Tabela10[[#This Row],[DIFERENÇA M²]]/Tabela10[[#This Row],[M² Da chapa]]</f>
        <v/>
      </c>
    </row>
    <row r="118" hidden="1">
      <c r="A118" s="6" t="inlineStr">
        <is>
          <t>-</t>
        </is>
      </c>
      <c r="B118" s="8" t="inlineStr">
        <is>
          <t>M25040</t>
        </is>
      </c>
      <c r="C118" s="56">
        <f>VLOOKUP(LEFT(B118,1),Tabela5[],2,0)</f>
        <v/>
      </c>
      <c r="D118" s="57" t="inlineStr">
        <is>
          <t>EUCADUR BR - 2,5MM</t>
        </is>
      </c>
      <c r="E118" s="170">
        <f>VLOOKUP(Tabela10[[#This Row],[Tipo de Chapa]],Tabela11[],2,FALSE)</f>
        <v/>
      </c>
      <c r="F118" s="169" t="n">
        <v>127</v>
      </c>
      <c r="G118" s="152" t="n"/>
      <c r="H118" s="170">
        <f>Tabela10[[#This Row],[M² Da chapa]]*Tabela10[[#This Row],[Qtde Chapas
Liberadas]]</f>
        <v/>
      </c>
      <c r="J118" s="59">
        <f>Tabela10[[#This Row],[ERP]]/Tabela10[[#This Row],[M² Da chapa]]</f>
        <v/>
      </c>
      <c r="K118" s="170">
        <f>Tabela10[[#This Row],[M² CHAPAS]]-Tabela10[[#This Row],[ERP]]</f>
        <v/>
      </c>
      <c r="L118" s="170">
        <f>Tabela10[[#This Row],[DIFERENÇA M²]]/Tabela10[[#This Row],[M² Da chapa]]</f>
        <v/>
      </c>
    </row>
    <row r="119">
      <c r="A119" s="6" t="inlineStr">
        <is>
          <t>-</t>
        </is>
      </c>
      <c r="B119" s="8" t="inlineStr">
        <is>
          <t>N2507401</t>
        </is>
      </c>
      <c r="C119" s="56">
        <f>VLOOKUP(LEFT(B119,1),Tabela5[],2,0)</f>
        <v/>
      </c>
      <c r="D119" s="57" t="inlineStr">
        <is>
          <t>MDF - 15MM</t>
        </is>
      </c>
      <c r="E119" s="170">
        <f>VLOOKUP(Tabela10[[#This Row],[Tipo de Chapa]],Tabela11[],2,FALSE)</f>
        <v/>
      </c>
      <c r="F119" s="169">
        <f>288+3</f>
        <v/>
      </c>
      <c r="G119" s="152" t="n"/>
      <c r="H119" s="170">
        <f>Tabela10[[#This Row],[M² Da chapa]]*Tabela10[[#This Row],[Qtde Chapas
Liberadas]]</f>
        <v/>
      </c>
      <c r="J119" s="59">
        <f>Tabela10[[#This Row],[ERP]]/Tabela10[[#This Row],[M² Da chapa]]</f>
        <v/>
      </c>
      <c r="K119" s="170">
        <f>Tabela10[[#This Row],[M² CHAPAS]]-Tabela10[[#This Row],[ERP]]</f>
        <v/>
      </c>
      <c r="L119" s="170">
        <f>Tabela10[[#This Row],[DIFERENÇA M²]]/Tabela10[[#This Row],[M² Da chapa]]</f>
        <v/>
      </c>
    </row>
    <row r="120">
      <c r="A120" s="6" t="inlineStr">
        <is>
          <t>-</t>
        </is>
      </c>
      <c r="B120" s="8" t="inlineStr">
        <is>
          <t>N2507402 | 03</t>
        </is>
      </c>
      <c r="C120" s="56">
        <f>VLOOKUP(LEFT(B120,1),Tabela5[],2,0)</f>
        <v/>
      </c>
      <c r="D120" s="57" t="inlineStr">
        <is>
          <t>MDF - 15MM</t>
        </is>
      </c>
      <c r="E120" s="170">
        <f>VLOOKUP(Tabela10[[#This Row],[Tipo de Chapa]],Tabela11[],2,FALSE)</f>
        <v/>
      </c>
      <c r="F120" s="169" t="n">
        <v>64</v>
      </c>
      <c r="G120" s="152" t="n"/>
      <c r="H120" s="170">
        <f>Tabela10[[#This Row],[M² Da chapa]]*Tabela10[[#This Row],[Qtde Chapas
Liberadas]]</f>
        <v/>
      </c>
      <c r="J120" s="59">
        <f>Tabela10[[#This Row],[ERP]]/Tabela10[[#This Row],[M² Da chapa]]</f>
        <v/>
      </c>
      <c r="K120" s="170">
        <f>Tabela10[[#This Row],[M² CHAPAS]]-Tabela10[[#This Row],[ERP]]</f>
        <v/>
      </c>
      <c r="L120" s="170">
        <f>Tabela10[[#This Row],[DIFERENÇA M²]]/Tabela10[[#This Row],[M² Da chapa]]</f>
        <v/>
      </c>
    </row>
    <row r="121">
      <c r="A121" s="6" t="inlineStr">
        <is>
          <t>-</t>
        </is>
      </c>
      <c r="B121" s="8" t="inlineStr">
        <is>
          <t>N2507404</t>
        </is>
      </c>
      <c r="C121" s="56">
        <f>VLOOKUP(LEFT(B121,1),Tabela5[],2,0)</f>
        <v/>
      </c>
      <c r="D121" s="57" t="inlineStr">
        <is>
          <t>MDF - 15MM</t>
        </is>
      </c>
      <c r="E121" s="170">
        <f>VLOOKUP(Tabela10[[#This Row],[Tipo de Chapa]],Tabela11[],2,FALSE)</f>
        <v/>
      </c>
      <c r="F121" s="169" t="n">
        <v>355</v>
      </c>
      <c r="G121" s="152" t="n"/>
      <c r="H121" s="170">
        <f>Tabela10[[#This Row],[M² Da chapa]]*Tabela10[[#This Row],[Qtde Chapas
Liberadas]]</f>
        <v/>
      </c>
      <c r="J121" s="59">
        <f>Tabela10[[#This Row],[ERP]]/Tabela10[[#This Row],[M² Da chapa]]</f>
        <v/>
      </c>
      <c r="K121" s="170">
        <f>Tabela10[[#This Row],[M² CHAPAS]]-Tabela10[[#This Row],[ERP]]</f>
        <v/>
      </c>
      <c r="L121" s="170">
        <f>Tabela10[[#This Row],[DIFERENÇA M²]]/Tabela10[[#This Row],[M² Da chapa]]</f>
        <v/>
      </c>
    </row>
    <row r="122">
      <c r="A122" s="6" t="inlineStr">
        <is>
          <t>-</t>
        </is>
      </c>
      <c r="B122" s="8" t="inlineStr">
        <is>
          <t>N2507406</t>
        </is>
      </c>
      <c r="C122" s="56">
        <f>VLOOKUP(LEFT(B122,1),Tabela5[],2,0)</f>
        <v/>
      </c>
      <c r="D122" s="57" t="inlineStr">
        <is>
          <t>MDF - 15MM</t>
        </is>
      </c>
      <c r="E122" s="170">
        <f>VLOOKUP(Tabela10[[#This Row],[Tipo de Chapa]],Tabela11[],2,FALSE)</f>
        <v/>
      </c>
      <c r="F122" s="169" t="n">
        <v>131</v>
      </c>
      <c r="G122" s="152" t="n"/>
      <c r="H122" s="170">
        <f>Tabela10[[#This Row],[M² Da chapa]]*Tabela10[[#This Row],[Qtde Chapas
Liberadas]]</f>
        <v/>
      </c>
      <c r="J122" s="59">
        <f>Tabela10[[#This Row],[ERP]]/Tabela10[[#This Row],[M² Da chapa]]</f>
        <v/>
      </c>
      <c r="K122" s="170">
        <f>Tabela10[[#This Row],[M² CHAPAS]]-Tabela10[[#This Row],[ERP]]</f>
        <v/>
      </c>
      <c r="L122" s="170">
        <f>Tabela10[[#This Row],[DIFERENÇA M²]]/Tabela10[[#This Row],[M² Da chapa]]</f>
        <v/>
      </c>
    </row>
    <row r="123">
      <c r="A123" s="6" t="inlineStr">
        <is>
          <t>-</t>
        </is>
      </c>
      <c r="B123" s="8" t="inlineStr">
        <is>
          <t>N2507407</t>
        </is>
      </c>
      <c r="C123" s="56">
        <f>VLOOKUP(LEFT(B123,1),Tabela5[],2,0)</f>
        <v/>
      </c>
      <c r="D123" s="57" t="inlineStr">
        <is>
          <t>MDF - 15MM</t>
        </is>
      </c>
      <c r="E123" s="170">
        <f>VLOOKUP(Tabela10[[#This Row],[Tipo de Chapa]],Tabela11[],2,FALSE)</f>
        <v/>
      </c>
      <c r="F123" s="169" t="n">
        <v>218</v>
      </c>
      <c r="G123" s="152" t="n"/>
      <c r="H123" s="170">
        <f>Tabela10[[#This Row],[M² Da chapa]]*Tabela10[[#This Row],[Qtde Chapas
Liberadas]]</f>
        <v/>
      </c>
      <c r="J123" s="59">
        <f>Tabela10[[#This Row],[ERP]]/Tabela10[[#This Row],[M² Da chapa]]</f>
        <v/>
      </c>
      <c r="K123" s="170">
        <f>Tabela10[[#This Row],[M² CHAPAS]]-Tabela10[[#This Row],[ERP]]</f>
        <v/>
      </c>
      <c r="L123" s="170">
        <f>Tabela10[[#This Row],[DIFERENÇA M²]]/Tabela10[[#This Row],[M² Da chapa]]</f>
        <v/>
      </c>
    </row>
    <row r="124">
      <c r="A124" s="6" t="inlineStr">
        <is>
          <t>-</t>
        </is>
      </c>
      <c r="B124" s="8" t="inlineStr">
        <is>
          <t>N2507405</t>
        </is>
      </c>
      <c r="C124" s="56">
        <f>VLOOKUP(LEFT(B124,1),Tabela5[],2,0)</f>
        <v/>
      </c>
      <c r="D124" s="57" t="inlineStr">
        <is>
          <t>MDF - 15MM</t>
        </is>
      </c>
      <c r="E124" s="170">
        <f>VLOOKUP(Tabela10[[#This Row],[Tipo de Chapa]],Tabela11[],2,FALSE)</f>
        <v/>
      </c>
      <c r="F124" s="169" t="n">
        <v>145</v>
      </c>
      <c r="G124" s="152" t="n"/>
      <c r="H124" s="170">
        <f>Tabela10[[#This Row],[M² Da chapa]]*Tabela10[[#This Row],[Qtde Chapas
Liberadas]]</f>
        <v/>
      </c>
      <c r="J124" s="59">
        <f>Tabela10[[#This Row],[ERP]]/Tabela10[[#This Row],[M² Da chapa]]</f>
        <v/>
      </c>
      <c r="K124" s="170">
        <f>Tabela10[[#This Row],[M² CHAPAS]]-Tabela10[[#This Row],[ERP]]</f>
        <v/>
      </c>
      <c r="L124" s="170">
        <f>Tabela10[[#This Row],[DIFERENÇA M²]]/Tabela10[[#This Row],[M² Da chapa]]</f>
        <v/>
      </c>
    </row>
    <row r="125">
      <c r="A125" s="6" t="inlineStr">
        <is>
          <t>-</t>
        </is>
      </c>
      <c r="B125" s="8" t="inlineStr">
        <is>
          <t>N2507501 | N2507502</t>
        </is>
      </c>
      <c r="C125" s="56">
        <f>VLOOKUP(LEFT(B125,1),Tabela5[],2,0)</f>
        <v/>
      </c>
      <c r="D125" s="57" t="inlineStr">
        <is>
          <t>MDF - 15MM</t>
        </is>
      </c>
      <c r="E125" s="170">
        <f>VLOOKUP(Tabela10[[#This Row],[Tipo de Chapa]],Tabela11[],2,FALSE)</f>
        <v/>
      </c>
      <c r="F125" s="169" t="n">
        <v>768</v>
      </c>
      <c r="G125" s="152" t="n"/>
      <c r="H125" s="170">
        <f>Tabela10[[#This Row],[M² Da chapa]]*Tabela10[[#This Row],[Qtde Chapas
Liberadas]]</f>
        <v/>
      </c>
      <c r="J125" s="59">
        <f>Tabela10[[#This Row],[ERP]]/Tabela10[[#This Row],[M² Da chapa]]</f>
        <v/>
      </c>
      <c r="K125" s="170">
        <f>Tabela10[[#This Row],[M² CHAPAS]]-Tabela10[[#This Row],[ERP]]</f>
        <v/>
      </c>
      <c r="L125" s="170">
        <f>Tabela10[[#This Row],[DIFERENÇA M²]]/Tabela10[[#This Row],[M² Da chapa]]</f>
        <v/>
      </c>
    </row>
    <row r="126">
      <c r="A126" s="6" t="inlineStr">
        <is>
          <t>-</t>
        </is>
      </c>
      <c r="B126" s="8" t="inlineStr">
        <is>
          <t>N2507504</t>
        </is>
      </c>
      <c r="C126" s="56">
        <f>VLOOKUP(LEFT(B126,1),Tabela5[],2,0)</f>
        <v/>
      </c>
      <c r="D126" s="57" t="inlineStr">
        <is>
          <t>MDF - 15MM</t>
        </is>
      </c>
      <c r="E126" s="170">
        <f>VLOOKUP(Tabela10[[#This Row],[Tipo de Chapa]],Tabela11[],2,FALSE)</f>
        <v/>
      </c>
      <c r="F126" s="169" t="n">
        <v>218</v>
      </c>
      <c r="G126" s="152" t="n"/>
      <c r="H126" s="170">
        <f>Tabela10[[#This Row],[M² Da chapa]]*Tabela10[[#This Row],[Qtde Chapas
Liberadas]]</f>
        <v/>
      </c>
      <c r="J126" s="59">
        <f>Tabela10[[#This Row],[ERP]]/Tabela10[[#This Row],[M² Da chapa]]</f>
        <v/>
      </c>
      <c r="K126" s="170">
        <f>Tabela10[[#This Row],[M² CHAPAS]]-Tabela10[[#This Row],[ERP]]</f>
        <v/>
      </c>
      <c r="L126" s="170">
        <f>Tabela10[[#This Row],[DIFERENÇA M²]]/Tabela10[[#This Row],[M² Da chapa]]</f>
        <v/>
      </c>
    </row>
    <row r="127">
      <c r="A127" s="6" t="inlineStr">
        <is>
          <t>-</t>
        </is>
      </c>
      <c r="B127" s="8" t="inlineStr">
        <is>
          <t>N2507503</t>
        </is>
      </c>
      <c r="C127" s="56">
        <f>VLOOKUP(LEFT(B127,1),Tabela5[],2,0)</f>
        <v/>
      </c>
      <c r="D127" s="57" t="inlineStr">
        <is>
          <t>MDF - 15MM</t>
        </is>
      </c>
      <c r="E127" s="170">
        <f>VLOOKUP(Tabela10[[#This Row],[Tipo de Chapa]],Tabela11[],2,FALSE)</f>
        <v/>
      </c>
      <c r="F127" s="169" t="n">
        <v>171</v>
      </c>
      <c r="G127" s="152" t="n"/>
      <c r="H127" s="170">
        <f>Tabela10[[#This Row],[M² Da chapa]]*Tabela10[[#This Row],[Qtde Chapas
Liberadas]]</f>
        <v/>
      </c>
      <c r="J127" s="59">
        <f>Tabela10[[#This Row],[ERP]]/Tabela10[[#This Row],[M² Da chapa]]</f>
        <v/>
      </c>
      <c r="K127" s="170">
        <f>Tabela10[[#This Row],[M² CHAPAS]]-Tabela10[[#This Row],[ERP]]</f>
        <v/>
      </c>
      <c r="L127" s="170">
        <f>Tabela10[[#This Row],[DIFERENÇA M²]]/Tabela10[[#This Row],[M² Da chapa]]</f>
        <v/>
      </c>
    </row>
    <row r="128" hidden="1">
      <c r="A128" s="6" t="inlineStr">
        <is>
          <t>-</t>
        </is>
      </c>
      <c r="B128" s="8" t="inlineStr">
        <is>
          <t>M25040</t>
        </is>
      </c>
      <c r="C128" s="56">
        <f>VLOOKUP(LEFT(B128,1),Tabela5[],2,0)</f>
        <v/>
      </c>
      <c r="D128" s="57" t="inlineStr">
        <is>
          <t>EUCADUR NT - 2,5MM</t>
        </is>
      </c>
      <c r="E128" s="170">
        <f>VLOOKUP(Tabela10[[#This Row],[Tipo de Chapa]],Tabela11[],2,FALSE)</f>
        <v/>
      </c>
      <c r="F128" s="169" t="n">
        <v>234</v>
      </c>
      <c r="G128" s="152" t="n"/>
      <c r="H128" s="170">
        <f>Tabela10[[#This Row],[M² Da chapa]]*Tabela10[[#This Row],[Qtde Chapas
Liberadas]]</f>
        <v/>
      </c>
      <c r="J128" s="59">
        <f>Tabela10[[#This Row],[ERP]]/Tabela10[[#This Row],[M² Da chapa]]</f>
        <v/>
      </c>
      <c r="K128" s="170">
        <f>Tabela10[[#This Row],[M² CHAPAS]]-Tabela10[[#This Row],[ERP]]</f>
        <v/>
      </c>
      <c r="L128" s="170">
        <f>Tabela10[[#This Row],[DIFERENÇA M²]]/Tabela10[[#This Row],[M² Da chapa]]</f>
        <v/>
      </c>
    </row>
    <row r="129">
      <c r="A129" s="6" t="inlineStr">
        <is>
          <t>-</t>
        </is>
      </c>
      <c r="B129" s="8" t="inlineStr">
        <is>
          <t>N25076</t>
        </is>
      </c>
      <c r="C129" s="56">
        <f>VLOOKUP(LEFT(B129,1),Tabela5[],2,0)</f>
        <v/>
      </c>
      <c r="D129" s="57" t="inlineStr">
        <is>
          <t>EUCADUR NT - 2,5MM</t>
        </is>
      </c>
      <c r="E129" s="170">
        <f>VLOOKUP(Tabela10[[#This Row],[Tipo de Chapa]],Tabela11[],2,FALSE)</f>
        <v/>
      </c>
      <c r="F129" s="169" t="n">
        <v>414</v>
      </c>
      <c r="G129" s="152" t="n"/>
      <c r="H129" s="170">
        <f>Tabela10[[#This Row],[M² Da chapa]]*Tabela10[[#This Row],[Qtde Chapas
Liberadas]]</f>
        <v/>
      </c>
      <c r="J129" s="59">
        <f>Tabela10[[#This Row],[ERP]]/Tabela10[[#This Row],[M² Da chapa]]</f>
        <v/>
      </c>
      <c r="K129" s="170">
        <f>Tabela10[[#This Row],[M² CHAPAS]]-Tabela10[[#This Row],[ERP]]</f>
        <v/>
      </c>
      <c r="L129" s="170">
        <f>Tabela10[[#This Row],[DIFERENÇA M²]]/Tabela10[[#This Row],[M² Da chapa]]</f>
        <v/>
      </c>
    </row>
    <row r="130">
      <c r="A130" s="6" t="inlineStr">
        <is>
          <t>-</t>
        </is>
      </c>
      <c r="B130" s="8" t="inlineStr">
        <is>
          <t>N2507601|02|03</t>
        </is>
      </c>
      <c r="C130" s="56">
        <f>VLOOKUP(LEFT(B130,1),Tabela5[],2,0)</f>
        <v/>
      </c>
      <c r="D130" s="57" t="inlineStr">
        <is>
          <t>MDF - 15MM</t>
        </is>
      </c>
      <c r="E130" s="170">
        <f>VLOOKUP(Tabela10[[#This Row],[Tipo de Chapa]],Tabela11[],2,FALSE)</f>
        <v/>
      </c>
      <c r="F130" s="169" t="n">
        <v>393</v>
      </c>
      <c r="G130" s="152" t="n"/>
      <c r="H130" s="170">
        <f>Tabela10[[#This Row],[M² Da chapa]]*Tabela10[[#This Row],[Qtde Chapas
Liberadas]]</f>
        <v/>
      </c>
      <c r="J130" s="59">
        <f>Tabela10[[#This Row],[ERP]]/Tabela10[[#This Row],[M² Da chapa]]</f>
        <v/>
      </c>
      <c r="K130" s="170">
        <f>Tabela10[[#This Row],[M² CHAPAS]]-Tabela10[[#This Row],[ERP]]</f>
        <v/>
      </c>
      <c r="L130" s="170">
        <f>Tabela10[[#This Row],[DIFERENÇA M²]]/Tabela10[[#This Row],[M² Da chapa]]</f>
        <v/>
      </c>
    </row>
    <row r="131">
      <c r="A131" s="6" t="inlineStr">
        <is>
          <t>-</t>
        </is>
      </c>
      <c r="B131" s="8" t="inlineStr">
        <is>
          <t>N2507604|05|06</t>
        </is>
      </c>
      <c r="C131" s="56">
        <f>VLOOKUP(LEFT(B131,1),Tabela5[],2,0)</f>
        <v/>
      </c>
      <c r="D131" s="57" t="inlineStr">
        <is>
          <t>MDF - 15MM</t>
        </is>
      </c>
      <c r="E131" s="170">
        <f>VLOOKUP(Tabela10[[#This Row],[Tipo de Chapa]],Tabela11[],2,FALSE)</f>
        <v/>
      </c>
      <c r="F131" s="169" t="n">
        <v>294</v>
      </c>
      <c r="G131" s="152" t="n"/>
      <c r="H131" s="170">
        <f>Tabela10[[#This Row],[M² Da chapa]]*Tabela10[[#This Row],[Qtde Chapas
Liberadas]]</f>
        <v/>
      </c>
      <c r="J131" s="59">
        <f>Tabela10[[#This Row],[ERP]]/Tabela10[[#This Row],[M² Da chapa]]</f>
        <v/>
      </c>
      <c r="K131" s="170">
        <f>Tabela10[[#This Row],[M² CHAPAS]]-Tabela10[[#This Row],[ERP]]</f>
        <v/>
      </c>
      <c r="L131" s="170">
        <f>Tabela10[[#This Row],[DIFERENÇA M²]]/Tabela10[[#This Row],[M² Da chapa]]</f>
        <v/>
      </c>
    </row>
    <row r="132" hidden="1">
      <c r="A132" s="6" t="inlineStr">
        <is>
          <t>-</t>
        </is>
      </c>
      <c r="B132" s="8" t="inlineStr">
        <is>
          <t>I25038</t>
        </is>
      </c>
      <c r="C132" s="56">
        <f>VLOOKUP(LEFT(B132,1),Tabela5[],2,0)</f>
        <v/>
      </c>
      <c r="D132" s="57" t="inlineStr">
        <is>
          <t>EUCADUR NT - 2,5MM</t>
        </is>
      </c>
      <c r="E132" s="170">
        <f>VLOOKUP(Tabela10[[#This Row],[Tipo de Chapa]],Tabela11[],2,FALSE)</f>
        <v/>
      </c>
      <c r="F132" s="169" t="n">
        <v>404</v>
      </c>
      <c r="G132" s="152" t="n"/>
      <c r="H132" s="170">
        <f>Tabela10[[#This Row],[M² Da chapa]]*Tabela10[[#This Row],[Qtde Chapas
Liberadas]]</f>
        <v/>
      </c>
      <c r="J132" s="59">
        <f>Tabela10[[#This Row],[ERP]]/Tabela10[[#This Row],[M² Da chapa]]</f>
        <v/>
      </c>
      <c r="K132" s="170">
        <f>Tabela10[[#This Row],[M² CHAPAS]]-Tabela10[[#This Row],[ERP]]</f>
        <v/>
      </c>
      <c r="L132" s="170">
        <f>Tabela10[[#This Row],[DIFERENÇA M²]]/Tabela10[[#This Row],[M² Da chapa]]</f>
        <v/>
      </c>
    </row>
    <row r="133" hidden="1">
      <c r="A133" s="6" t="inlineStr">
        <is>
          <t>-</t>
        </is>
      </c>
      <c r="B133" s="8" t="inlineStr">
        <is>
          <t>M25041</t>
        </is>
      </c>
      <c r="C133" s="56">
        <f>VLOOKUP(LEFT(B133,1),Tabela5[],2,0)</f>
        <v/>
      </c>
      <c r="D133" s="57" t="inlineStr">
        <is>
          <t>EUCADUR FRJ - 2,5MM</t>
        </is>
      </c>
      <c r="E133" s="170">
        <f>VLOOKUP(Tabela10[[#This Row],[Tipo de Chapa]],Tabela11[],2,FALSE)</f>
        <v/>
      </c>
      <c r="F133" s="169" t="n">
        <v>158</v>
      </c>
      <c r="G133" s="152" t="n"/>
      <c r="H133" s="170">
        <f>Tabela10[[#This Row],[M² Da chapa]]*Tabela10[[#This Row],[Qtde Chapas
Liberadas]]</f>
        <v/>
      </c>
      <c r="J133" s="59">
        <f>Tabela10[[#This Row],[ERP]]/Tabela10[[#This Row],[M² Da chapa]]</f>
        <v/>
      </c>
      <c r="K133" s="170">
        <f>Tabela10[[#This Row],[M² CHAPAS]]-Tabela10[[#This Row],[ERP]]</f>
        <v/>
      </c>
      <c r="L133" s="170">
        <f>Tabela10[[#This Row],[DIFERENÇA M²]]/Tabela10[[#This Row],[M² Da chapa]]</f>
        <v/>
      </c>
    </row>
    <row r="134" hidden="1">
      <c r="A134" s="6" t="inlineStr">
        <is>
          <t>-</t>
        </is>
      </c>
      <c r="B134" s="8" t="inlineStr">
        <is>
          <t>M25041</t>
        </is>
      </c>
      <c r="C134" s="56">
        <f>VLOOKUP(LEFT(B134,1),Tabela5[],2,0)</f>
        <v/>
      </c>
      <c r="D134" s="57" t="inlineStr">
        <is>
          <t>EUCADUR BR - 2,5MM</t>
        </is>
      </c>
      <c r="E134" s="170">
        <f>VLOOKUP(Tabela10[[#This Row],[Tipo de Chapa]],Tabela11[],2,FALSE)</f>
        <v/>
      </c>
      <c r="F134" s="169" t="n">
        <v>140</v>
      </c>
      <c r="G134" s="152" t="n"/>
      <c r="H134" s="170">
        <f>Tabela10[[#This Row],[M² Da chapa]]*Tabela10[[#This Row],[Qtde Chapas
Liberadas]]</f>
        <v/>
      </c>
      <c r="J134" s="59">
        <f>Tabela10[[#This Row],[ERP]]/Tabela10[[#This Row],[M² Da chapa]]</f>
        <v/>
      </c>
      <c r="K134" s="170">
        <f>Tabela10[[#This Row],[M² CHAPAS]]-Tabela10[[#This Row],[ERP]]</f>
        <v/>
      </c>
      <c r="L134" s="170">
        <f>Tabela10[[#This Row],[DIFERENÇA M²]]/Tabela10[[#This Row],[M² Da chapa]]</f>
        <v/>
      </c>
    </row>
    <row r="135">
      <c r="A135" s="6" t="inlineStr">
        <is>
          <t>-</t>
        </is>
      </c>
      <c r="B135" s="8" t="inlineStr">
        <is>
          <t>N2507701 | 02 | 03</t>
        </is>
      </c>
      <c r="C135" s="56">
        <f>VLOOKUP(LEFT(B135,1),Tabela5[],2,0)</f>
        <v/>
      </c>
      <c r="D135" s="57" t="inlineStr">
        <is>
          <t>MDF - 15MM</t>
        </is>
      </c>
      <c r="E135" s="170">
        <f>VLOOKUP(Tabela10[[#This Row],[Tipo de Chapa]],Tabela11[],2,FALSE)</f>
        <v/>
      </c>
      <c r="F135" s="169" t="n">
        <v>306</v>
      </c>
      <c r="G135" s="152" t="n"/>
      <c r="H135" s="170">
        <f>Tabela10[[#This Row],[M² Da chapa]]*Tabela10[[#This Row],[Qtde Chapas
Liberadas]]</f>
        <v/>
      </c>
      <c r="J135" s="59">
        <f>Tabela10[[#This Row],[ERP]]/Tabela10[[#This Row],[M² Da chapa]]</f>
        <v/>
      </c>
      <c r="K135" s="170">
        <f>Tabela10[[#This Row],[M² CHAPAS]]-Tabela10[[#This Row],[ERP]]</f>
        <v/>
      </c>
      <c r="L135" s="170">
        <f>Tabela10[[#This Row],[DIFERENÇA M²]]/Tabela10[[#This Row],[M² Da chapa]]</f>
        <v/>
      </c>
    </row>
    <row r="136">
      <c r="A136" s="6" t="inlineStr">
        <is>
          <t>-</t>
        </is>
      </c>
      <c r="B136" s="8" t="inlineStr">
        <is>
          <t>N2507705</t>
        </is>
      </c>
      <c r="C136" s="56">
        <f>VLOOKUP(LEFT(B136,1),Tabela5[],2,0)</f>
        <v/>
      </c>
      <c r="D136" s="57" t="inlineStr">
        <is>
          <t>MDF - 15MM</t>
        </is>
      </c>
      <c r="E136" s="170">
        <f>VLOOKUP(Tabela10[[#This Row],[Tipo de Chapa]],Tabela11[],2,FALSE)</f>
        <v/>
      </c>
      <c r="F136" s="169" t="n">
        <v>445</v>
      </c>
      <c r="G136" s="152" t="n"/>
      <c r="H136" s="170">
        <f>Tabela10[[#This Row],[M² Da chapa]]*Tabela10[[#This Row],[Qtde Chapas
Liberadas]]</f>
        <v/>
      </c>
      <c r="J136" s="59">
        <f>Tabela10[[#This Row],[ERP]]/Tabela10[[#This Row],[M² Da chapa]]</f>
        <v/>
      </c>
      <c r="K136" s="170">
        <f>Tabela10[[#This Row],[M² CHAPAS]]-Tabela10[[#This Row],[ERP]]</f>
        <v/>
      </c>
      <c r="L136" s="170">
        <f>Tabela10[[#This Row],[DIFERENÇA M²]]/Tabela10[[#This Row],[M² Da chapa]]</f>
        <v/>
      </c>
    </row>
    <row r="137" hidden="1">
      <c r="A137" s="6" t="inlineStr">
        <is>
          <t>-</t>
        </is>
      </c>
      <c r="B137" s="8" t="inlineStr">
        <is>
          <t>M25041</t>
        </is>
      </c>
      <c r="C137" s="56">
        <f>VLOOKUP(LEFT(B137,1),Tabela5[],2,0)</f>
        <v/>
      </c>
      <c r="D137" s="57" t="inlineStr">
        <is>
          <t>EUCADUR NT - 2,5MM</t>
        </is>
      </c>
      <c r="E137" s="170">
        <f>VLOOKUP(Tabela10[[#This Row],[Tipo de Chapa]],Tabela11[],2,FALSE)</f>
        <v/>
      </c>
      <c r="F137" s="169" t="n">
        <v>129</v>
      </c>
      <c r="G137" s="152" t="n"/>
      <c r="H137" s="170">
        <f>Tabela10[[#This Row],[M² Da chapa]]*Tabela10[[#This Row],[Qtde Chapas
Liberadas]]</f>
        <v/>
      </c>
      <c r="J137" s="59">
        <f>Tabela10[[#This Row],[ERP]]/Tabela10[[#This Row],[M² Da chapa]]</f>
        <v/>
      </c>
      <c r="K137" s="170">
        <f>Tabela10[[#This Row],[M² CHAPAS]]-Tabela10[[#This Row],[ERP]]</f>
        <v/>
      </c>
      <c r="L137" s="170">
        <f>Tabela10[[#This Row],[DIFERENÇA M²]]/Tabela10[[#This Row],[M² Da chapa]]</f>
        <v/>
      </c>
    </row>
    <row r="138">
      <c r="A138" s="6" t="inlineStr">
        <is>
          <t>-</t>
        </is>
      </c>
      <c r="B138" s="8" t="inlineStr">
        <is>
          <t>N2507601</t>
        </is>
      </c>
      <c r="C138" s="56">
        <f>VLOOKUP(LEFT(B138,1),Tabela5[],2,0)</f>
        <v/>
      </c>
      <c r="D138" s="57" t="inlineStr">
        <is>
          <t>MDF - 25MM 2750x2100</t>
        </is>
      </c>
      <c r="E138" s="170">
        <f>VLOOKUP(Tabela10[[#This Row],[Tipo de Chapa]],Tabela11[],2,FALSE)</f>
        <v/>
      </c>
      <c r="F138" s="169" t="n">
        <v>42</v>
      </c>
      <c r="G138" s="152" t="n"/>
      <c r="H138" s="170">
        <f>Tabela10[[#This Row],[M² Da chapa]]*Tabela10[[#This Row],[Qtde Chapas
Liberadas]]</f>
        <v/>
      </c>
      <c r="J138" s="59">
        <f>Tabela10[[#This Row],[ERP]]/Tabela10[[#This Row],[M² Da chapa]]</f>
        <v/>
      </c>
      <c r="K138" s="170">
        <f>Tabela10[[#This Row],[M² CHAPAS]]-Tabela10[[#This Row],[ERP]]</f>
        <v/>
      </c>
      <c r="L138" s="170">
        <f>Tabela10[[#This Row],[DIFERENÇA M²]]/Tabela10[[#This Row],[M² Da chapa]]</f>
        <v/>
      </c>
    </row>
    <row r="139">
      <c r="A139" s="6" t="inlineStr">
        <is>
          <t>-</t>
        </is>
      </c>
      <c r="B139" s="8" t="inlineStr">
        <is>
          <t>N2507604</t>
        </is>
      </c>
      <c r="C139" s="56">
        <f>VLOOKUP(LEFT(B139,1),Tabela5[],2,0)</f>
        <v/>
      </c>
      <c r="D139" s="57" t="inlineStr">
        <is>
          <t>MDF - 25MM 2750x2100</t>
        </is>
      </c>
      <c r="E139" s="170">
        <f>VLOOKUP(Tabela10[[#This Row],[Tipo de Chapa]],Tabela11[],2,FALSE)</f>
        <v/>
      </c>
      <c r="F139" s="169" t="n">
        <v>36</v>
      </c>
      <c r="G139" s="152" t="n"/>
      <c r="H139" s="170">
        <f>Tabela10[[#This Row],[M² Da chapa]]*Tabela10[[#This Row],[Qtde Chapas
Liberadas]]</f>
        <v/>
      </c>
      <c r="J139" s="59">
        <f>Tabela10[[#This Row],[ERP]]/Tabela10[[#This Row],[M² Da chapa]]</f>
        <v/>
      </c>
      <c r="K139" s="170">
        <f>Tabela10[[#This Row],[M² CHAPAS]]-Tabela10[[#This Row],[ERP]]</f>
        <v/>
      </c>
      <c r="L139" s="170">
        <f>Tabela10[[#This Row],[DIFERENÇA M²]]/Tabela10[[#This Row],[M² Da chapa]]</f>
        <v/>
      </c>
    </row>
    <row r="140">
      <c r="A140" s="6" t="inlineStr">
        <is>
          <t>-</t>
        </is>
      </c>
      <c r="B140" s="8" t="inlineStr">
        <is>
          <t>N2507701</t>
        </is>
      </c>
      <c r="C140" s="56">
        <f>VLOOKUP(LEFT(B140,1),Tabela5[],2,0)</f>
        <v/>
      </c>
      <c r="D140" s="57" t="inlineStr">
        <is>
          <t>MDF - 25MM 2750x2100</t>
        </is>
      </c>
      <c r="E140" s="170">
        <f>VLOOKUP(Tabela10[[#This Row],[Tipo de Chapa]],Tabela11[],2,FALSE)</f>
        <v/>
      </c>
      <c r="F140" s="169" t="n">
        <v>36</v>
      </c>
      <c r="G140" s="152" t="n"/>
      <c r="H140" s="170">
        <f>Tabela10[[#This Row],[M² Da chapa]]*Tabela10[[#This Row],[Qtde Chapas
Liberadas]]</f>
        <v/>
      </c>
      <c r="J140" s="59">
        <f>Tabela10[[#This Row],[ERP]]/Tabela10[[#This Row],[M² Da chapa]]</f>
        <v/>
      </c>
      <c r="K140" s="170">
        <f>Tabela10[[#This Row],[M² CHAPAS]]-Tabela10[[#This Row],[ERP]]</f>
        <v/>
      </c>
      <c r="L140" s="170">
        <f>Tabela10[[#This Row],[DIFERENÇA M²]]/Tabela10[[#This Row],[M² Da chapa]]</f>
        <v/>
      </c>
    </row>
    <row r="141">
      <c r="A141" s="6" t="inlineStr">
        <is>
          <t>-</t>
        </is>
      </c>
      <c r="B141" s="8" t="inlineStr">
        <is>
          <t>N2508002</t>
        </is>
      </c>
      <c r="C141" s="56">
        <f>VLOOKUP(LEFT(B141,1),Tabela5[],2,0)</f>
        <v/>
      </c>
      <c r="D141" s="57" t="inlineStr">
        <is>
          <t>MDF - 25MM 2750x2200</t>
        </is>
      </c>
      <c r="E141" s="170">
        <f>VLOOKUP(Tabela10[[#This Row],[Tipo de Chapa]],Tabela11[],2,FALSE)</f>
        <v/>
      </c>
      <c r="F141" s="169" t="n">
        <v>42</v>
      </c>
      <c r="G141" s="152" t="n"/>
      <c r="H141" s="170">
        <f>Tabela10[[#This Row],[M² Da chapa]]*Tabela10[[#This Row],[Qtde Chapas
Liberadas]]</f>
        <v/>
      </c>
      <c r="J141" s="59">
        <f>Tabela10[[#This Row],[ERP]]/Tabela10[[#This Row],[M² Da chapa]]</f>
        <v/>
      </c>
      <c r="K141" s="170">
        <f>Tabela10[[#This Row],[M² CHAPAS]]-Tabela10[[#This Row],[ERP]]</f>
        <v/>
      </c>
      <c r="L141" s="170">
        <f>Tabela10[[#This Row],[DIFERENÇA M²]]/Tabela10[[#This Row],[M² Da chapa]]</f>
        <v/>
      </c>
    </row>
    <row r="142">
      <c r="A142" s="6" t="inlineStr">
        <is>
          <t>-</t>
        </is>
      </c>
      <c r="B142" s="8" t="inlineStr">
        <is>
          <t>N2507605</t>
        </is>
      </c>
      <c r="C142" s="56">
        <f>VLOOKUP(LEFT(B142,1),Tabela5[],2,0)</f>
        <v/>
      </c>
      <c r="D142" s="57" t="inlineStr">
        <is>
          <t>MDF - 9MM</t>
        </is>
      </c>
      <c r="E142" s="170">
        <f>VLOOKUP(Tabela10[[#This Row],[Tipo de Chapa]],Tabela11[],2,FALSE)</f>
        <v/>
      </c>
      <c r="F142" s="169" t="n">
        <v>15</v>
      </c>
      <c r="G142" s="152" t="n"/>
      <c r="H142" s="170">
        <f>Tabela10[[#This Row],[M² Da chapa]]*Tabela10[[#This Row],[Qtde Chapas
Liberadas]]</f>
        <v/>
      </c>
      <c r="J142" s="59">
        <f>Tabela10[[#This Row],[ERP]]/Tabela10[[#This Row],[M² Da chapa]]</f>
        <v/>
      </c>
      <c r="K142" s="170">
        <f>Tabela10[[#This Row],[M² CHAPAS]]-Tabela10[[#This Row],[ERP]]</f>
        <v/>
      </c>
      <c r="L142" s="170">
        <f>Tabela10[[#This Row],[DIFERENÇA M²]]/Tabela10[[#This Row],[M² Da chapa]]</f>
        <v/>
      </c>
    </row>
    <row r="143">
      <c r="A143" s="6" t="inlineStr">
        <is>
          <t>-</t>
        </is>
      </c>
      <c r="B143" s="8" t="inlineStr">
        <is>
          <t>N2507702</t>
        </is>
      </c>
      <c r="C143" s="56">
        <f>VLOOKUP(LEFT(B143,1),Tabela5[],2,0)</f>
        <v/>
      </c>
      <c r="D143" s="57" t="inlineStr">
        <is>
          <t>MDF - 9MM</t>
        </is>
      </c>
      <c r="E143" s="170">
        <f>VLOOKUP(Tabela10[[#This Row],[Tipo de Chapa]],Tabela11[],2,FALSE)</f>
        <v/>
      </c>
      <c r="F143" s="169" t="n">
        <v>10</v>
      </c>
      <c r="G143" s="152" t="n"/>
      <c r="H143" s="170">
        <f>Tabela10[[#This Row],[M² Da chapa]]*Tabela10[[#This Row],[Qtde Chapas
Liberadas]]</f>
        <v/>
      </c>
      <c r="J143" s="59">
        <f>Tabela10[[#This Row],[ERP]]/Tabela10[[#This Row],[M² Da chapa]]</f>
        <v/>
      </c>
      <c r="K143" s="170">
        <f>Tabela10[[#This Row],[M² CHAPAS]]-Tabela10[[#This Row],[ERP]]</f>
        <v/>
      </c>
      <c r="L143" s="170">
        <f>Tabela10[[#This Row],[DIFERENÇA M²]]/Tabela10[[#This Row],[M² Da chapa]]</f>
        <v/>
      </c>
    </row>
    <row r="144">
      <c r="A144" s="6" t="inlineStr">
        <is>
          <t>-</t>
        </is>
      </c>
      <c r="B144" s="8" t="inlineStr">
        <is>
          <t>N2507901</t>
        </is>
      </c>
      <c r="C144" s="56">
        <f>VLOOKUP(LEFT(B144,1),Tabela5[],2,0)</f>
        <v/>
      </c>
      <c r="D144" s="57" t="inlineStr">
        <is>
          <t>MDF - 15MM</t>
        </is>
      </c>
      <c r="E144" s="170">
        <f>VLOOKUP(Tabela10[[#This Row],[Tipo de Chapa]],Tabela11[],2,FALSE)</f>
        <v/>
      </c>
      <c r="F144" s="169" t="n">
        <v>114</v>
      </c>
      <c r="G144" s="152" t="n"/>
      <c r="H144" s="170">
        <f>Tabela10[[#This Row],[M² Da chapa]]*Tabela10[[#This Row],[Qtde Chapas
Liberadas]]</f>
        <v/>
      </c>
      <c r="J144" s="59">
        <f>Tabela10[[#This Row],[ERP]]/Tabela10[[#This Row],[M² Da chapa]]</f>
        <v/>
      </c>
      <c r="K144" s="170">
        <f>Tabela10[[#This Row],[M² CHAPAS]]-Tabela10[[#This Row],[ERP]]</f>
        <v/>
      </c>
      <c r="L144" s="170">
        <f>Tabela10[[#This Row],[DIFERENÇA M²]]/Tabela10[[#This Row],[M² Da chapa]]</f>
        <v/>
      </c>
    </row>
    <row r="145">
      <c r="A145" s="6" t="inlineStr">
        <is>
          <t>-</t>
        </is>
      </c>
      <c r="B145" s="8" t="inlineStr">
        <is>
          <t>N2508201</t>
        </is>
      </c>
      <c r="C145" s="56">
        <f>VLOOKUP(LEFT(B145,1),Tabela5[],2,0)</f>
        <v/>
      </c>
      <c r="D145" s="57" t="inlineStr">
        <is>
          <t>MDF - 15MM</t>
        </is>
      </c>
      <c r="E145" s="170">
        <f>VLOOKUP(Tabela10[[#This Row],[Tipo de Chapa]],Tabela11[],2,FALSE)</f>
        <v/>
      </c>
      <c r="F145" s="169" t="n">
        <v>171</v>
      </c>
      <c r="G145" s="152" t="n"/>
      <c r="H145" s="170">
        <f>Tabela10[[#This Row],[M² Da chapa]]*Tabela10[[#This Row],[Qtde Chapas
Liberadas]]</f>
        <v/>
      </c>
      <c r="J145" s="59">
        <f>Tabela10[[#This Row],[ERP]]/Tabela10[[#This Row],[M² Da chapa]]</f>
        <v/>
      </c>
      <c r="K145" s="170">
        <f>Tabela10[[#This Row],[M² CHAPAS]]-Tabela10[[#This Row],[ERP]]</f>
        <v/>
      </c>
      <c r="L145" s="170">
        <f>Tabela10[[#This Row],[DIFERENÇA M²]]/Tabela10[[#This Row],[M² Da chapa]]</f>
        <v/>
      </c>
    </row>
    <row r="146">
      <c r="A146" s="6" t="inlineStr">
        <is>
          <t>-</t>
        </is>
      </c>
      <c r="B146" s="8" t="inlineStr">
        <is>
          <t>N2508002 | 03 | 04</t>
        </is>
      </c>
      <c r="C146" s="56">
        <f>VLOOKUP(LEFT(B146,1),Tabela5[],2,0)</f>
        <v/>
      </c>
      <c r="D146" s="57" t="inlineStr">
        <is>
          <t>MDF - 15MM</t>
        </is>
      </c>
      <c r="E146" s="170">
        <f>VLOOKUP(Tabela10[[#This Row],[Tipo de Chapa]],Tabela11[],2,FALSE)</f>
        <v/>
      </c>
      <c r="F146" s="169" t="n">
        <v>410</v>
      </c>
      <c r="G146" s="152" t="n"/>
      <c r="H146" s="170">
        <f>Tabela10[[#This Row],[M² Da chapa]]*Tabela10[[#This Row],[Qtde Chapas
Liberadas]]</f>
        <v/>
      </c>
      <c r="J146" s="59">
        <f>Tabela10[[#This Row],[ERP]]/Tabela10[[#This Row],[M² Da chapa]]</f>
        <v/>
      </c>
      <c r="K146" s="170">
        <f>Tabela10[[#This Row],[M² CHAPAS]]-Tabela10[[#This Row],[ERP]]</f>
        <v/>
      </c>
      <c r="L146" s="170">
        <f>Tabela10[[#This Row],[DIFERENÇA M²]]/Tabela10[[#This Row],[M² Da chapa]]</f>
        <v/>
      </c>
    </row>
    <row r="147">
      <c r="A147" s="6" t="inlineStr">
        <is>
          <t>-</t>
        </is>
      </c>
      <c r="B147" s="8" t="inlineStr">
        <is>
          <t>N25077</t>
        </is>
      </c>
      <c r="C147" s="56">
        <f>VLOOKUP(LEFT(B147,1),Tabela5[],2,0)</f>
        <v/>
      </c>
      <c r="D147" s="57" t="inlineStr">
        <is>
          <t>EUCADUR NT - 2,5MM</t>
        </is>
      </c>
      <c r="E147" s="170">
        <f>VLOOKUP(Tabela10[[#This Row],[Tipo de Chapa]],Tabela11[],2,FALSE)</f>
        <v/>
      </c>
      <c r="F147" s="169" t="n">
        <v>385</v>
      </c>
      <c r="G147" s="152" t="n"/>
      <c r="H147" s="170">
        <f>Tabela10[[#This Row],[M² Da chapa]]*Tabela10[[#This Row],[Qtde Chapas
Liberadas]]</f>
        <v/>
      </c>
      <c r="J147" s="59">
        <f>Tabela10[[#This Row],[ERP]]/Tabela10[[#This Row],[M² Da chapa]]</f>
        <v/>
      </c>
      <c r="K147" s="170">
        <f>Tabela10[[#This Row],[M² CHAPAS]]-Tabela10[[#This Row],[ERP]]</f>
        <v/>
      </c>
      <c r="L147" s="170">
        <f>Tabela10[[#This Row],[DIFERENÇA M²]]/Tabela10[[#This Row],[M² Da chapa]]</f>
        <v/>
      </c>
    </row>
    <row r="148">
      <c r="A148" s="6" t="inlineStr">
        <is>
          <t>-</t>
        </is>
      </c>
      <c r="B148" s="8" t="inlineStr">
        <is>
          <t xml:space="preserve">N2508201 </t>
        </is>
      </c>
      <c r="C148" s="56">
        <f>VLOOKUP(LEFT(B148,1),Tabela5[],2,0)</f>
        <v/>
      </c>
      <c r="D148" s="57" t="inlineStr">
        <is>
          <t>EUCADUR FRJ - 2,5MM</t>
        </is>
      </c>
      <c r="E148" s="170">
        <f>VLOOKUP(Tabela10[[#This Row],[Tipo de Chapa]],Tabela11[],2,FALSE)</f>
        <v/>
      </c>
      <c r="F148" s="169" t="n">
        <v>101</v>
      </c>
      <c r="G148" s="152" t="n"/>
      <c r="H148" s="170">
        <f>Tabela10[[#This Row],[M² Da chapa]]*Tabela10[[#This Row],[Qtde Chapas
Liberadas]]</f>
        <v/>
      </c>
      <c r="J148" s="59">
        <f>Tabela10[[#This Row],[ERP]]/Tabela10[[#This Row],[M² Da chapa]]</f>
        <v/>
      </c>
      <c r="K148" s="170">
        <f>Tabela10[[#This Row],[M² CHAPAS]]-Tabela10[[#This Row],[ERP]]</f>
        <v/>
      </c>
      <c r="L148" s="170">
        <f>Tabela10[[#This Row],[DIFERENÇA M²]]/Tabela10[[#This Row],[M² Da chapa]]</f>
        <v/>
      </c>
    </row>
    <row r="149">
      <c r="A149" s="6" t="inlineStr">
        <is>
          <t>-</t>
        </is>
      </c>
      <c r="B149" s="8" t="inlineStr">
        <is>
          <t>N2507901 | N2508002 - 8004</t>
        </is>
      </c>
      <c r="C149" s="56">
        <f>VLOOKUP(LEFT(B149,1),Tabela5[],2,0)</f>
        <v/>
      </c>
      <c r="D149" s="57" t="inlineStr">
        <is>
          <t>EUCADUR NT - 2,5MM</t>
        </is>
      </c>
      <c r="E149" s="170">
        <f>VLOOKUP(Tabela10[[#This Row],[Tipo de Chapa]],Tabela11[],2,FALSE)</f>
        <v/>
      </c>
      <c r="F149" s="169" t="n">
        <v>297</v>
      </c>
      <c r="G149" s="152" t="n"/>
      <c r="H149" s="170">
        <f>Tabela10[[#This Row],[M² Da chapa]]*Tabela10[[#This Row],[Qtde Chapas
Liberadas]]</f>
        <v/>
      </c>
      <c r="J149" s="59">
        <f>Tabela10[[#This Row],[ERP]]/Tabela10[[#This Row],[M² Da chapa]]</f>
        <v/>
      </c>
      <c r="K149" s="170">
        <f>Tabela10[[#This Row],[M² CHAPAS]]-Tabela10[[#This Row],[ERP]]</f>
        <v/>
      </c>
      <c r="L149" s="170">
        <f>Tabela10[[#This Row],[DIFERENÇA M²]]/Tabela10[[#This Row],[M² Da chapa]]</f>
        <v/>
      </c>
    </row>
    <row r="150">
      <c r="A150" s="6" t="inlineStr">
        <is>
          <t>-</t>
        </is>
      </c>
      <c r="B150" s="8" t="inlineStr">
        <is>
          <t>N2507704</t>
        </is>
      </c>
      <c r="C150" s="56">
        <f>VLOOKUP(LEFT(B150,1),Tabela5[],2,0)</f>
        <v/>
      </c>
      <c r="D150" s="57" t="inlineStr">
        <is>
          <t>MDF - 15MM</t>
        </is>
      </c>
      <c r="E150" s="170">
        <f>VLOOKUP(Tabela10[[#This Row],[Tipo de Chapa]],Tabela11[],2,FALSE)</f>
        <v/>
      </c>
      <c r="F150" s="169" t="n">
        <v>239</v>
      </c>
      <c r="G150" s="152" t="n"/>
      <c r="H150" s="170">
        <f>Tabela10[[#This Row],[M² Da chapa]]*Tabela10[[#This Row],[Qtde Chapas
Liberadas]]</f>
        <v/>
      </c>
      <c r="J150" s="59">
        <f>Tabela10[[#This Row],[ERP]]/Tabela10[[#This Row],[M² Da chapa]]</f>
        <v/>
      </c>
      <c r="K150" s="170">
        <f>Tabela10[[#This Row],[M² CHAPAS]]-Tabela10[[#This Row],[ERP]]</f>
        <v/>
      </c>
      <c r="L150" s="170">
        <f>Tabela10[[#This Row],[DIFERENÇA M²]]/Tabela10[[#This Row],[M² Da chapa]]</f>
        <v/>
      </c>
    </row>
    <row r="151">
      <c r="A151" s="6" t="inlineStr">
        <is>
          <t>-</t>
        </is>
      </c>
      <c r="B151" s="8" t="inlineStr">
        <is>
          <t>N2507706</t>
        </is>
      </c>
      <c r="C151" s="56">
        <f>VLOOKUP(LEFT(B151,1),Tabela5[],2,0)</f>
        <v/>
      </c>
      <c r="D151" s="57" t="inlineStr">
        <is>
          <t>MDF - 15MM</t>
        </is>
      </c>
      <c r="E151" s="170">
        <f>VLOOKUP(Tabela10[[#This Row],[Tipo de Chapa]],Tabela11[],2,FALSE)</f>
        <v/>
      </c>
      <c r="F151" s="169" t="n">
        <v>320</v>
      </c>
      <c r="G151" s="152" t="n"/>
      <c r="H151" s="170">
        <f>Tabela10[[#This Row],[M² Da chapa]]*Tabela10[[#This Row],[Qtde Chapas
Liberadas]]</f>
        <v/>
      </c>
      <c r="J151" s="59">
        <f>Tabela10[[#This Row],[ERP]]/Tabela10[[#This Row],[M² Da chapa]]</f>
        <v/>
      </c>
      <c r="K151" s="170">
        <f>Tabela10[[#This Row],[M² CHAPAS]]-Tabela10[[#This Row],[ERP]]</f>
        <v/>
      </c>
      <c r="L151" s="170">
        <f>Tabela10[[#This Row],[DIFERENÇA M²]]/Tabela10[[#This Row],[M² Da chapa]]</f>
        <v/>
      </c>
    </row>
    <row r="152">
      <c r="A152" s="6" t="inlineStr">
        <is>
          <t>-</t>
        </is>
      </c>
      <c r="B152" s="8" t="inlineStr">
        <is>
          <t>N2507801</t>
        </is>
      </c>
      <c r="C152" s="56">
        <f>VLOOKUP(LEFT(B152,1),Tabela5[],2,0)</f>
        <v/>
      </c>
      <c r="D152" s="57" t="inlineStr">
        <is>
          <t>MDF - 15MM</t>
        </is>
      </c>
      <c r="E152" s="170">
        <f>VLOOKUP(Tabela10[[#This Row],[Tipo de Chapa]],Tabela11[],2,FALSE)</f>
        <v/>
      </c>
      <c r="F152" s="169" t="n">
        <v>203</v>
      </c>
      <c r="G152" s="152" t="n"/>
      <c r="H152" s="170">
        <f>Tabela10[[#This Row],[M² Da chapa]]*Tabela10[[#This Row],[Qtde Chapas
Liberadas]]</f>
        <v/>
      </c>
      <c r="J152" s="59">
        <f>Tabela10[[#This Row],[ERP]]/Tabela10[[#This Row],[M² Da chapa]]</f>
        <v/>
      </c>
      <c r="K152" s="170">
        <f>Tabela10[[#This Row],[M² CHAPAS]]-Tabela10[[#This Row],[ERP]]</f>
        <v/>
      </c>
      <c r="L152" s="170">
        <f>Tabela10[[#This Row],[DIFERENÇA M²]]/Tabela10[[#This Row],[M² Da chapa]]</f>
        <v/>
      </c>
    </row>
    <row r="153">
      <c r="A153" s="6" t="inlineStr">
        <is>
          <t>-</t>
        </is>
      </c>
      <c r="B153" s="8" t="inlineStr">
        <is>
          <t>N2507802</t>
        </is>
      </c>
      <c r="C153" s="56">
        <f>VLOOKUP(LEFT(B153,1),Tabela5[],2,0)</f>
        <v/>
      </c>
      <c r="D153" s="57" t="inlineStr">
        <is>
          <t>MDF - 15MM</t>
        </is>
      </c>
      <c r="E153" s="170">
        <f>VLOOKUP(Tabela10[[#This Row],[Tipo de Chapa]],Tabela11[],2,FALSE)</f>
        <v/>
      </c>
      <c r="F153" s="169" t="n">
        <v>137</v>
      </c>
      <c r="G153" s="152" t="n"/>
      <c r="H153" s="170">
        <f>Tabela10[[#This Row],[M² Da chapa]]*Tabela10[[#This Row],[Qtde Chapas
Liberadas]]</f>
        <v/>
      </c>
      <c r="J153" s="59">
        <f>Tabela10[[#This Row],[ERP]]/Tabela10[[#This Row],[M² Da chapa]]</f>
        <v/>
      </c>
      <c r="K153" s="170">
        <f>Tabela10[[#This Row],[M² CHAPAS]]-Tabela10[[#This Row],[ERP]]</f>
        <v/>
      </c>
      <c r="L153" s="170">
        <f>Tabela10[[#This Row],[DIFERENÇA M²]]/Tabela10[[#This Row],[M² Da chapa]]</f>
        <v/>
      </c>
    </row>
    <row r="154">
      <c r="A154" s="6" t="inlineStr">
        <is>
          <t>-</t>
        </is>
      </c>
      <c r="B154" s="8" t="inlineStr">
        <is>
          <t>N2507803</t>
        </is>
      </c>
      <c r="C154" s="56">
        <f>VLOOKUP(LEFT(B154,1),Tabela5[],2,0)</f>
        <v/>
      </c>
      <c r="D154" s="57" t="inlineStr">
        <is>
          <t>MDF - 15MM</t>
        </is>
      </c>
      <c r="E154" s="170">
        <f>VLOOKUP(Tabela10[[#This Row],[Tipo de Chapa]],Tabela11[],2,FALSE)</f>
        <v/>
      </c>
      <c r="F154" s="169" t="n">
        <v>377</v>
      </c>
      <c r="G154" s="152" t="n"/>
      <c r="H154" s="170">
        <f>Tabela10[[#This Row],[M² Da chapa]]*Tabela10[[#This Row],[Qtde Chapas
Liberadas]]</f>
        <v/>
      </c>
      <c r="J154" s="59">
        <f>Tabela10[[#This Row],[ERP]]/Tabela10[[#This Row],[M² Da chapa]]</f>
        <v/>
      </c>
      <c r="K154" s="170">
        <f>Tabela10[[#This Row],[M² CHAPAS]]-Tabela10[[#This Row],[ERP]]</f>
        <v/>
      </c>
      <c r="L154" s="170">
        <f>Tabela10[[#This Row],[DIFERENÇA M²]]/Tabela10[[#This Row],[M² Da chapa]]</f>
        <v/>
      </c>
    </row>
    <row r="155">
      <c r="A155" s="6" t="inlineStr">
        <is>
          <t>-</t>
        </is>
      </c>
      <c r="B155" s="8" t="inlineStr">
        <is>
          <t>N25078</t>
        </is>
      </c>
      <c r="C155" s="56">
        <f>VLOOKUP(LEFT(B155,1),Tabela5[],2,0)</f>
        <v/>
      </c>
      <c r="D155" s="57" t="inlineStr">
        <is>
          <t>EUCADUR FRJ - 2,5MM</t>
        </is>
      </c>
      <c r="E155" s="170">
        <f>VLOOKUP(Tabela10[[#This Row],[Tipo de Chapa]],Tabela11[],2,FALSE)</f>
        <v/>
      </c>
      <c r="F155" s="169" t="n">
        <v>215</v>
      </c>
      <c r="G155" s="152" t="n"/>
      <c r="H155" s="170">
        <f>Tabela10[[#This Row],[M² Da chapa]]*Tabela10[[#This Row],[Qtde Chapas
Liberadas]]</f>
        <v/>
      </c>
      <c r="J155" s="59">
        <f>Tabela10[[#This Row],[ERP]]/Tabela10[[#This Row],[M² Da chapa]]</f>
        <v/>
      </c>
      <c r="K155" s="170">
        <f>Tabela10[[#This Row],[M² CHAPAS]]-Tabela10[[#This Row],[ERP]]</f>
        <v/>
      </c>
      <c r="L155" s="170">
        <f>Tabela10[[#This Row],[DIFERENÇA M²]]/Tabela10[[#This Row],[M² Da chapa]]</f>
        <v/>
      </c>
    </row>
    <row r="156" hidden="1">
      <c r="A156" s="6" t="inlineStr">
        <is>
          <t>-</t>
        </is>
      </c>
      <c r="B156" s="8" t="inlineStr">
        <is>
          <t>L2505402</t>
        </is>
      </c>
      <c r="C156" s="56">
        <f>VLOOKUP(LEFT(B156,1),Tabela5[],2,0)</f>
        <v/>
      </c>
      <c r="D156" s="57" t="inlineStr">
        <is>
          <t>EUCADUR FRJ - 2,5MM</t>
        </is>
      </c>
      <c r="E156" s="170">
        <f>VLOOKUP(Tabela10[[#This Row],[Tipo de Chapa]],Tabela11[],2,FALSE)</f>
        <v/>
      </c>
      <c r="F156" s="169" t="n">
        <v>162</v>
      </c>
      <c r="G156" s="152" t="n"/>
      <c r="H156" s="170">
        <f>Tabela10[[#This Row],[M² Da chapa]]*Tabela10[[#This Row],[Qtde Chapas
Liberadas]]</f>
        <v/>
      </c>
      <c r="J156" s="59">
        <f>Tabela10[[#This Row],[ERP]]/Tabela10[[#This Row],[M² Da chapa]]</f>
        <v/>
      </c>
      <c r="K156" s="170">
        <f>Tabela10[[#This Row],[M² CHAPAS]]-Tabela10[[#This Row],[ERP]]</f>
        <v/>
      </c>
      <c r="L156" s="170">
        <f>Tabela10[[#This Row],[DIFERENÇA M²]]/Tabela10[[#This Row],[M² Da chapa]]</f>
        <v/>
      </c>
    </row>
    <row r="157">
      <c r="A157" s="6" t="inlineStr">
        <is>
          <t>-</t>
        </is>
      </c>
      <c r="B157" s="8" t="inlineStr">
        <is>
          <t>N2508002</t>
        </is>
      </c>
      <c r="C157" s="56">
        <f>VLOOKUP(LEFT(B157,1),Tabela5[],2,0)</f>
        <v/>
      </c>
      <c r="D157" s="57" t="inlineStr">
        <is>
          <t>MDF - 25MM 2750x2200</t>
        </is>
      </c>
      <c r="E157" s="170">
        <f>VLOOKUP(Tabela10[[#This Row],[Tipo de Chapa]],Tabela11[],2,FALSE)</f>
        <v/>
      </c>
      <c r="F157" s="169" t="n">
        <v>42</v>
      </c>
      <c r="G157" s="152" t="n"/>
      <c r="H157" s="170">
        <f>Tabela10[[#This Row],[M² Da chapa]]*Tabela10[[#This Row],[Qtde Chapas
Liberadas]]</f>
        <v/>
      </c>
      <c r="J157" s="59">
        <f>Tabela10[[#This Row],[ERP]]/Tabela10[[#This Row],[M² Da chapa]]</f>
        <v/>
      </c>
      <c r="K157" s="170">
        <f>Tabela10[[#This Row],[M² CHAPAS]]-Tabela10[[#This Row],[ERP]]</f>
        <v/>
      </c>
      <c r="L157" s="170">
        <f>Tabela10[[#This Row],[DIFERENÇA M²]]/Tabela10[[#This Row],[M² Da chapa]]</f>
        <v/>
      </c>
    </row>
    <row r="158">
      <c r="A158" s="6" t="inlineStr">
        <is>
          <t>-</t>
        </is>
      </c>
      <c r="B158" s="8" t="inlineStr">
        <is>
          <t>N2508003</t>
        </is>
      </c>
      <c r="C158" s="56">
        <f>VLOOKUP(LEFT(B158,1),Tabela5[],2,0)</f>
        <v/>
      </c>
      <c r="D158" s="57" t="inlineStr">
        <is>
          <t>MDF - 9MM</t>
        </is>
      </c>
      <c r="E158" s="170">
        <f>VLOOKUP(Tabela10[[#This Row],[Tipo de Chapa]],Tabela11[],2,FALSE)</f>
        <v/>
      </c>
      <c r="F158" s="169" t="n">
        <v>19</v>
      </c>
      <c r="G158" s="152" t="n"/>
      <c r="H158" s="170">
        <f>Tabela10[[#This Row],[M² Da chapa]]*Tabela10[[#This Row],[Qtde Chapas
Liberadas]]</f>
        <v/>
      </c>
      <c r="J158" s="59">
        <f>Tabela10[[#This Row],[ERP]]/Tabela10[[#This Row],[M² Da chapa]]</f>
        <v/>
      </c>
      <c r="K158" s="170">
        <f>Tabela10[[#This Row],[M² CHAPAS]]-Tabela10[[#This Row],[ERP]]</f>
        <v/>
      </c>
      <c r="L158" s="170">
        <f>Tabela10[[#This Row],[DIFERENÇA M²]]/Tabela10[[#This Row],[M² Da chapa]]</f>
        <v/>
      </c>
    </row>
    <row r="159">
      <c r="A159" s="6" t="inlineStr">
        <is>
          <t>-</t>
        </is>
      </c>
      <c r="B159" s="8" t="inlineStr">
        <is>
          <t>N2507804</t>
        </is>
      </c>
      <c r="C159" s="56">
        <f>VLOOKUP(LEFT(B159,1),Tabela5[],2,0)</f>
        <v/>
      </c>
      <c r="D159" s="57" t="inlineStr">
        <is>
          <t>MDF - 15MM</t>
        </is>
      </c>
      <c r="E159" s="170">
        <f>VLOOKUP(Tabela10[[#This Row],[Tipo de Chapa]],Tabela11[],2,FALSE)</f>
        <v/>
      </c>
      <c r="F159" s="169" t="n">
        <v>352</v>
      </c>
      <c r="G159" s="152" t="n"/>
      <c r="H159" s="170">
        <f>Tabela10[[#This Row],[M² Da chapa]]*Tabela10[[#This Row],[Qtde Chapas
Liberadas]]</f>
        <v/>
      </c>
      <c r="J159" s="59">
        <f>Tabela10[[#This Row],[ERP]]/Tabela10[[#This Row],[M² Da chapa]]</f>
        <v/>
      </c>
      <c r="K159" s="170">
        <f>Tabela10[[#This Row],[M² CHAPAS]]-Tabela10[[#This Row],[ERP]]</f>
        <v/>
      </c>
      <c r="L159" s="170">
        <f>Tabela10[[#This Row],[DIFERENÇA M²]]/Tabela10[[#This Row],[M² Da chapa]]</f>
        <v/>
      </c>
    </row>
    <row r="160">
      <c r="A160" s="6" t="inlineStr">
        <is>
          <t>-</t>
        </is>
      </c>
      <c r="B160" s="8" t="inlineStr">
        <is>
          <t>N2507902</t>
        </is>
      </c>
      <c r="C160" s="56">
        <f>VLOOKUP(LEFT(B160,1),Tabela5[],2,0)</f>
        <v/>
      </c>
      <c r="D160" s="57" t="inlineStr">
        <is>
          <t>MDF - 15MM</t>
        </is>
      </c>
      <c r="E160" s="170">
        <f>VLOOKUP(Tabela10[[#This Row],[Tipo de Chapa]],Tabela11[],2,FALSE)</f>
        <v/>
      </c>
      <c r="F160" s="169" t="n">
        <v>59</v>
      </c>
      <c r="G160" s="152" t="n"/>
      <c r="H160" s="170">
        <f>Tabela10[[#This Row],[M² Da chapa]]*Tabela10[[#This Row],[Qtde Chapas
Liberadas]]</f>
        <v/>
      </c>
      <c r="J160" s="59">
        <f>Tabela10[[#This Row],[ERP]]/Tabela10[[#This Row],[M² Da chapa]]</f>
        <v/>
      </c>
      <c r="K160" s="170">
        <f>Tabela10[[#This Row],[M² CHAPAS]]-Tabela10[[#This Row],[ERP]]</f>
        <v/>
      </c>
      <c r="L160" s="170">
        <f>Tabela10[[#This Row],[DIFERENÇA M²]]/Tabela10[[#This Row],[M² Da chapa]]</f>
        <v/>
      </c>
    </row>
    <row r="161">
      <c r="A161" s="6" t="inlineStr">
        <is>
          <t>-</t>
        </is>
      </c>
      <c r="B161" s="8" t="inlineStr">
        <is>
          <t>N2507904</t>
        </is>
      </c>
      <c r="C161" s="56">
        <f>VLOOKUP(LEFT(B161,1),Tabela5[],2,0)</f>
        <v/>
      </c>
      <c r="D161" s="57" t="inlineStr">
        <is>
          <t>MDF - 15MM</t>
        </is>
      </c>
      <c r="E161" s="170">
        <f>VLOOKUP(Tabela10[[#This Row],[Tipo de Chapa]],Tabela11[],2,FALSE)</f>
        <v/>
      </c>
      <c r="F161" s="169" t="n">
        <v>58</v>
      </c>
      <c r="G161" s="152" t="n"/>
      <c r="H161" s="170">
        <f>Tabela10[[#This Row],[M² Da chapa]]*Tabela10[[#This Row],[Qtde Chapas
Liberadas]]</f>
        <v/>
      </c>
      <c r="J161" s="59">
        <f>Tabela10[[#This Row],[ERP]]/Tabela10[[#This Row],[M² Da chapa]]</f>
        <v/>
      </c>
      <c r="K161" s="170">
        <f>Tabela10[[#This Row],[M² CHAPAS]]-Tabela10[[#This Row],[ERP]]</f>
        <v/>
      </c>
      <c r="L161" s="170">
        <f>Tabela10[[#This Row],[DIFERENÇA M²]]/Tabela10[[#This Row],[M² Da chapa]]</f>
        <v/>
      </c>
    </row>
    <row r="162">
      <c r="A162" s="6" t="inlineStr">
        <is>
          <t>-</t>
        </is>
      </c>
      <c r="B162" s="8" t="inlineStr">
        <is>
          <t>N2507804</t>
        </is>
      </c>
      <c r="C162" s="56">
        <f>VLOOKUP(LEFT(B162,1),Tabela5[],2,0)</f>
        <v/>
      </c>
      <c r="D162" s="57" t="inlineStr">
        <is>
          <t>EUCADUR NT - 2,5MM</t>
        </is>
      </c>
      <c r="E162" s="170">
        <f>VLOOKUP(Tabela10[[#This Row],[Tipo de Chapa]],Tabela11[],2,FALSE)</f>
        <v/>
      </c>
      <c r="F162" s="169" t="n">
        <v>268</v>
      </c>
      <c r="G162" s="152" t="n"/>
      <c r="H162" s="170">
        <f>Tabela10[[#This Row],[M² Da chapa]]*Tabela10[[#This Row],[Qtde Chapas
Liberadas]]</f>
        <v/>
      </c>
      <c r="J162" s="59">
        <f>Tabela10[[#This Row],[ERP]]/Tabela10[[#This Row],[M² Da chapa]]</f>
        <v/>
      </c>
      <c r="K162" s="170">
        <f>Tabela10[[#This Row],[M² CHAPAS]]-Tabela10[[#This Row],[ERP]]</f>
        <v/>
      </c>
      <c r="L162" s="170">
        <f>Tabela10[[#This Row],[DIFERENÇA M²]]/Tabela10[[#This Row],[M² Da chapa]]</f>
        <v/>
      </c>
    </row>
    <row r="163">
      <c r="A163" s="6" t="inlineStr">
        <is>
          <t>-</t>
        </is>
      </c>
      <c r="B163" s="8" t="inlineStr">
        <is>
          <t>N2507902|03|04|05</t>
        </is>
      </c>
      <c r="C163" s="56">
        <f>VLOOKUP(LEFT(B163,1),Tabela5[],2,0)</f>
        <v/>
      </c>
      <c r="D163" s="57" t="inlineStr">
        <is>
          <t>EUCADUR NT - 2,5MM</t>
        </is>
      </c>
      <c r="E163" s="170">
        <f>VLOOKUP(Tabela10[[#This Row],[Tipo de Chapa]],Tabela11[],2,FALSE)</f>
        <v/>
      </c>
      <c r="F163" s="169">
        <f>350-268</f>
        <v/>
      </c>
      <c r="G163" s="152" t="n"/>
      <c r="H163" s="170">
        <f>Tabela10[[#This Row],[M² Da chapa]]*Tabela10[[#This Row],[Qtde Chapas
Liberadas]]</f>
        <v/>
      </c>
      <c r="J163" s="59">
        <f>Tabela10[[#This Row],[ERP]]/Tabela10[[#This Row],[M² Da chapa]]</f>
        <v/>
      </c>
      <c r="K163" s="170">
        <f>Tabela10[[#This Row],[M² CHAPAS]]-Tabela10[[#This Row],[ERP]]</f>
        <v/>
      </c>
      <c r="L163" s="170">
        <f>Tabela10[[#This Row],[DIFERENÇA M²]]/Tabela10[[#This Row],[M² Da chapa]]</f>
        <v/>
      </c>
    </row>
    <row r="164">
      <c r="A164" s="6" t="inlineStr">
        <is>
          <t>-</t>
        </is>
      </c>
      <c r="B164" s="8" t="inlineStr">
        <is>
          <t>N2507903</t>
        </is>
      </c>
      <c r="C164" s="56">
        <f>VLOOKUP(LEFT(B164,1),Tabela5[],2,0)</f>
        <v/>
      </c>
      <c r="D164" s="57" t="inlineStr">
        <is>
          <t>MDF - 15MM</t>
        </is>
      </c>
      <c r="E164" s="170">
        <f>VLOOKUP(Tabela10[[#This Row],[Tipo de Chapa]],Tabela11[],2,FALSE)</f>
        <v/>
      </c>
      <c r="F164" s="169" t="n">
        <v>216</v>
      </c>
      <c r="G164" s="152" t="n"/>
      <c r="H164" s="170">
        <f>Tabela10[[#This Row],[M² Da chapa]]*Tabela10[[#This Row],[Qtde Chapas
Liberadas]]</f>
        <v/>
      </c>
      <c r="J164" s="59">
        <f>Tabela10[[#This Row],[ERP]]/Tabela10[[#This Row],[M² Da chapa]]</f>
        <v/>
      </c>
      <c r="K164" s="170">
        <f>Tabela10[[#This Row],[M² CHAPAS]]-Tabela10[[#This Row],[ERP]]</f>
        <v/>
      </c>
      <c r="L164" s="170">
        <f>Tabela10[[#This Row],[DIFERENÇA M²]]/Tabela10[[#This Row],[M² Da chapa]]</f>
        <v/>
      </c>
    </row>
    <row r="165">
      <c r="A165" s="6" t="inlineStr">
        <is>
          <t>-</t>
        </is>
      </c>
      <c r="B165" s="8" t="inlineStr">
        <is>
          <t>N2507905</t>
        </is>
      </c>
      <c r="C165" s="56">
        <f>VLOOKUP(LEFT(B165,1),Tabela5[],2,0)</f>
        <v/>
      </c>
      <c r="D165" s="57" t="inlineStr">
        <is>
          <t>MDF - 15MM</t>
        </is>
      </c>
      <c r="E165" s="170">
        <f>VLOOKUP(Tabela10[[#This Row],[Tipo de Chapa]],Tabela11[],2,FALSE)</f>
        <v/>
      </c>
      <c r="F165" s="169" t="n">
        <v>318</v>
      </c>
      <c r="G165" s="152" t="n"/>
      <c r="H165" s="170">
        <f>Tabela10[[#This Row],[M² Da chapa]]*Tabela10[[#This Row],[Qtde Chapas
Liberadas]]</f>
        <v/>
      </c>
      <c r="J165" s="59">
        <f>Tabela10[[#This Row],[ERP]]/Tabela10[[#This Row],[M² Da chapa]]</f>
        <v/>
      </c>
      <c r="K165" s="170">
        <f>Tabela10[[#This Row],[M² CHAPAS]]-Tabela10[[#This Row],[ERP]]</f>
        <v/>
      </c>
      <c r="L165" s="170">
        <f>Tabela10[[#This Row],[DIFERENÇA M²]]/Tabela10[[#This Row],[M² Da chapa]]</f>
        <v/>
      </c>
    </row>
    <row r="166">
      <c r="A166" s="6" t="inlineStr">
        <is>
          <t>-</t>
        </is>
      </c>
      <c r="B166" s="8" t="inlineStr">
        <is>
          <t>N2508001</t>
        </is>
      </c>
      <c r="C166" s="56">
        <f>VLOOKUP(LEFT(B166,1),Tabela5[],2,0)</f>
        <v/>
      </c>
      <c r="D166" s="57" t="inlineStr">
        <is>
          <t>MDF - 15MM</t>
        </is>
      </c>
      <c r="E166" s="170">
        <f>VLOOKUP(Tabela10[[#This Row],[Tipo de Chapa]],Tabela11[],2,FALSE)</f>
        <v/>
      </c>
      <c r="F166" s="169" t="n">
        <v>163</v>
      </c>
      <c r="G166" s="152" t="n"/>
      <c r="H166" s="170">
        <f>Tabela10[[#This Row],[M² Da chapa]]*Tabela10[[#This Row],[Qtde Chapas
Liberadas]]</f>
        <v/>
      </c>
      <c r="J166" s="59">
        <f>Tabela10[[#This Row],[ERP]]/Tabela10[[#This Row],[M² Da chapa]]</f>
        <v/>
      </c>
      <c r="K166" s="170">
        <f>Tabela10[[#This Row],[M² CHAPAS]]-Tabela10[[#This Row],[ERP]]</f>
        <v/>
      </c>
      <c r="L166" s="170">
        <f>Tabela10[[#This Row],[DIFERENÇA M²]]/Tabela10[[#This Row],[M² Da chapa]]</f>
        <v/>
      </c>
    </row>
    <row r="167">
      <c r="A167" s="6" t="inlineStr">
        <is>
          <t>-</t>
        </is>
      </c>
      <c r="B167" s="8" t="inlineStr">
        <is>
          <t>N2508101</t>
        </is>
      </c>
      <c r="C167" s="56">
        <f>VLOOKUP(LEFT(B167,1),Tabela5[],2,0)</f>
        <v/>
      </c>
      <c r="D167" s="57" t="inlineStr">
        <is>
          <t>MDF - 15MM</t>
        </is>
      </c>
      <c r="E167" s="170">
        <f>VLOOKUP(Tabela10[[#This Row],[Tipo de Chapa]],Tabela11[],2,FALSE)</f>
        <v/>
      </c>
      <c r="F167" s="169" t="n">
        <v>137</v>
      </c>
      <c r="G167" s="152" t="n"/>
      <c r="H167" s="170">
        <f>Tabela10[[#This Row],[M² Da chapa]]*Tabela10[[#This Row],[Qtde Chapas
Liberadas]]</f>
        <v/>
      </c>
      <c r="I167" s="170" t="n">
        <v>653.7011</v>
      </c>
      <c r="J167" s="59">
        <f>Tabela10[[#This Row],[ERP]]/Tabela10[[#This Row],[M² Da chapa]]</f>
        <v/>
      </c>
      <c r="K167" s="170">
        <f>Tabela10[[#This Row],[M² CHAPAS]]-Tabela10[[#This Row],[ERP]]</f>
        <v/>
      </c>
      <c r="L167" s="170">
        <f>Tabela10[[#This Row],[DIFERENÇA M²]]/Tabela10[[#This Row],[M² Da chapa]]</f>
        <v/>
      </c>
    </row>
    <row r="168" hidden="1">
      <c r="A168" s="6" t="inlineStr">
        <is>
          <t>-</t>
        </is>
      </c>
      <c r="B168" s="8" t="inlineStr">
        <is>
          <t>L25055</t>
        </is>
      </c>
      <c r="C168" s="56">
        <f>VLOOKUP(LEFT(B168,1),Tabela5[],2,0)</f>
        <v/>
      </c>
      <c r="D168" s="57" t="inlineStr">
        <is>
          <t>EUCADUR NT - 2,5MM</t>
        </is>
      </c>
      <c r="E168" s="170">
        <f>VLOOKUP(Tabela10[[#This Row],[Tipo de Chapa]],Tabela11[],2,FALSE)</f>
        <v/>
      </c>
      <c r="F168" s="169" t="n">
        <v>225</v>
      </c>
      <c r="G168" s="152" t="n"/>
      <c r="H168" s="170">
        <f>Tabela10[[#This Row],[M² Da chapa]]*Tabela10[[#This Row],[Qtde Chapas
Liberadas]]</f>
        <v/>
      </c>
      <c r="J168" s="59">
        <f>Tabela10[[#This Row],[ERP]]/Tabela10[[#This Row],[M² Da chapa]]</f>
        <v/>
      </c>
      <c r="K168" s="170">
        <f>Tabela10[[#This Row],[M² CHAPAS]]-Tabela10[[#This Row],[ERP]]</f>
        <v/>
      </c>
      <c r="L168" s="170">
        <f>Tabela10[[#This Row],[DIFERENÇA M²]]/Tabela10[[#This Row],[M² Da chapa]]</f>
        <v/>
      </c>
    </row>
    <row r="169" hidden="1">
      <c r="A169" s="6" t="inlineStr">
        <is>
          <t>-</t>
        </is>
      </c>
      <c r="B169" s="8" t="inlineStr">
        <is>
          <t>L2505701|02|03</t>
        </is>
      </c>
      <c r="C169" s="56">
        <f>VLOOKUP(LEFT(B169,1),Tabela5[],2,0)</f>
        <v/>
      </c>
      <c r="D169" s="57" t="inlineStr">
        <is>
          <t>EUCADUR NT - 2,5MM</t>
        </is>
      </c>
      <c r="E169" s="170">
        <f>VLOOKUP(Tabela10[[#This Row],[Tipo de Chapa]],Tabela11[],2,FALSE)</f>
        <v/>
      </c>
      <c r="F169" s="169" t="n">
        <v>271</v>
      </c>
      <c r="G169" s="152" t="n"/>
      <c r="H169" s="170">
        <f>Tabela10[[#This Row],[M² Da chapa]]*Tabela10[[#This Row],[Qtde Chapas
Liberadas]]</f>
        <v/>
      </c>
      <c r="J169" s="59">
        <f>Tabela10[[#This Row],[ERP]]/Tabela10[[#This Row],[M² Da chapa]]</f>
        <v/>
      </c>
      <c r="K169" s="170">
        <f>Tabela10[[#This Row],[M² CHAPAS]]-Tabela10[[#This Row],[ERP]]</f>
        <v/>
      </c>
      <c r="L169" s="170">
        <f>Tabela10[[#This Row],[DIFERENÇA M²]]/Tabela10[[#This Row],[M² Da chapa]]</f>
        <v/>
      </c>
    </row>
    <row r="170">
      <c r="A170" s="6" t="inlineStr">
        <is>
          <t>-</t>
        </is>
      </c>
      <c r="B170" s="8" t="inlineStr">
        <is>
          <t>N2508202</t>
        </is>
      </c>
      <c r="C170" s="56">
        <f>VLOOKUP(LEFT(B170,1),Tabela5[],2,0)</f>
        <v/>
      </c>
      <c r="D170" s="57" t="inlineStr">
        <is>
          <t>MDF - 15MM</t>
        </is>
      </c>
      <c r="E170" s="170">
        <f>VLOOKUP(Tabela10[[#This Row],[Tipo de Chapa]],Tabela11[],2,FALSE)</f>
        <v/>
      </c>
      <c r="F170" s="169" t="n">
        <v>377</v>
      </c>
      <c r="G170" s="152" t="n"/>
      <c r="H170" s="170">
        <f>Tabela10[[#This Row],[M² Da chapa]]*Tabela10[[#This Row],[Qtde Chapas
Liberadas]]</f>
        <v/>
      </c>
      <c r="I170" s="170" t="n">
        <v>2331.6561</v>
      </c>
      <c r="J170" s="59">
        <f>Tabela10[[#This Row],[ERP]]/Tabela10[[#This Row],[M² Da chapa]]</f>
        <v/>
      </c>
      <c r="K170" s="170">
        <f>Tabela10[[#This Row],[M² CHAPAS]]-Tabela10[[#This Row],[ERP]]</f>
        <v/>
      </c>
      <c r="L170" s="170">
        <f>Tabela10[[#This Row],[DIFERENÇA M²]]/Tabela10[[#This Row],[M² Da chapa]]</f>
        <v/>
      </c>
    </row>
    <row r="171">
      <c r="A171" s="6" t="inlineStr">
        <is>
          <t>-</t>
        </is>
      </c>
      <c r="B171" s="8" t="inlineStr">
        <is>
          <t>NR113702-NR113704-NR113712-NR113713</t>
        </is>
      </c>
      <c r="C171" s="56">
        <f>VLOOKUP(LEFT(B171,1),Tabela5[],2,0)</f>
        <v/>
      </c>
      <c r="D171" s="57" t="inlineStr">
        <is>
          <t>MDF - 15MM</t>
        </is>
      </c>
      <c r="E171" s="170">
        <f>VLOOKUP(Tabela10[[#This Row],[Tipo de Chapa]],Tabela11[],2,FALSE)</f>
        <v/>
      </c>
      <c r="F171" s="169" t="n">
        <v>9</v>
      </c>
      <c r="G171" s="152" t="n"/>
      <c r="H171" s="170">
        <f>Tabela10[[#This Row],[M² Da chapa]]*Tabela10[[#This Row],[Qtde Chapas
Liberadas]]</f>
        <v/>
      </c>
      <c r="J171" s="59">
        <f>Tabela10[[#This Row],[ERP]]/Tabela10[[#This Row],[M² Da chapa]]</f>
        <v/>
      </c>
      <c r="K171" s="170">
        <f>Tabela10[[#This Row],[M² CHAPAS]]-Tabela10[[#This Row],[ERP]]</f>
        <v/>
      </c>
      <c r="L171" s="170">
        <f>Tabela10[[#This Row],[DIFERENÇA M²]]/Tabela10[[#This Row],[M² Da chapa]]</f>
        <v/>
      </c>
    </row>
    <row r="172">
      <c r="A172" s="6" t="inlineStr">
        <is>
          <t>-</t>
        </is>
      </c>
      <c r="B172" s="93" t="inlineStr">
        <is>
          <t>N2508103</t>
        </is>
      </c>
      <c r="C172" s="56">
        <f>VLOOKUP(LEFT(B172,1),Tabela5[],2,0)</f>
        <v/>
      </c>
      <c r="D172" s="57" t="inlineStr">
        <is>
          <t>MDF - 15MM</t>
        </is>
      </c>
      <c r="E172" s="170">
        <f>VLOOKUP(Tabela10[[#This Row],[Tipo de Chapa]],Tabela11[],2,FALSE)</f>
        <v/>
      </c>
      <c r="F172" s="169">
        <f>216+4</f>
        <v/>
      </c>
      <c r="G172" s="152" t="n"/>
      <c r="H172" s="170">
        <f>Tabela10[[#This Row],[M² Da chapa]]*Tabela10[[#This Row],[Qtde Chapas
Liberadas]]</f>
        <v/>
      </c>
      <c r="I172" s="170" t="n">
        <v>1366.5382</v>
      </c>
      <c r="J172" s="59">
        <f>Tabela10[[#This Row],[ERP]]/Tabela10[[#This Row],[M² Da chapa]]</f>
        <v/>
      </c>
      <c r="K172" s="170">
        <f>Tabela10[[#This Row],[M² CHAPAS]]-Tabela10[[#This Row],[ERP]]</f>
        <v/>
      </c>
      <c r="L172" s="170">
        <f>Tabela10[[#This Row],[DIFERENÇA M²]]/Tabela10[[#This Row],[M² Da chapa]]</f>
        <v/>
      </c>
    </row>
    <row r="173">
      <c r="A173" s="6" t="inlineStr">
        <is>
          <t>-</t>
        </is>
      </c>
      <c r="B173" s="8" t="inlineStr">
        <is>
          <t>N2508104</t>
        </is>
      </c>
      <c r="C173" s="56">
        <f>VLOOKUP(LEFT(B173,1),Tabela5[],2,0)</f>
        <v/>
      </c>
      <c r="D173" s="57" t="inlineStr">
        <is>
          <t>MDF - 15MM</t>
        </is>
      </c>
      <c r="E173" s="170">
        <f>VLOOKUP(Tabela10[[#This Row],[Tipo de Chapa]],Tabela11[],2,FALSE)</f>
        <v/>
      </c>
      <c r="F173" s="169" t="n">
        <v>312</v>
      </c>
      <c r="G173" s="152" t="n"/>
      <c r="H173" s="170">
        <f>Tabela10[[#This Row],[M² Da chapa]]*Tabela10[[#This Row],[Qtde Chapas
Liberadas]]</f>
        <v/>
      </c>
      <c r="I173" s="170" t="n">
        <v>1949.4132</v>
      </c>
      <c r="J173" s="59">
        <f>Tabela10[[#This Row],[ERP]]/Tabela10[[#This Row],[M² Da chapa]]</f>
        <v/>
      </c>
      <c r="K173" s="170">
        <f>Tabela10[[#This Row],[M² CHAPAS]]-Tabela10[[#This Row],[ERP]]</f>
        <v/>
      </c>
      <c r="L173" s="170">
        <f>Tabela10[[#This Row],[DIFERENÇA M²]]/Tabela10[[#This Row],[M² Da chapa]]</f>
        <v/>
      </c>
    </row>
    <row r="174">
      <c r="A174" s="6" t="inlineStr">
        <is>
          <t>-</t>
        </is>
      </c>
      <c r="B174" s="8" t="inlineStr">
        <is>
          <t>N2508105</t>
        </is>
      </c>
      <c r="C174" s="56">
        <f>VLOOKUP(LEFT(B174,1),Tabela5[],2,0)</f>
        <v/>
      </c>
      <c r="D174" s="57" t="inlineStr">
        <is>
          <t>MDF - 15MM</t>
        </is>
      </c>
      <c r="E174" s="170">
        <f>VLOOKUP(Tabela10[[#This Row],[Tipo de Chapa]],Tabela11[],2,FALSE)</f>
        <v/>
      </c>
      <c r="F174" s="169" t="n">
        <v>377</v>
      </c>
      <c r="G174" s="152" t="n"/>
      <c r="H174" s="170">
        <f>Tabela10[[#This Row],[M² Da chapa]]*Tabela10[[#This Row],[Qtde Chapas
Liberadas]]</f>
        <v/>
      </c>
      <c r="I174" s="170" t="n">
        <v>2212.3007</v>
      </c>
      <c r="J174" s="59">
        <f>Tabela10[[#This Row],[ERP]]/Tabela10[[#This Row],[M² Da chapa]]</f>
        <v/>
      </c>
      <c r="K174" s="170">
        <f>Tabela10[[#This Row],[M² CHAPAS]]-Tabela10[[#This Row],[ERP]]</f>
        <v/>
      </c>
      <c r="L174" s="170">
        <f>Tabela10[[#This Row],[DIFERENÇA M²]]/Tabela10[[#This Row],[M² Da chapa]]</f>
        <v/>
      </c>
    </row>
    <row r="175">
      <c r="A175" s="6" t="inlineStr">
        <is>
          <t>-</t>
        </is>
      </c>
      <c r="B175" s="8" t="inlineStr">
        <is>
          <t>N2508102</t>
        </is>
      </c>
      <c r="C175" s="56">
        <f>VLOOKUP(LEFT(B175,1),Tabela5[],2,0)</f>
        <v/>
      </c>
      <c r="D175" s="57" t="inlineStr">
        <is>
          <t>MDF - 15MM</t>
        </is>
      </c>
      <c r="E175" s="170">
        <f>VLOOKUP(Tabela10[[#This Row],[Tipo de Chapa]],Tabela11[],2,FALSE)</f>
        <v/>
      </c>
      <c r="F175" s="169" t="n">
        <v>201</v>
      </c>
      <c r="G175" s="152" t="n"/>
      <c r="H175" s="170">
        <f>Tabela10[[#This Row],[M² Da chapa]]*Tabela10[[#This Row],[Qtde Chapas
Liberadas]]</f>
        <v/>
      </c>
      <c r="I175" s="170" t="n">
        <v>1171.8333</v>
      </c>
      <c r="J175" s="59">
        <f>Tabela10[[#This Row],[ERP]]/Tabela10[[#This Row],[M² Da chapa]]</f>
        <v/>
      </c>
      <c r="K175" s="170">
        <f>Tabela10[[#This Row],[M² CHAPAS]]-Tabela10[[#This Row],[ERP]]</f>
        <v/>
      </c>
      <c r="L175" s="170">
        <f>Tabela10[[#This Row],[DIFERENÇA M²]]/Tabela10[[#This Row],[M² Da chapa]]</f>
        <v/>
      </c>
    </row>
    <row r="176">
      <c r="A176" s="6" t="inlineStr">
        <is>
          <t>-</t>
        </is>
      </c>
      <c r="B176" s="8" t="inlineStr">
        <is>
          <t>N2508203</t>
        </is>
      </c>
      <c r="C176" s="56">
        <f>VLOOKUP(LEFT(B176,1),Tabela5[],2,0)</f>
        <v/>
      </c>
      <c r="D176" s="57" t="inlineStr">
        <is>
          <t>MDF - 15MM</t>
        </is>
      </c>
      <c r="E176" s="170">
        <f>VLOOKUP(Tabela10[[#This Row],[Tipo de Chapa]],Tabela11[],2,FALSE)</f>
        <v/>
      </c>
      <c r="F176" s="169" t="n">
        <v>309</v>
      </c>
      <c r="G176" s="152" t="n"/>
      <c r="H176" s="170">
        <f>Tabela10[[#This Row],[M² Da chapa]]*Tabela10[[#This Row],[Qtde Chapas
Liberadas]]</f>
        <v/>
      </c>
      <c r="I176" s="59" t="n">
        <v>1955.5189</v>
      </c>
      <c r="J176" s="59">
        <f>Tabela10[[#This Row],[ERP]]/Tabela10[[#This Row],[M² Da chapa]]</f>
        <v/>
      </c>
      <c r="K176" s="170">
        <f>Tabela10[[#This Row],[M² CHAPAS]]-Tabela10[[#This Row],[ERP]]</f>
        <v/>
      </c>
      <c r="L176" s="170">
        <f>Tabela10[[#This Row],[DIFERENÇA M²]]/Tabela10[[#This Row],[M² Da chapa]]</f>
        <v/>
      </c>
    </row>
    <row r="177">
      <c r="A177" s="6" t="inlineStr">
        <is>
          <t>-</t>
        </is>
      </c>
      <c r="B177" s="8" t="inlineStr">
        <is>
          <t>ASTEC 16/25</t>
        </is>
      </c>
      <c r="C177" s="56">
        <f>VLOOKUP(LEFT(B177,1),Tabela5[],2,0)</f>
        <v/>
      </c>
      <c r="D177" s="57" t="inlineStr">
        <is>
          <t>MDF - 15MM</t>
        </is>
      </c>
      <c r="E177" s="170">
        <f>VLOOKUP(Tabela10[[#This Row],[Tipo de Chapa]],Tabela11[],2,FALSE)</f>
        <v/>
      </c>
      <c r="F177" s="169" t="n">
        <v>16</v>
      </c>
      <c r="G177" s="152" t="n"/>
      <c r="H177" s="170">
        <f>Tabela10[[#This Row],[M² Da chapa]]*Tabela10[[#This Row],[Qtde Chapas
Liberadas]]</f>
        <v/>
      </c>
      <c r="J177" s="59">
        <f>Tabela10[[#This Row],[ERP]]/Tabela10[[#This Row],[M² Da chapa]]</f>
        <v/>
      </c>
      <c r="K177" s="170">
        <f>Tabela10[[#This Row],[M² CHAPAS]]-Tabela10[[#This Row],[ERP]]</f>
        <v/>
      </c>
      <c r="L177" s="170">
        <f>Tabela10[[#This Row],[DIFERENÇA M²]]/Tabela10[[#This Row],[M² Da chapa]]</f>
        <v/>
      </c>
    </row>
    <row r="178">
      <c r="A178" s="6" t="inlineStr">
        <is>
          <t>-</t>
        </is>
      </c>
      <c r="B178" s="8" t="inlineStr">
        <is>
          <t>ASTEC 17/25</t>
        </is>
      </c>
      <c r="C178" s="56">
        <f>VLOOKUP(LEFT(B178,1),Tabela5[],2,0)</f>
        <v/>
      </c>
      <c r="D178" s="57" t="inlineStr">
        <is>
          <t>MDF - 15MM</t>
        </is>
      </c>
      <c r="E178" s="170">
        <f>VLOOKUP(Tabela10[[#This Row],[Tipo de Chapa]],Tabela11[],2,FALSE)</f>
        <v/>
      </c>
      <c r="F178" s="169" t="n">
        <v>32</v>
      </c>
      <c r="G178" s="152" t="n"/>
      <c r="H178" s="170">
        <f>Tabela10[[#This Row],[M² Da chapa]]*Tabela10[[#This Row],[Qtde Chapas
Liberadas]]</f>
        <v/>
      </c>
      <c r="J178" s="59">
        <f>Tabela10[[#This Row],[ERP]]/Tabela10[[#This Row],[M² Da chapa]]</f>
        <v/>
      </c>
      <c r="K178" s="170">
        <f>Tabela10[[#This Row],[M² CHAPAS]]-Tabela10[[#This Row],[ERP]]</f>
        <v/>
      </c>
      <c r="L178" s="170">
        <f>Tabela10[[#This Row],[DIFERENÇA M²]]/Tabela10[[#This Row],[M² Da chapa]]</f>
        <v/>
      </c>
    </row>
    <row r="179">
      <c r="A179" s="6" t="inlineStr">
        <is>
          <t>-</t>
        </is>
      </c>
      <c r="B179" s="8" t="inlineStr">
        <is>
          <t>N2508301</t>
        </is>
      </c>
      <c r="C179" s="56">
        <f>VLOOKUP(LEFT(B179,1),Tabela5[],2,0)</f>
        <v/>
      </c>
      <c r="D179" s="57" t="inlineStr">
        <is>
          <t>MDF - 15MM</t>
        </is>
      </c>
      <c r="E179" s="170">
        <f>VLOOKUP(Tabela10[[#This Row],[Tipo de Chapa]],Tabela11[],2,FALSE)</f>
        <v/>
      </c>
      <c r="F179" s="169" t="n">
        <v>245</v>
      </c>
      <c r="G179" s="152" t="n"/>
      <c r="H179" s="170">
        <f>Tabela10[[#This Row],[M² Da chapa]]*Tabela10[[#This Row],[Qtde Chapas
Liberadas]]</f>
        <v/>
      </c>
      <c r="J179" s="59">
        <f>Tabela10[[#This Row],[ERP]]/Tabela10[[#This Row],[M² Da chapa]]</f>
        <v/>
      </c>
      <c r="K179" s="170">
        <f>Tabela10[[#This Row],[M² CHAPAS]]-Tabela10[[#This Row],[ERP]]</f>
        <v/>
      </c>
      <c r="L179" s="170">
        <f>Tabela10[[#This Row],[DIFERENÇA M²]]/Tabela10[[#This Row],[M² Da chapa]]</f>
        <v/>
      </c>
    </row>
    <row r="180">
      <c r="A180" s="6" t="inlineStr">
        <is>
          <t>-</t>
        </is>
      </c>
      <c r="B180" s="8" t="inlineStr">
        <is>
          <t>N2508302</t>
        </is>
      </c>
      <c r="C180" s="56">
        <f>VLOOKUP(LEFT(B180,1),Tabela5[],2,0)</f>
        <v/>
      </c>
      <c r="D180" s="57" t="inlineStr">
        <is>
          <t>MDF - 15MM</t>
        </is>
      </c>
      <c r="E180" s="170">
        <f>VLOOKUP(Tabela10[[#This Row],[Tipo de Chapa]],Tabela11[],2,FALSE)</f>
        <v/>
      </c>
      <c r="F180" s="169" t="n">
        <v>222</v>
      </c>
      <c r="G180" s="152" t="n"/>
      <c r="H180" s="170">
        <f>Tabela10[[#This Row],[M² Da chapa]]*Tabela10[[#This Row],[Qtde Chapas
Liberadas]]</f>
        <v/>
      </c>
      <c r="J180" s="59">
        <f>Tabela10[[#This Row],[ERP]]/Tabela10[[#This Row],[M² Da chapa]]</f>
        <v/>
      </c>
      <c r="K180" s="170">
        <f>Tabela10[[#This Row],[M² CHAPAS]]-Tabela10[[#This Row],[ERP]]</f>
        <v/>
      </c>
      <c r="L180" s="170">
        <f>Tabela10[[#This Row],[DIFERENÇA M²]]/Tabela10[[#This Row],[M² Da chapa]]</f>
        <v/>
      </c>
    </row>
    <row r="181">
      <c r="A181" s="6" t="inlineStr">
        <is>
          <t>-</t>
        </is>
      </c>
      <c r="B181" s="8" t="inlineStr">
        <is>
          <t>N2508303</t>
        </is>
      </c>
      <c r="C181" s="56">
        <f>VLOOKUP(LEFT(B181,1),Tabela5[],2,0)</f>
        <v/>
      </c>
      <c r="D181" s="57" t="inlineStr">
        <is>
          <t>MDF - 15MM</t>
        </is>
      </c>
      <c r="E181" s="170">
        <f>VLOOKUP(Tabela10[[#This Row],[Tipo de Chapa]],Tabela11[],2,FALSE)</f>
        <v/>
      </c>
      <c r="F181" s="169" t="n">
        <v>102</v>
      </c>
      <c r="G181" s="152" t="n"/>
      <c r="H181" s="170">
        <f>Tabela10[[#This Row],[M² Da chapa]]*Tabela10[[#This Row],[Qtde Chapas
Liberadas]]</f>
        <v/>
      </c>
      <c r="J181" s="59">
        <f>Tabela10[[#This Row],[ERP]]/Tabela10[[#This Row],[M² Da chapa]]</f>
        <v/>
      </c>
      <c r="K181" s="170">
        <f>Tabela10[[#This Row],[M² CHAPAS]]-Tabela10[[#This Row],[ERP]]</f>
        <v/>
      </c>
      <c r="L181" s="170">
        <f>Tabela10[[#This Row],[DIFERENÇA M²]]/Tabela10[[#This Row],[M² Da chapa]]</f>
        <v/>
      </c>
    </row>
    <row r="182">
      <c r="A182" s="6" t="inlineStr">
        <is>
          <t>-</t>
        </is>
      </c>
      <c r="B182" s="8" t="inlineStr">
        <is>
          <t>N2508304</t>
        </is>
      </c>
      <c r="C182" s="56">
        <f>VLOOKUP(LEFT(B182,1),Tabela5[],2,0)</f>
        <v/>
      </c>
      <c r="D182" s="57" t="inlineStr">
        <is>
          <t>MDF - 15MM</t>
        </is>
      </c>
      <c r="E182" s="170">
        <f>VLOOKUP(Tabela10[[#This Row],[Tipo de Chapa]],Tabela11[],2,FALSE)</f>
        <v/>
      </c>
      <c r="F182" s="169" t="n">
        <v>81</v>
      </c>
      <c r="G182" s="152" t="n"/>
      <c r="H182" s="170">
        <f>Tabela10[[#This Row],[M² Da chapa]]*Tabela10[[#This Row],[Qtde Chapas
Liberadas]]</f>
        <v/>
      </c>
      <c r="J182" s="59">
        <f>Tabela10[[#This Row],[ERP]]/Tabela10[[#This Row],[M² Da chapa]]</f>
        <v/>
      </c>
      <c r="K182" s="170">
        <f>Tabela10[[#This Row],[M² CHAPAS]]-Tabela10[[#This Row],[ERP]]</f>
        <v/>
      </c>
      <c r="L182" s="170">
        <f>Tabela10[[#This Row],[DIFERENÇA M²]]/Tabela10[[#This Row],[M² Da chapa]]</f>
        <v/>
      </c>
    </row>
    <row r="183">
      <c r="A183" s="6" t="inlineStr">
        <is>
          <t>-</t>
        </is>
      </c>
      <c r="B183" s="8" t="inlineStr">
        <is>
          <t>N2508001</t>
        </is>
      </c>
      <c r="C183" s="56">
        <f>VLOOKUP(LEFT(B183,1),Tabela5[],2,0)</f>
        <v/>
      </c>
      <c r="D183" s="57" t="inlineStr">
        <is>
          <t>EUCADUR FRJ - 2,5MM</t>
        </is>
      </c>
      <c r="E183" s="170">
        <f>VLOOKUP(Tabela10[[#This Row],[Tipo de Chapa]],Tabela11[],2,FALSE)</f>
        <v/>
      </c>
      <c r="F183" s="169" t="n">
        <v>200</v>
      </c>
      <c r="G183" s="152" t="n"/>
      <c r="H183" s="170">
        <f>Tabela10[[#This Row],[M² Da chapa]]*Tabela10[[#This Row],[Qtde Chapas
Liberadas]]</f>
        <v/>
      </c>
      <c r="I183" s="170" t="n">
        <v>373.1484</v>
      </c>
      <c r="J183" s="59">
        <f>Tabela10[[#This Row],[ERP]]/Tabela10[[#This Row],[M² Da chapa]]</f>
        <v/>
      </c>
      <c r="K183" s="170">
        <f>Tabela10[[#This Row],[M² CHAPAS]]-Tabela10[[#This Row],[ERP]]</f>
        <v/>
      </c>
      <c r="L183" s="170">
        <f>Tabela10[[#This Row],[DIFERENÇA M²]]/Tabela10[[#This Row],[M² Da chapa]]</f>
        <v/>
      </c>
    </row>
    <row r="184">
      <c r="A184" s="6" t="inlineStr">
        <is>
          <t>-</t>
        </is>
      </c>
      <c r="B184" s="8" t="inlineStr">
        <is>
          <t>NR - N25081</t>
        </is>
      </c>
      <c r="C184" s="56">
        <f>VLOOKUP(LEFT(B184,1),Tabela5[],2,0)</f>
        <v/>
      </c>
      <c r="D184" s="57" t="inlineStr">
        <is>
          <t>MDF - 15MM</t>
        </is>
      </c>
      <c r="E184" s="170">
        <f>VLOOKUP(Tabela10[[#This Row],[Tipo de Chapa]],Tabela11[],2,FALSE)</f>
        <v/>
      </c>
      <c r="F184" s="169" t="n">
        <v>3</v>
      </c>
      <c r="G184" s="152" t="n"/>
      <c r="H184" s="170">
        <f>Tabela10[[#This Row],[M² Da chapa]]*Tabela10[[#This Row],[Qtde Chapas
Liberadas]]</f>
        <v/>
      </c>
      <c r="I184" s="170" t="n">
        <v>0</v>
      </c>
      <c r="J184" s="59">
        <f>Tabela10[[#This Row],[ERP]]/Tabela10[[#This Row],[M² Da chapa]]</f>
        <v/>
      </c>
      <c r="K184" s="170">
        <f>Tabela10[[#This Row],[M² CHAPAS]]-Tabela10[[#This Row],[ERP]]</f>
        <v/>
      </c>
      <c r="L184" s="170">
        <f>Tabela10[[#This Row],[DIFERENÇA M²]]/Tabela10[[#This Row],[M² Da chapa]]</f>
        <v/>
      </c>
    </row>
    <row r="185">
      <c r="A185" s="6" t="inlineStr">
        <is>
          <t>-</t>
        </is>
      </c>
      <c r="B185" s="8" t="inlineStr">
        <is>
          <t>N25081</t>
        </is>
      </c>
      <c r="C185" s="56">
        <f>VLOOKUP(LEFT(B185,1),Tabela5[],2,0)</f>
        <v/>
      </c>
      <c r="D185" s="57" t="inlineStr">
        <is>
          <t>EUCADUR FRJ - 2,5MM</t>
        </is>
      </c>
      <c r="E185" s="170">
        <f>VLOOKUP(Tabela10[[#This Row],[Tipo de Chapa]],Tabela11[],2,FALSE)</f>
        <v/>
      </c>
      <c r="F185" s="169" t="n">
        <v>254</v>
      </c>
      <c r="G185" s="152" t="n"/>
      <c r="H185" s="170">
        <f>Tabela10[[#This Row],[M² Da chapa]]*Tabela10[[#This Row],[Qtde Chapas
Liberadas]]</f>
        <v/>
      </c>
      <c r="I185" s="170" t="n">
        <v>2301.7463</v>
      </c>
      <c r="J185" s="59">
        <f>Tabela10[[#This Row],[ERP]]/Tabela10[[#This Row],[M² Da chapa]]</f>
        <v/>
      </c>
      <c r="K185" s="170">
        <f>Tabela10[[#This Row],[M² CHAPAS]]-Tabela10[[#This Row],[ERP]]</f>
        <v/>
      </c>
      <c r="L185" s="170">
        <f>Tabela10[[#This Row],[DIFERENÇA M²]]/Tabela10[[#This Row],[M² Da chapa]]</f>
        <v/>
      </c>
    </row>
    <row r="186">
      <c r="A186" s="6" t="inlineStr">
        <is>
          <t>-</t>
        </is>
      </c>
      <c r="B186" s="8" t="inlineStr">
        <is>
          <t>N25082</t>
        </is>
      </c>
      <c r="C186" s="56">
        <f>VLOOKUP(LEFT(B186,1),Tabela5[],2,0)</f>
        <v/>
      </c>
      <c r="D186" s="57" t="inlineStr">
        <is>
          <t>EUCADUR FRJ - 2,5MM</t>
        </is>
      </c>
      <c r="E186" s="170">
        <f>VLOOKUP(Tabela10[[#This Row],[Tipo de Chapa]],Tabela11[],2,FALSE)</f>
        <v/>
      </c>
      <c r="F186" s="169" t="n">
        <v>221</v>
      </c>
      <c r="G186" s="152" t="n"/>
      <c r="H186" s="170">
        <f>Tabela10[[#This Row],[M² Da chapa]]*Tabela10[[#This Row],[Qtde Chapas
Liberadas]]</f>
        <v/>
      </c>
      <c r="J186" s="59">
        <f>Tabela10[[#This Row],[ERP]]/Tabela10[[#This Row],[M² Da chapa]]</f>
        <v/>
      </c>
      <c r="K186" s="170">
        <f>Tabela10[[#This Row],[M² CHAPAS]]-Tabela10[[#This Row],[ERP]]</f>
        <v/>
      </c>
      <c r="L186" s="170">
        <f>Tabela10[[#This Row],[DIFERENÇA M²]]/Tabela10[[#This Row],[M² Da chapa]]</f>
        <v/>
      </c>
    </row>
    <row r="187" hidden="1">
      <c r="A187" s="6" t="inlineStr">
        <is>
          <t>-</t>
        </is>
      </c>
      <c r="B187" s="8" t="inlineStr">
        <is>
          <t>L25056</t>
        </is>
      </c>
      <c r="C187" s="56">
        <f>VLOOKUP(LEFT(B187,1),Tabela5[],2,0)</f>
        <v/>
      </c>
      <c r="D187" s="57" t="inlineStr">
        <is>
          <t>EUCADUR NT - 2,5MM</t>
        </is>
      </c>
      <c r="E187" s="170">
        <f>VLOOKUP(Tabela10[[#This Row],[Tipo de Chapa]],Tabela11[],2,FALSE)</f>
        <v/>
      </c>
      <c r="F187" s="169" t="n">
        <v>281</v>
      </c>
      <c r="G187" s="152" t="n"/>
      <c r="H187" s="170">
        <f>Tabela10[[#This Row],[M² Da chapa]]*Tabela10[[#This Row],[Qtde Chapas
Liberadas]]</f>
        <v/>
      </c>
      <c r="J187" s="59">
        <f>Tabela10[[#This Row],[ERP]]/Tabela10[[#This Row],[M² Da chapa]]</f>
        <v/>
      </c>
      <c r="K187" s="170">
        <f>Tabela10[[#This Row],[M² CHAPAS]]-Tabela10[[#This Row],[ERP]]</f>
        <v/>
      </c>
      <c r="L187" s="170">
        <f>Tabela10[[#This Row],[DIFERENÇA M²]]/Tabela10[[#This Row],[M² Da chapa]]</f>
        <v/>
      </c>
    </row>
    <row r="188" hidden="1">
      <c r="A188" s="6" t="inlineStr">
        <is>
          <t>-</t>
        </is>
      </c>
      <c r="B188" s="8" t="inlineStr">
        <is>
          <t>L2505704-06</t>
        </is>
      </c>
      <c r="C188" s="56">
        <f>VLOOKUP(LEFT(B188,1),Tabela5[],2,0)</f>
        <v/>
      </c>
      <c r="D188" s="57" t="inlineStr">
        <is>
          <t>EUCADUR NT - 2,5MM</t>
        </is>
      </c>
      <c r="E188" s="170">
        <f>VLOOKUP(Tabela10[[#This Row],[Tipo de Chapa]],Tabela11[],2,FALSE)</f>
        <v/>
      </c>
      <c r="F188" s="169" t="n">
        <v>242</v>
      </c>
      <c r="G188" s="152" t="n"/>
      <c r="H188" s="170">
        <f>Tabela10[[#This Row],[M² Da chapa]]*Tabela10[[#This Row],[Qtde Chapas
Liberadas]]</f>
        <v/>
      </c>
      <c r="J188" s="59">
        <f>Tabela10[[#This Row],[ERP]]/Tabela10[[#This Row],[M² Da chapa]]</f>
        <v/>
      </c>
      <c r="K188" s="170">
        <f>Tabela10[[#This Row],[M² CHAPAS]]-Tabela10[[#This Row],[ERP]]</f>
        <v/>
      </c>
      <c r="L188" s="170">
        <f>Tabela10[[#This Row],[DIFERENÇA M²]]/Tabela10[[#This Row],[M² Da chapa]]</f>
        <v/>
      </c>
    </row>
    <row r="189" hidden="1">
      <c r="A189" s="6" t="inlineStr">
        <is>
          <t>-</t>
        </is>
      </c>
      <c r="B189" s="8" t="inlineStr">
        <is>
          <t>L2505801-04</t>
        </is>
      </c>
      <c r="C189" s="56">
        <f>VLOOKUP(LEFT(B189,1),Tabela5[],2,0)</f>
        <v/>
      </c>
      <c r="D189" s="57" t="inlineStr">
        <is>
          <t>EUCADUR NT - 2,5MM</t>
        </is>
      </c>
      <c r="E189" s="170">
        <f>VLOOKUP(Tabela10[[#This Row],[Tipo de Chapa]],Tabela11[],2,FALSE)</f>
        <v/>
      </c>
      <c r="F189" s="169" t="n">
        <v>292</v>
      </c>
      <c r="G189" s="152" t="n"/>
      <c r="H189" s="170">
        <f>Tabela10[[#This Row],[M² Da chapa]]*Tabela10[[#This Row],[Qtde Chapas
Liberadas]]</f>
        <v/>
      </c>
      <c r="J189" s="59">
        <f>Tabela10[[#This Row],[ERP]]/Tabela10[[#This Row],[M² Da chapa]]</f>
        <v/>
      </c>
      <c r="K189" s="170">
        <f>Tabela10[[#This Row],[M² CHAPAS]]-Tabela10[[#This Row],[ERP]]</f>
        <v/>
      </c>
      <c r="L189" s="170">
        <f>Tabela10[[#This Row],[DIFERENÇA M²]]/Tabela10[[#This Row],[M² Da chapa]]</f>
        <v/>
      </c>
    </row>
    <row r="190">
      <c r="A190" s="6" t="n">
        <v>45936</v>
      </c>
      <c r="B190" s="8" t="inlineStr">
        <is>
          <t>N25083</t>
        </is>
      </c>
      <c r="C190" s="56">
        <f>VLOOKUP(LEFT(B190,1),Tabela5[],2,0)</f>
        <v/>
      </c>
      <c r="D190" s="57" t="inlineStr">
        <is>
          <t>EUCADUR NT - 2,5MM</t>
        </is>
      </c>
      <c r="E190" s="170">
        <f>VLOOKUP(Tabela10[[#This Row],[Tipo de Chapa]],Tabela11[],2,FALSE)</f>
        <v/>
      </c>
      <c r="F190" s="169" t="n">
        <v>242</v>
      </c>
      <c r="G190" s="152" t="n">
        <v>0.0641</v>
      </c>
      <c r="H190" s="170">
        <f>Tabela10[[#This Row],[M² Da chapa]]*Tabela10[[#This Row],[Qtde Chapas
Liberadas]]</f>
        <v/>
      </c>
      <c r="J190" s="59">
        <f>Tabela10[[#This Row],[ERP]]/Tabela10[[#This Row],[M² Da chapa]]</f>
        <v/>
      </c>
      <c r="K190" s="170">
        <f>Tabela10[[#This Row],[M² CHAPAS]]-Tabela10[[#This Row],[ERP]]</f>
        <v/>
      </c>
      <c r="L190" s="170">
        <f>Tabela10[[#This Row],[DIFERENÇA M²]]/Tabela10[[#This Row],[M² Da chapa]]</f>
        <v/>
      </c>
    </row>
    <row r="191">
      <c r="A191" s="6" t="inlineStr">
        <is>
          <t>-</t>
        </is>
      </c>
      <c r="B191" s="8" t="inlineStr">
        <is>
          <t>TAMPO 120 - 03/10/25</t>
        </is>
      </c>
      <c r="C191" s="56" t="inlineStr">
        <is>
          <t>Nesher</t>
        </is>
      </c>
      <c r="D191" s="57" t="inlineStr">
        <is>
          <t>MDF - 25MM 2750x2200</t>
        </is>
      </c>
      <c r="E191" s="170">
        <f>VLOOKUP(Tabela10[[#This Row],[Tipo de Chapa]],Tabela11[],2,FALSE)</f>
        <v/>
      </c>
      <c r="F191" s="169" t="n">
        <v>32</v>
      </c>
      <c r="G191" s="152" t="n">
        <v>0.1005</v>
      </c>
      <c r="H191" s="170">
        <f>Tabela10[[#This Row],[M² Da chapa]]*Tabela10[[#This Row],[Qtde Chapas
Liberadas]]</f>
        <v/>
      </c>
      <c r="J191" s="59">
        <f>Tabela10[[#This Row],[ERP]]/Tabela10[[#This Row],[M² Da chapa]]</f>
        <v/>
      </c>
      <c r="K191" s="170">
        <f>Tabela10[[#This Row],[M² CHAPAS]]-Tabela10[[#This Row],[ERP]]</f>
        <v/>
      </c>
      <c r="L191" s="170">
        <f>Tabela10[[#This Row],[DIFERENÇA M²]]/Tabela10[[#This Row],[M² Da chapa]]</f>
        <v/>
      </c>
    </row>
    <row r="192">
      <c r="A192" s="6" t="inlineStr">
        <is>
          <t>-</t>
        </is>
      </c>
      <c r="B192" s="8" t="inlineStr">
        <is>
          <t>TAMPO 160 - 03/10/25</t>
        </is>
      </c>
      <c r="C192" s="56" t="inlineStr">
        <is>
          <t>Nesher</t>
        </is>
      </c>
      <c r="D192" s="57" t="inlineStr">
        <is>
          <t>MDF - 25MM 2750x2100</t>
        </is>
      </c>
      <c r="E192" s="170">
        <f>VLOOKUP(Tabela10[[#This Row],[Tipo de Chapa]],Tabela11[],2,FALSE)</f>
        <v/>
      </c>
      <c r="F192" s="169" t="n">
        <v>107</v>
      </c>
      <c r="G192" s="152" t="n">
        <v>0.07530000000000001</v>
      </c>
      <c r="H192" s="170">
        <f>Tabela10[[#This Row],[M² Da chapa]]*Tabela10[[#This Row],[Qtde Chapas
Liberadas]]</f>
        <v/>
      </c>
      <c r="J192" s="59">
        <f>Tabela10[[#This Row],[ERP]]/Tabela10[[#This Row],[M² Da chapa]]</f>
        <v/>
      </c>
      <c r="K192" s="170">
        <f>Tabela10[[#This Row],[M² CHAPAS]]-Tabela10[[#This Row],[ERP]]</f>
        <v/>
      </c>
      <c r="L192" s="170">
        <f>Tabela10[[#This Row],[DIFERENÇA M²]]/Tabela10[[#This Row],[M² Da chapa]]</f>
        <v/>
      </c>
    </row>
    <row r="193">
      <c r="A193" s="6" t="inlineStr">
        <is>
          <t>-</t>
        </is>
      </c>
      <c r="B193" s="8" t="inlineStr">
        <is>
          <t>N25083</t>
        </is>
      </c>
      <c r="C193" s="56">
        <f>VLOOKUP(LEFT(B193,1),Tabela5[],2,0)</f>
        <v/>
      </c>
      <c r="D193" s="57" t="inlineStr">
        <is>
          <t>EUCADUR FRJ - 2,5MM</t>
        </is>
      </c>
      <c r="E193" s="170">
        <f>VLOOKUP(Tabela10[[#This Row],[Tipo de Chapa]],Tabela11[],2,FALSE)</f>
        <v/>
      </c>
      <c r="F193" s="169" t="n">
        <v>294</v>
      </c>
      <c r="G193" s="152" t="n">
        <v>0.0648</v>
      </c>
      <c r="H193" s="170">
        <f>Tabela10[[#This Row],[M² Da chapa]]*Tabela10[[#This Row],[Qtde Chapas
Liberadas]]</f>
        <v/>
      </c>
      <c r="I193" s="170" t="n">
        <v>1946.1551</v>
      </c>
      <c r="J193" s="59">
        <f>Tabela10[[#This Row],[ERP]]/Tabela10[[#This Row],[M² Da chapa]]</f>
        <v/>
      </c>
      <c r="K193" s="170">
        <f>Tabela10[[#This Row],[M² CHAPAS]]-Tabela10[[#This Row],[ERP]]</f>
        <v/>
      </c>
      <c r="L193" s="170">
        <f>Tabela10[[#This Row],[DIFERENÇA M²]]/Tabela10[[#This Row],[M² Da chapa]]</f>
        <v/>
      </c>
    </row>
    <row r="194" hidden="1">
      <c r="A194" s="6" t="inlineStr">
        <is>
          <t>-</t>
        </is>
      </c>
      <c r="B194" s="8" t="inlineStr">
        <is>
          <t>L|7316-7319-7317-7320-7318-7321</t>
        </is>
      </c>
      <c r="C194" s="56">
        <f>VLOOKUP(LEFT(B194,1),Tabela5[],2,0)</f>
        <v/>
      </c>
      <c r="D194" s="57" t="inlineStr">
        <is>
          <t>MDF - 15MM</t>
        </is>
      </c>
      <c r="E194" s="170">
        <f>VLOOKUP(Tabela10[[#This Row],[Tipo de Chapa]],Tabela11[],2,FALSE)</f>
        <v/>
      </c>
      <c r="F194" s="169">
        <f>470*2</f>
        <v/>
      </c>
      <c r="G194" s="152" t="n">
        <v>0.0451</v>
      </c>
      <c r="H194" s="170">
        <f>Tabela10[[#This Row],[M² Da chapa]]*Tabela10[[#This Row],[Qtde Chapas
Liberadas]]</f>
        <v/>
      </c>
      <c r="J194" s="59">
        <f>Tabela10[[#This Row],[ERP]]/Tabela10[[#This Row],[M² Da chapa]]</f>
        <v/>
      </c>
      <c r="K194" s="170">
        <f>Tabela10[[#This Row],[M² CHAPAS]]-Tabela10[[#This Row],[ERP]]</f>
        <v/>
      </c>
      <c r="L194" s="170">
        <f>Tabela10[[#This Row],[DIFERENÇA M²]]/Tabela10[[#This Row],[M² Da chapa]]</f>
        <v/>
      </c>
    </row>
    <row r="195" hidden="1">
      <c r="A195" s="6" t="inlineStr">
        <is>
          <t>-</t>
        </is>
      </c>
      <c r="B195" s="8" t="inlineStr">
        <is>
          <t>L7313</t>
        </is>
      </c>
      <c r="C195" s="56">
        <f>VLOOKUP(LEFT(B195,1),Tabela5[],2,0)</f>
        <v/>
      </c>
      <c r="D195" s="57" t="inlineStr">
        <is>
          <t>MDF - 15MM</t>
        </is>
      </c>
      <c r="E195" s="170">
        <f>VLOOKUP(Tabela10[[#This Row],[Tipo de Chapa]],Tabela11[],2,FALSE)</f>
        <v/>
      </c>
      <c r="F195" s="169" t="n">
        <v>114</v>
      </c>
      <c r="G195" s="152" t="n"/>
      <c r="H195" s="170">
        <f>Tabela10[[#This Row],[M² Da chapa]]*Tabela10[[#This Row],[Qtde Chapas
Liberadas]]</f>
        <v/>
      </c>
      <c r="J195" s="59">
        <f>Tabela10[[#This Row],[ERP]]/Tabela10[[#This Row],[M² Da chapa]]</f>
        <v/>
      </c>
      <c r="K195" s="170">
        <f>Tabela10[[#This Row],[M² CHAPAS]]-Tabela10[[#This Row],[ERP]]</f>
        <v/>
      </c>
      <c r="L195" s="170">
        <f>Tabela10[[#This Row],[DIFERENÇA M²]]/Tabela10[[#This Row],[M² Da chapa]]</f>
        <v/>
      </c>
    </row>
    <row r="196" hidden="1">
      <c r="A196" s="6" t="inlineStr">
        <is>
          <t>-</t>
        </is>
      </c>
      <c r="B196" s="8" t="inlineStr">
        <is>
          <t>L7313 - L2505803</t>
        </is>
      </c>
      <c r="C196" s="56">
        <f>VLOOKUP(LEFT(B196,1),Tabela5[],2,0)</f>
        <v/>
      </c>
      <c r="D196" s="57" t="inlineStr">
        <is>
          <t>EUCADUR NT - 2,5MM</t>
        </is>
      </c>
      <c r="E196" s="170">
        <f>VLOOKUP(Tabela10[[#This Row],[Tipo de Chapa]],Tabela11[],2,FALSE)</f>
        <v/>
      </c>
      <c r="F196" s="169" t="n">
        <v>158</v>
      </c>
      <c r="G196" s="152" t="n"/>
      <c r="H196" s="170">
        <f>Tabela10[[#This Row],[M² Da chapa]]*Tabela10[[#This Row],[Qtde Chapas
Liberadas]]</f>
        <v/>
      </c>
      <c r="J196" s="59">
        <f>Tabela10[[#This Row],[ERP]]/Tabela10[[#This Row],[M² Da chapa]]</f>
        <v/>
      </c>
      <c r="K196" s="170">
        <f>Tabela10[[#This Row],[M² CHAPAS]]-Tabela10[[#This Row],[ERP]]</f>
        <v/>
      </c>
      <c r="L196" s="170">
        <f>Tabela10[[#This Row],[DIFERENÇA M²]]/Tabela10[[#This Row],[M² Da chapa]]</f>
        <v/>
      </c>
    </row>
    <row r="197" hidden="1">
      <c r="A197" s="6" t="inlineStr">
        <is>
          <t>-</t>
        </is>
      </c>
      <c r="B197" s="8" t="inlineStr">
        <is>
          <t>L7314</t>
        </is>
      </c>
      <c r="C197" s="56">
        <f>VLOOKUP(LEFT(B197,1),Tabela5[],2,0)</f>
        <v/>
      </c>
      <c r="D197" s="57" t="inlineStr">
        <is>
          <t>EUCADUR FRJ - 2,5MM</t>
        </is>
      </c>
      <c r="E197" s="170">
        <f>VLOOKUP(Tabela10[[#This Row],[Tipo de Chapa]],Tabela11[],2,FALSE)</f>
        <v/>
      </c>
      <c r="F197" s="169" t="n">
        <v>242</v>
      </c>
      <c r="G197" s="152" t="n">
        <v>0.0624</v>
      </c>
      <c r="H197" s="170">
        <f>Tabela10[[#This Row],[M² Da chapa]]*Tabela10[[#This Row],[Qtde Chapas
Liberadas]]</f>
        <v/>
      </c>
      <c r="J197" s="59">
        <f>Tabela10[[#This Row],[ERP]]/Tabela10[[#This Row],[M² Da chapa]]</f>
        <v/>
      </c>
      <c r="K197" s="170">
        <f>Tabela10[[#This Row],[M² CHAPAS]]-Tabela10[[#This Row],[ERP]]</f>
        <v/>
      </c>
      <c r="L197" s="170">
        <f>Tabela10[[#This Row],[DIFERENÇA M²]]/Tabela10[[#This Row],[M² Da chapa]]</f>
        <v/>
      </c>
    </row>
    <row r="198" hidden="1">
      <c r="A198" s="6" t="inlineStr">
        <is>
          <t>-</t>
        </is>
      </c>
      <c r="B198" s="8" t="inlineStr">
        <is>
          <t>L7316 AO L7321</t>
        </is>
      </c>
      <c r="C198" s="56">
        <f>VLOOKUP(LEFT(B198,1),Tabela5[],2,0)</f>
        <v/>
      </c>
      <c r="D198" s="57" t="inlineStr">
        <is>
          <t>EUCADUR NT - 2,5MM</t>
        </is>
      </c>
      <c r="E198" s="170">
        <f>VLOOKUP(Tabela10[[#This Row],[Tipo de Chapa]],Tabela11[],2,FALSE)</f>
        <v/>
      </c>
      <c r="F198" s="169" t="n">
        <v>538</v>
      </c>
      <c r="G198" s="152" t="n">
        <v>0.0678</v>
      </c>
      <c r="H198" s="170">
        <f>Tabela10[[#This Row],[M² Da chapa]]*Tabela10[[#This Row],[Qtde Chapas
Liberadas]]</f>
        <v/>
      </c>
      <c r="J198" s="59">
        <f>Tabela10[[#This Row],[ERP]]/Tabela10[[#This Row],[M² Da chapa]]</f>
        <v/>
      </c>
      <c r="K198" s="170">
        <f>Tabela10[[#This Row],[M² CHAPAS]]-Tabela10[[#This Row],[ERP]]</f>
        <v/>
      </c>
      <c r="L198" s="170">
        <f>Tabela10[[#This Row],[DIFERENÇA M²]]/Tabela10[[#This Row],[M² Da chapa]]</f>
        <v/>
      </c>
    </row>
    <row r="199">
      <c r="A199" s="6" t="inlineStr">
        <is>
          <t>-</t>
        </is>
      </c>
      <c r="B199" s="8" t="inlineStr">
        <is>
          <t>N2508307</t>
        </is>
      </c>
      <c r="C199" s="56">
        <f>VLOOKUP(LEFT(B199,1),Tabela5[],2,0)</f>
        <v/>
      </c>
      <c r="D199" s="57" t="inlineStr">
        <is>
          <t>MDF - 15MM</t>
        </is>
      </c>
      <c r="E199" s="170">
        <f>VLOOKUP(Tabela10[[#This Row],[Tipo de Chapa]],Tabela11[],2,FALSE)</f>
        <v/>
      </c>
      <c r="F199" s="169" t="n">
        <v>135</v>
      </c>
      <c r="G199" s="152" t="n">
        <v>0.0612</v>
      </c>
      <c r="H199" s="170">
        <f>Tabela10[[#This Row],[M² Da chapa]]*Tabela10[[#This Row],[Qtde Chapas
Liberadas]]</f>
        <v/>
      </c>
      <c r="J199" s="59">
        <f>Tabela10[[#This Row],[ERP]]/Tabela10[[#This Row],[M² Da chapa]]</f>
        <v/>
      </c>
      <c r="K199" s="170">
        <f>Tabela10[[#This Row],[M² CHAPAS]]-Tabela10[[#This Row],[ERP]]</f>
        <v/>
      </c>
      <c r="L199" s="170">
        <f>Tabela10[[#This Row],[DIFERENÇA M²]]/Tabela10[[#This Row],[M² Da chapa]]</f>
        <v/>
      </c>
    </row>
    <row r="200" hidden="1">
      <c r="A200" s="6" t="inlineStr">
        <is>
          <t>-</t>
        </is>
      </c>
      <c r="B200" s="8" t="inlineStr">
        <is>
          <t>L2505805 (LOTE 150) | L2505806</t>
        </is>
      </c>
      <c r="C200" s="56">
        <f>VLOOKUP(LEFT(B200,1),Tabela5[],2,0)</f>
        <v/>
      </c>
      <c r="D200" s="57" t="inlineStr">
        <is>
          <t>MDF - 15MM</t>
        </is>
      </c>
      <c r="E200" s="170">
        <f>VLOOKUP(Tabela10[[#This Row],[Tipo de Chapa]],Tabela11[],2,FALSE)</f>
        <v/>
      </c>
      <c r="F200" s="169" t="n">
        <v>515</v>
      </c>
      <c r="G200" s="152" t="n">
        <v>0.0499</v>
      </c>
      <c r="H200" s="170">
        <f>Tabela10[[#This Row],[M² Da chapa]]*Tabela10[[#This Row],[Qtde Chapas
Liberadas]]</f>
        <v/>
      </c>
      <c r="I200" s="170">
        <f>1598.8872*2</f>
        <v/>
      </c>
      <c r="J200" s="59">
        <f>Tabela10[[#This Row],[ERP]]/Tabela10[[#This Row],[M² Da chapa]]</f>
        <v/>
      </c>
      <c r="K200" s="170">
        <f>Tabela10[[#This Row],[M² CHAPAS]]-Tabela10[[#This Row],[ERP]]</f>
        <v/>
      </c>
      <c r="L200" s="170">
        <f>Tabela10[[#This Row],[DIFERENÇA M²]]/Tabela10[[#This Row],[M² Da chapa]]</f>
        <v/>
      </c>
    </row>
    <row r="201" hidden="1">
      <c r="A201" s="6" t="inlineStr">
        <is>
          <t>-</t>
        </is>
      </c>
      <c r="B201" s="8" t="inlineStr">
        <is>
          <t>L2505805 (LOTE 150) | L2505806</t>
        </is>
      </c>
      <c r="C201" s="56">
        <f>VLOOKUP(LEFT(B201,1),Tabela5[],2,0)</f>
        <v/>
      </c>
      <c r="D201" s="57" t="inlineStr">
        <is>
          <t>EUCADUR FRJ - 2,5MM</t>
        </is>
      </c>
      <c r="E201" s="170">
        <f>VLOOKUP(Tabela10[[#This Row],[Tipo de Chapa]],Tabela11[],2,FALSE)</f>
        <v/>
      </c>
      <c r="F201" s="169" t="n">
        <v>242</v>
      </c>
      <c r="G201" s="152" t="n">
        <v>0.0624</v>
      </c>
      <c r="H201" s="170">
        <f>Tabela10[[#This Row],[M² Da chapa]]*Tabela10[[#This Row],[Qtde Chapas
Liberadas]]</f>
        <v/>
      </c>
      <c r="J201" s="59">
        <f>Tabela10[[#This Row],[ERP]]/Tabela10[[#This Row],[M² Da chapa]]</f>
        <v/>
      </c>
      <c r="K201" s="170">
        <f>Tabela10[[#This Row],[M² CHAPAS]]-Tabela10[[#This Row],[ERP]]</f>
        <v/>
      </c>
      <c r="L201" s="170">
        <f>Tabela10[[#This Row],[DIFERENÇA M²]]/Tabela10[[#This Row],[M² Da chapa]]</f>
        <v/>
      </c>
    </row>
    <row r="202" hidden="1">
      <c r="A202" s="6" t="inlineStr">
        <is>
          <t>-</t>
        </is>
      </c>
      <c r="B202" s="8" t="inlineStr">
        <is>
          <t>L2506001 | L2506002 | L2506003</t>
        </is>
      </c>
      <c r="C202" s="56">
        <f>VLOOKUP(LEFT(B202,1),Tabela5[],2,0)</f>
        <v/>
      </c>
      <c r="D202" s="57" t="inlineStr">
        <is>
          <t>MDF - 15MM</t>
        </is>
      </c>
      <c r="E202" s="170">
        <f>VLOOKUP(Tabela10[[#This Row],[Tipo de Chapa]],Tabela11[],2,FALSE)</f>
        <v/>
      </c>
      <c r="F202" s="169" t="n">
        <v>354</v>
      </c>
      <c r="G202" s="152" t="n">
        <v>0.0506</v>
      </c>
      <c r="H202" s="170">
        <f>Tabela10[[#This Row],[M² Da chapa]]*Tabela10[[#This Row],[Qtde Chapas
Liberadas]]</f>
        <v/>
      </c>
      <c r="I202" s="170" t="n">
        <v>2177.5091</v>
      </c>
      <c r="J202" s="59">
        <f>Tabela10[[#This Row],[ERP]]/Tabela10[[#This Row],[M² Da chapa]]</f>
        <v/>
      </c>
      <c r="K202" s="170">
        <f>Tabela10[[#This Row],[M² CHAPAS]]-Tabela10[[#This Row],[ERP]]</f>
        <v/>
      </c>
      <c r="L202" s="170">
        <f>Tabela10[[#This Row],[DIFERENÇA M²]]/Tabela10[[#This Row],[M² Da chapa]]</f>
        <v/>
      </c>
    </row>
    <row r="203" hidden="1">
      <c r="A203" s="6" t="inlineStr">
        <is>
          <t>-</t>
        </is>
      </c>
      <c r="B203" s="8" t="inlineStr">
        <is>
          <t>L2506001 | L2506003</t>
        </is>
      </c>
      <c r="C203" s="56">
        <f>VLOOKUP(LEFT(B203,1),Tabela5[],2,0)</f>
        <v/>
      </c>
      <c r="D203" s="57" t="inlineStr">
        <is>
          <t>EUCADUR NT - 2,5MM</t>
        </is>
      </c>
      <c r="E203" s="170">
        <f>VLOOKUP(Tabela10[[#This Row],[Tipo de Chapa]],Tabela11[],2,FALSE)</f>
        <v/>
      </c>
      <c r="F203" s="169" t="n">
        <v>172</v>
      </c>
      <c r="G203" s="152" t="n">
        <v>0.07000000000000001</v>
      </c>
      <c r="H203" s="170">
        <f>Tabela10[[#This Row],[M² Da chapa]]*Tabela10[[#This Row],[Qtde Chapas
Liberadas]]</f>
        <v/>
      </c>
      <c r="J203" s="59">
        <f>Tabela10[[#This Row],[ERP]]/Tabela10[[#This Row],[M² Da chapa]]</f>
        <v/>
      </c>
      <c r="K203" s="170">
        <f>Tabela10[[#This Row],[M² CHAPAS]]-Tabela10[[#This Row],[ERP]]</f>
        <v/>
      </c>
      <c r="L203" s="170">
        <f>Tabela10[[#This Row],[DIFERENÇA M²]]/Tabela10[[#This Row],[M² Da chapa]]</f>
        <v/>
      </c>
    </row>
    <row r="204" hidden="1">
      <c r="A204" s="6" t="inlineStr">
        <is>
          <t>-</t>
        </is>
      </c>
      <c r="B204" s="8" t="inlineStr">
        <is>
          <t>L2506004</t>
        </is>
      </c>
      <c r="C204" s="56">
        <f>VLOOKUP(LEFT(B204,1),Tabela5[],2,0)</f>
        <v/>
      </c>
      <c r="D204" s="57" t="inlineStr">
        <is>
          <t>MDF - 15MM</t>
        </is>
      </c>
      <c r="E204" s="170">
        <f>VLOOKUP(Tabela10[[#This Row],[Tipo de Chapa]],Tabela11[],2,FALSE)</f>
        <v/>
      </c>
      <c r="F204" s="169" t="n">
        <v>162</v>
      </c>
      <c r="G204" s="152" t="n">
        <v>0.06</v>
      </c>
      <c r="H204" s="170">
        <f>Tabela10[[#This Row],[M² Da chapa]]*Tabela10[[#This Row],[Qtde Chapas
Liberadas]]</f>
        <v/>
      </c>
      <c r="J204" s="59">
        <f>Tabela10[[#This Row],[ERP]]/Tabela10[[#This Row],[M² Da chapa]]</f>
        <v/>
      </c>
      <c r="K204" s="170">
        <f>Tabela10[[#This Row],[M² CHAPAS]]-Tabela10[[#This Row],[ERP]]</f>
        <v/>
      </c>
      <c r="L204" s="170">
        <f>Tabela10[[#This Row],[DIFERENÇA M²]]/Tabela10[[#This Row],[M² Da chapa]]</f>
        <v/>
      </c>
    </row>
    <row r="205" hidden="1">
      <c r="A205" s="6" t="inlineStr">
        <is>
          <t>-</t>
        </is>
      </c>
      <c r="B205" s="8" t="inlineStr">
        <is>
          <t>L2506101 | L2506102</t>
        </is>
      </c>
      <c r="C205" s="56">
        <f>VLOOKUP(LEFT(B205,1),Tabela5[],2,0)</f>
        <v/>
      </c>
      <c r="D205" s="57" t="inlineStr">
        <is>
          <t>MDF - 15MM</t>
        </is>
      </c>
      <c r="E205" s="169">
        <f>VLOOKUP(Tabela10[[#This Row],[Tipo de Chapa]],Tabela11[],2,FALSE)</f>
        <v/>
      </c>
      <c r="F205" s="169" t="n">
        <v>304</v>
      </c>
      <c r="G205" s="152" t="n">
        <v>0.07000000000000001</v>
      </c>
      <c r="H205" s="170">
        <f>Tabela10[[#This Row],[M² Da chapa]]*Tabela10[[#This Row],[Qtde Chapas
Liberadas]]</f>
        <v/>
      </c>
      <c r="I205" s="59" t="n"/>
      <c r="J205" s="170">
        <f>Tabela10[[#This Row],[ERP]]/Tabela10[[#This Row],[M² Da chapa]]</f>
        <v/>
      </c>
      <c r="K205" s="170">
        <f>Tabela10[[#This Row],[M² CHAPAS]]-Tabela10[[#This Row],[ERP]]</f>
        <v/>
      </c>
      <c r="L205" s="170">
        <f>Tabela10[[#This Row],[DIFERENÇA M²]]/Tabela10[[#This Row],[M² Da chapa]]</f>
        <v/>
      </c>
    </row>
    <row r="206">
      <c r="A206" s="6" t="inlineStr">
        <is>
          <t>-</t>
        </is>
      </c>
      <c r="B206" s="8" t="inlineStr">
        <is>
          <t>N2508306</t>
        </is>
      </c>
      <c r="C206" s="56">
        <f>VLOOKUP(LEFT(B206,1),Tabela5[],2,0)</f>
        <v/>
      </c>
      <c r="D206" s="57" t="inlineStr">
        <is>
          <t>MDF - 15MM</t>
        </is>
      </c>
      <c r="E206" s="169">
        <f>VLOOKUP(Tabela10[[#This Row],[Tipo de Chapa]],Tabela11[],2,FALSE)</f>
        <v/>
      </c>
      <c r="F206" s="169" t="n">
        <v>372</v>
      </c>
      <c r="G206" s="152" t="n">
        <v>0.0513</v>
      </c>
      <c r="H206" s="170">
        <f>Tabela10[[#This Row],[M² Da chapa]]*Tabela10[[#This Row],[Qtde Chapas
Liberadas]]</f>
        <v/>
      </c>
      <c r="J206" s="59">
        <f>Tabela10[[#This Row],[ERP]]/Tabela10[[#This Row],[M² Da chapa]]</f>
        <v/>
      </c>
      <c r="K206" s="170">
        <f>Tabela10[[#This Row],[M² CHAPAS]]-Tabela10[[#This Row],[ERP]]</f>
        <v/>
      </c>
      <c r="L206" s="170">
        <f>Tabela10[[#This Row],[DIFERENÇA M²]]/Tabela10[[#This Row],[M² Da chapa]]</f>
        <v/>
      </c>
    </row>
    <row r="207">
      <c r="A207" s="6" t="inlineStr">
        <is>
          <t>-</t>
        </is>
      </c>
      <c r="B207" s="8" t="inlineStr">
        <is>
          <t>N2508305</t>
        </is>
      </c>
      <c r="C207" s="56">
        <f>VLOOKUP(LEFT(B207,1),Tabela5[],2,0)</f>
        <v/>
      </c>
      <c r="D207" s="57" t="inlineStr">
        <is>
          <t>MDF - 15MM</t>
        </is>
      </c>
      <c r="E207" s="169">
        <f>VLOOKUP(Tabela10[[#This Row],[Tipo de Chapa]],Tabela11[],2,FALSE)</f>
        <v/>
      </c>
      <c r="F207" s="169" t="n">
        <v>107</v>
      </c>
      <c r="G207" s="152" t="n">
        <v>0.0534</v>
      </c>
      <c r="H207" s="170">
        <f>Tabela10[[#This Row],[M² Da chapa]]*Tabela10[[#This Row],[Qtde Chapas
Liberadas]]</f>
        <v/>
      </c>
      <c r="J207" s="59">
        <f>Tabela10[[#This Row],[ERP]]/Tabela10[[#This Row],[M² Da chapa]]</f>
        <v/>
      </c>
      <c r="K207" s="170">
        <f>Tabela10[[#This Row],[M² CHAPAS]]-Tabela10[[#This Row],[ERP]]</f>
        <v/>
      </c>
      <c r="L207" s="170">
        <f>Tabela10[[#This Row],[DIFERENÇA M²]]/Tabela10[[#This Row],[M² Da chapa]]</f>
        <v/>
      </c>
    </row>
    <row r="208">
      <c r="A208" s="6" t="inlineStr">
        <is>
          <t>-</t>
        </is>
      </c>
      <c r="B208" s="8" t="inlineStr">
        <is>
          <t>N2508308</t>
        </is>
      </c>
      <c r="C208" s="56">
        <f>VLOOKUP(LEFT(B208,1),Tabela5[],2,0)</f>
        <v/>
      </c>
      <c r="D208" s="57" t="inlineStr">
        <is>
          <t>MDF - 15MM</t>
        </is>
      </c>
      <c r="E208" s="169">
        <f>VLOOKUP(Tabela10[[#This Row],[Tipo de Chapa]],Tabela11[],2,FALSE)</f>
        <v/>
      </c>
      <c r="F208" s="151" t="n">
        <v>141</v>
      </c>
      <c r="G208" s="152" t="n">
        <v>0.0659</v>
      </c>
      <c r="H208" s="170">
        <f>Tabela10[[#This Row],[M² Da chapa]]*Tabela10[[#This Row],[Qtde Chapas
Liberadas]]</f>
        <v/>
      </c>
      <c r="J208" s="59">
        <f>Tabela10[[#This Row],[ERP]]/Tabela10[[#This Row],[M² Da chapa]]</f>
        <v/>
      </c>
      <c r="K208" s="170">
        <f>Tabela10[[#This Row],[M² CHAPAS]]-Tabela10[[#This Row],[ERP]]</f>
        <v/>
      </c>
      <c r="L208" s="170">
        <f>Tabela10[[#This Row],[DIFERENÇA M²]]/Tabela10[[#This Row],[M² Da chapa]]</f>
        <v/>
      </c>
    </row>
    <row r="209">
      <c r="A209" s="6" t="inlineStr">
        <is>
          <t>-</t>
        </is>
      </c>
      <c r="B209" s="8" t="inlineStr">
        <is>
          <t>N2508310</t>
        </is>
      </c>
      <c r="C209" s="56">
        <f>VLOOKUP(LEFT(B209,1),Tabela5[],2,0)</f>
        <v/>
      </c>
      <c r="D209" s="57" t="inlineStr">
        <is>
          <t>MDF - 15MM</t>
        </is>
      </c>
      <c r="E209" s="170">
        <f>VLOOKUP(Tabela10[[#This Row],[Tipo de Chapa]],Tabela11[],2,FALSE)</f>
        <v/>
      </c>
      <c r="F209" s="169" t="n">
        <v>188</v>
      </c>
      <c r="G209" s="152" t="n">
        <v>0.0604</v>
      </c>
      <c r="H209" s="170">
        <f>Tabela10[[#This Row],[M² Da chapa]]*Tabela10[[#This Row],[Qtde Chapas
Liberadas]]</f>
        <v/>
      </c>
      <c r="J209" s="59">
        <f>Tabela10[[#This Row],[ERP]]/Tabela10[[#This Row],[M² Da chapa]]</f>
        <v/>
      </c>
      <c r="K209" s="170">
        <f>Tabela10[[#This Row],[M² CHAPAS]]-Tabela10[[#This Row],[ERP]]</f>
        <v/>
      </c>
      <c r="L209" s="170">
        <f>Tabela10[[#This Row],[DIFERENÇA M²]]/Tabela10[[#This Row],[M² Da chapa]]</f>
        <v/>
      </c>
    </row>
    <row r="210">
      <c r="A210" s="6" t="inlineStr">
        <is>
          <t>-</t>
        </is>
      </c>
      <c r="B210" s="8" t="inlineStr">
        <is>
          <t>N2508309</t>
        </is>
      </c>
      <c r="C210" s="56">
        <f>VLOOKUP(LEFT(B210,1),Tabela5[],2,0)</f>
        <v/>
      </c>
      <c r="D210" s="57" t="inlineStr">
        <is>
          <t>MDF - 15MM</t>
        </is>
      </c>
      <c r="E210" s="170">
        <f>VLOOKUP(Tabela10[[#This Row],[Tipo de Chapa]],Tabela11[],2,FALSE)</f>
        <v/>
      </c>
      <c r="F210" s="169" t="n">
        <v>235</v>
      </c>
      <c r="G210" s="152" t="n">
        <v>0.0501</v>
      </c>
      <c r="H210" s="170">
        <f>Tabela10[[#This Row],[M² Da chapa]]*Tabela10[[#This Row],[Qtde Chapas
Liberadas]]</f>
        <v/>
      </c>
      <c r="J210" s="59">
        <f>Tabela10[[#This Row],[ERP]]/Tabela10[[#This Row],[M² Da chapa]]</f>
        <v/>
      </c>
      <c r="K210" s="170">
        <f>Tabela10[[#This Row],[M² CHAPAS]]-Tabela10[[#This Row],[ERP]]</f>
        <v/>
      </c>
      <c r="L210" s="170">
        <f>Tabela10[[#This Row],[DIFERENÇA M²]]/Tabela10[[#This Row],[M² Da chapa]]</f>
        <v/>
      </c>
    </row>
    <row r="211">
      <c r="A211" s="6" t="inlineStr">
        <is>
          <t>-</t>
        </is>
      </c>
      <c r="B211" s="8" t="inlineStr">
        <is>
          <t>N2508903</t>
        </is>
      </c>
      <c r="C211" s="56">
        <f>VLOOKUP(LEFT(B211,1),Tabela5[],2,0)</f>
        <v/>
      </c>
      <c r="D211" s="57" t="inlineStr">
        <is>
          <t>MDF - 15MM</t>
        </is>
      </c>
      <c r="E211" s="170">
        <f>VLOOKUP(Tabela10[[#This Row],[Tipo de Chapa]],Tabela11[],2,FALSE)</f>
        <v/>
      </c>
      <c r="F211" s="169" t="n">
        <v>19</v>
      </c>
      <c r="G211" s="152" t="n">
        <v>0.055</v>
      </c>
      <c r="H211" s="170">
        <f>Tabela10[[#This Row],[M² Da chapa]]*Tabela10[[#This Row],[Qtde Chapas
Liberadas]]</f>
        <v/>
      </c>
      <c r="J211" s="59">
        <f>Tabela10[[#This Row],[ERP]]/Tabela10[[#This Row],[M² Da chapa]]</f>
        <v/>
      </c>
      <c r="K211" s="170">
        <f>Tabela10[[#This Row],[M² CHAPAS]]-Tabela10[[#This Row],[ERP]]</f>
        <v/>
      </c>
      <c r="L211" s="170">
        <f>Tabela10[[#This Row],[DIFERENÇA M²]]/Tabela10[[#This Row],[M² Da chapa]]</f>
        <v/>
      </c>
    </row>
    <row r="212">
      <c r="A212" s="6" t="inlineStr">
        <is>
          <t>-</t>
        </is>
      </c>
      <c r="B212" s="8" t="inlineStr">
        <is>
          <t>N2508902</t>
        </is>
      </c>
      <c r="C212" s="56">
        <f>VLOOKUP(LEFT(B212,1),Tabela5[],2,0)</f>
        <v/>
      </c>
      <c r="D212" s="57" t="inlineStr">
        <is>
          <t>MDF - 15MM</t>
        </is>
      </c>
      <c r="E212" s="170">
        <f>VLOOKUP(Tabela10[[#This Row],[Tipo de Chapa]],Tabela11[],2,FALSE)</f>
        <v/>
      </c>
      <c r="F212" s="169" t="n">
        <v>28</v>
      </c>
      <c r="G212" s="152" t="n">
        <v>0.0575</v>
      </c>
      <c r="H212" s="170">
        <f>Tabela10[[#This Row],[M² Da chapa]]*Tabela10[[#This Row],[Qtde Chapas
Liberadas]]</f>
        <v/>
      </c>
      <c r="J212" s="59">
        <f>Tabela10[[#This Row],[ERP]]/Tabela10[[#This Row],[M² Da chapa]]</f>
        <v/>
      </c>
      <c r="K212" s="170">
        <f>Tabela10[[#This Row],[M² CHAPAS]]-Tabela10[[#This Row],[ERP]]</f>
        <v/>
      </c>
      <c r="L212" s="170">
        <f>Tabela10[[#This Row],[DIFERENÇA M²]]/Tabela10[[#This Row],[M² Da chapa]]</f>
        <v/>
      </c>
    </row>
    <row r="213">
      <c r="A213" s="6" t="inlineStr">
        <is>
          <t>-</t>
        </is>
      </c>
      <c r="B213" s="8" t="inlineStr">
        <is>
          <t>N2508901</t>
        </is>
      </c>
      <c r="C213" s="56">
        <f>VLOOKUP(LEFT(B213,1),Tabela5[],2,0)</f>
        <v/>
      </c>
      <c r="D213" s="57" t="inlineStr">
        <is>
          <t>MDF - 15MM</t>
        </is>
      </c>
      <c r="E213" s="170">
        <f>VLOOKUP(Tabela10[[#This Row],[Tipo de Chapa]],Tabela11[],2,FALSE)</f>
        <v/>
      </c>
      <c r="F213" s="169" t="n">
        <v>32</v>
      </c>
      <c r="G213" s="152" t="n">
        <v>0.0468</v>
      </c>
      <c r="H213" s="170">
        <f>Tabela10[[#This Row],[M² Da chapa]]*Tabela10[[#This Row],[Qtde Chapas
Liberadas]]</f>
        <v/>
      </c>
      <c r="J213" s="59">
        <f>Tabela10[[#This Row],[ERP]]/Tabela10[[#This Row],[M² Da chapa]]</f>
        <v/>
      </c>
      <c r="K213" s="170">
        <f>Tabela10[[#This Row],[M² CHAPAS]]-Tabela10[[#This Row],[ERP]]</f>
        <v/>
      </c>
      <c r="L213" s="170">
        <f>Tabela10[[#This Row],[DIFERENÇA M²]]/Tabela10[[#This Row],[M² Da chapa]]</f>
        <v/>
      </c>
    </row>
    <row r="214">
      <c r="A214" s="6" t="inlineStr">
        <is>
          <t>-</t>
        </is>
      </c>
      <c r="B214" s="8" t="inlineStr">
        <is>
          <t>N2508905</t>
        </is>
      </c>
      <c r="C214" s="56">
        <f>VLOOKUP(LEFT(B214,1),Tabela5[],2,0)</f>
        <v/>
      </c>
      <c r="D214" s="57" t="inlineStr">
        <is>
          <t>MDF - 15MM</t>
        </is>
      </c>
      <c r="E214" s="170">
        <f>VLOOKUP(Tabela10[[#This Row],[Tipo de Chapa]],Tabela11[],2,FALSE)</f>
        <v/>
      </c>
      <c r="F214" s="169" t="n">
        <v>19</v>
      </c>
      <c r="G214" s="152" t="n">
        <v>0.0538</v>
      </c>
      <c r="H214" s="170">
        <f>Tabela10[[#This Row],[M² Da chapa]]*Tabela10[[#This Row],[Qtde Chapas
Liberadas]]</f>
        <v/>
      </c>
      <c r="J214" s="59">
        <f>Tabela10[[#This Row],[ERP]]/Tabela10[[#This Row],[M² Da chapa]]</f>
        <v/>
      </c>
      <c r="K214" s="170">
        <f>Tabela10[[#This Row],[M² CHAPAS]]-Tabela10[[#This Row],[ERP]]</f>
        <v/>
      </c>
      <c r="L214" s="170">
        <f>Tabela10[[#This Row],[DIFERENÇA M²]]/Tabela10[[#This Row],[M² Da chapa]]</f>
        <v/>
      </c>
    </row>
    <row r="215">
      <c r="A215" s="6" t="inlineStr">
        <is>
          <t>-</t>
        </is>
      </c>
      <c r="B215" s="8" t="inlineStr">
        <is>
          <t>N2508904</t>
        </is>
      </c>
      <c r="C215" s="56">
        <f>VLOOKUP(LEFT(B215,1),Tabela5[],2,0)</f>
        <v/>
      </c>
      <c r="D215" s="57" t="inlineStr">
        <is>
          <t>MDF - 15MM</t>
        </is>
      </c>
      <c r="E215" s="170">
        <f>VLOOKUP(Tabela10[[#This Row],[Tipo de Chapa]],Tabela11[],2,FALSE)</f>
        <v/>
      </c>
      <c r="F215" s="169" t="n">
        <v>15</v>
      </c>
      <c r="G215" s="152" t="n">
        <v>0.056</v>
      </c>
      <c r="H215" s="170">
        <f>Tabela10[[#This Row],[M² Da chapa]]*Tabela10[[#This Row],[Qtde Chapas
Liberadas]]</f>
        <v/>
      </c>
      <c r="J215" s="59">
        <f>Tabela10[[#This Row],[ERP]]/Tabela10[[#This Row],[M² Da chapa]]</f>
        <v/>
      </c>
      <c r="K215" s="170">
        <f>Tabela10[[#This Row],[M² CHAPAS]]-Tabela10[[#This Row],[ERP]]</f>
        <v/>
      </c>
      <c r="L215" s="170">
        <f>Tabela10[[#This Row],[DIFERENÇA M²]]/Tabela10[[#This Row],[M² Da chapa]]</f>
        <v/>
      </c>
    </row>
    <row r="216">
      <c r="A216" s="6" t="inlineStr">
        <is>
          <t>-</t>
        </is>
      </c>
      <c r="B216" s="8" t="inlineStr">
        <is>
          <t>N25089</t>
        </is>
      </c>
      <c r="C216" s="56">
        <f>VLOOKUP(LEFT(B216,1),Tabela5[],2,0)</f>
        <v/>
      </c>
      <c r="D216" s="57" t="inlineStr">
        <is>
          <t>EUCADUR NT - 2,5MM</t>
        </is>
      </c>
      <c r="E216" s="170">
        <f>VLOOKUP(Tabela10[[#This Row],[Tipo de Chapa]],Tabela11[],2,FALSE)</f>
        <v/>
      </c>
      <c r="F216" s="169" t="n">
        <v>56</v>
      </c>
      <c r="G216" s="152" t="n">
        <v>0.0649</v>
      </c>
      <c r="H216" s="170">
        <f>Tabela10[[#This Row],[M² Da chapa]]*Tabela10[[#This Row],[Qtde Chapas
Liberadas]]</f>
        <v/>
      </c>
      <c r="I216" s="170" t="n">
        <v>285.68</v>
      </c>
      <c r="J216" s="59">
        <f>Tabela10[[#This Row],[ERP]]/Tabela10[[#This Row],[M² Da chapa]]</f>
        <v/>
      </c>
      <c r="K216" s="170">
        <f>Tabela10[[#This Row],[M² CHAPAS]]-Tabela10[[#This Row],[ERP]]</f>
        <v/>
      </c>
      <c r="L216" s="170">
        <f>Tabela10[[#This Row],[DIFERENÇA M²]]/Tabela10[[#This Row],[M² Da chapa]]</f>
        <v/>
      </c>
    </row>
    <row r="217" hidden="1">
      <c r="A217" s="6" t="inlineStr">
        <is>
          <t>-</t>
        </is>
      </c>
      <c r="B217" s="8" t="inlineStr">
        <is>
          <t xml:space="preserve">L2506004 </t>
        </is>
      </c>
      <c r="C217" s="56">
        <f>VLOOKUP(LEFT(B217,1),Tabela5[],2,0)</f>
        <v/>
      </c>
      <c r="D217" s="57" t="inlineStr">
        <is>
          <t>EUCADUR NT - 2,5MM</t>
        </is>
      </c>
      <c r="E217" s="170">
        <f>VLOOKUP(Tabela10[[#This Row],[Tipo de Chapa]],Tabela11[],2,FALSE)</f>
        <v/>
      </c>
      <c r="F217" s="169" t="n">
        <v>150</v>
      </c>
      <c r="G217" s="152" t="n">
        <v>0.0668</v>
      </c>
      <c r="H217" s="170">
        <f>Tabela10[[#This Row],[M² Da chapa]]*Tabela10[[#This Row],[Qtde Chapas
Liberadas]]</f>
        <v/>
      </c>
      <c r="J217" s="59">
        <f>Tabela10[[#This Row],[ERP]]/Tabela10[[#This Row],[M² Da chapa]]</f>
        <v/>
      </c>
      <c r="K217" s="170">
        <f>Tabela10[[#This Row],[M² CHAPAS]]-Tabela10[[#This Row],[ERP]]</f>
        <v/>
      </c>
      <c r="L217" s="170">
        <f>Tabela10[[#This Row],[DIFERENÇA M²]]/Tabela10[[#This Row],[M² Da chapa]]</f>
        <v/>
      </c>
    </row>
    <row r="218" hidden="1">
      <c r="A218" s="6" t="inlineStr">
        <is>
          <t>-</t>
        </is>
      </c>
      <c r="B218" s="8" t="inlineStr">
        <is>
          <t>L2506102</t>
        </is>
      </c>
      <c r="C218" s="56">
        <f>VLOOKUP(LEFT(B218,1),Tabela5[],2,0)</f>
        <v/>
      </c>
      <c r="D218" s="57" t="inlineStr">
        <is>
          <t>EUCADUR NT - 2,5MM</t>
        </is>
      </c>
      <c r="E218" s="170">
        <f>VLOOKUP(Tabela10[[#This Row],[Tipo de Chapa]],Tabela11[],2,FALSE)</f>
        <v/>
      </c>
      <c r="F218" s="169" t="n">
        <v>78</v>
      </c>
      <c r="G218" s="152" t="n">
        <v>0.0668</v>
      </c>
      <c r="H218" s="170">
        <f>Tabela10[[#This Row],[M² Da chapa]]*Tabela10[[#This Row],[Qtde Chapas
Liberadas]]</f>
        <v/>
      </c>
      <c r="J218" s="59">
        <f>Tabela10[[#This Row],[ERP]]/Tabela10[[#This Row],[M² Da chapa]]</f>
        <v/>
      </c>
      <c r="K218" s="170">
        <f>Tabela10[[#This Row],[M² CHAPAS]]-Tabela10[[#This Row],[ERP]]</f>
        <v/>
      </c>
      <c r="L218" s="170">
        <f>Tabela10[[#This Row],[DIFERENÇA M²]]/Tabela10[[#This Row],[M² Da chapa]]</f>
        <v/>
      </c>
    </row>
    <row r="219" hidden="1">
      <c r="A219" s="6" t="inlineStr">
        <is>
          <t>-</t>
        </is>
      </c>
      <c r="B219" s="90" t="inlineStr">
        <is>
          <t>L2506103 | L2506104 | L2506105</t>
        </is>
      </c>
      <c r="C219" s="65">
        <f>VLOOKUP(LEFT(B219,1),Tabela5[],2,0)</f>
        <v/>
      </c>
      <c r="D219" s="66" t="inlineStr">
        <is>
          <t>MDF - 15MM</t>
        </is>
      </c>
      <c r="E219" s="170">
        <f>VLOOKUP(Tabela10[[#This Row],[Tipo de Chapa]],Tabela11[],2,FALSE)</f>
        <v/>
      </c>
      <c r="F219" s="55" t="n">
        <v>470</v>
      </c>
      <c r="G219" s="67" t="n">
        <v>0.0465</v>
      </c>
      <c r="H219" s="42">
        <f>Tabela10[[#This Row],[M² Da chapa]]*Tabela10[[#This Row],[Qtde Chapas
Liberadas]]</f>
        <v/>
      </c>
      <c r="I219" s="42" t="n"/>
      <c r="J219" s="68">
        <f>Tabela10[[#This Row],[ERP]]/Tabela10[[#This Row],[M² Da chapa]]</f>
        <v/>
      </c>
      <c r="K219" s="42">
        <f>Tabela10[[#This Row],[M² CHAPAS]]-Tabela10[[#This Row],[ERP]]</f>
        <v/>
      </c>
      <c r="L219" s="42">
        <f>Tabela10[[#This Row],[DIFERENÇA M²]]/Tabela10[[#This Row],[M² Da chapa]]</f>
        <v/>
      </c>
    </row>
    <row r="220">
      <c r="A220" s="6" t="inlineStr">
        <is>
          <t>-</t>
        </is>
      </c>
      <c r="B220" s="8" t="inlineStr">
        <is>
          <t>N2508402</t>
        </is>
      </c>
      <c r="C220" s="56">
        <f>VLOOKUP(LEFT(B220,1),Tabela5[],2,0)</f>
        <v/>
      </c>
      <c r="D220" s="57" t="inlineStr">
        <is>
          <t>MDF - 15MM</t>
        </is>
      </c>
      <c r="E220" s="170">
        <f>VLOOKUP(Tabela10[[#This Row],[Tipo de Chapa]],Tabela11[],2,FALSE)</f>
        <v/>
      </c>
      <c r="F220" s="169" t="n">
        <v>322</v>
      </c>
      <c r="G220" s="152" t="n">
        <v>0.0546</v>
      </c>
      <c r="H220" s="170">
        <f>Tabela10[[#This Row],[M² Da chapa]]*Tabela10[[#This Row],[Qtde Chapas
Liberadas]]</f>
        <v/>
      </c>
      <c r="J220" s="59">
        <f>Tabela10[[#This Row],[ERP]]/Tabela10[[#This Row],[M² Da chapa]]</f>
        <v/>
      </c>
      <c r="K220" s="170">
        <f>Tabela10[[#This Row],[M² CHAPAS]]-Tabela10[[#This Row],[ERP]]</f>
        <v/>
      </c>
      <c r="L220" s="170">
        <f>Tabela10[[#This Row],[DIFERENÇA M²]]/Tabela10[[#This Row],[M² Da chapa]]</f>
        <v/>
      </c>
    </row>
    <row r="221">
      <c r="A221" s="6" t="inlineStr">
        <is>
          <t>-</t>
        </is>
      </c>
      <c r="B221" s="8" t="inlineStr">
        <is>
          <t>N2508401</t>
        </is>
      </c>
      <c r="C221" s="56">
        <f>VLOOKUP(LEFT(B221,1),Tabela5[],2,0)</f>
        <v/>
      </c>
      <c r="D221" s="57" t="inlineStr">
        <is>
          <t>MDF - 15MM</t>
        </is>
      </c>
      <c r="E221" s="170">
        <f>VLOOKUP(Tabela10[[#This Row],[Tipo de Chapa]],Tabela11[],2,FALSE)</f>
        <v/>
      </c>
      <c r="F221" s="169" t="n">
        <v>529</v>
      </c>
      <c r="G221" s="152" t="n">
        <v>0.058</v>
      </c>
      <c r="H221" s="170">
        <f>Tabela10[[#This Row],[M² Da chapa]]*Tabela10[[#This Row],[Qtde Chapas
Liberadas]]</f>
        <v/>
      </c>
      <c r="J221" s="59">
        <f>Tabela10[[#This Row],[ERP]]/Tabela10[[#This Row],[M² Da chapa]]</f>
        <v/>
      </c>
      <c r="K221" s="170">
        <f>Tabela10[[#This Row],[M² CHAPAS]]-Tabela10[[#This Row],[ERP]]</f>
        <v/>
      </c>
      <c r="L221" s="170">
        <f>Tabela10[[#This Row],[DIFERENÇA M²]]/Tabela10[[#This Row],[M² Da chapa]]</f>
        <v/>
      </c>
    </row>
    <row r="222">
      <c r="A222" s="6" t="inlineStr">
        <is>
          <t>-</t>
        </is>
      </c>
      <c r="B222" s="8" t="inlineStr">
        <is>
          <t>N2508403</t>
        </is>
      </c>
      <c r="C222" s="56">
        <f>VLOOKUP(LEFT(B222,1),Tabela5[],2,0)</f>
        <v/>
      </c>
      <c r="D222" s="57" t="inlineStr">
        <is>
          <t>MDF - 15MM</t>
        </is>
      </c>
      <c r="E222" s="170">
        <f>VLOOKUP(Tabela10[[#This Row],[Tipo de Chapa]],Tabela11[],2,FALSE)</f>
        <v/>
      </c>
      <c r="F222" s="169" t="n">
        <v>203</v>
      </c>
      <c r="G222" s="152" t="n">
        <v>0.064</v>
      </c>
      <c r="H222" s="170">
        <f>Tabela10[[#This Row],[M² Da chapa]]*Tabela10[[#This Row],[Qtde Chapas
Liberadas]]</f>
        <v/>
      </c>
      <c r="J222" s="59">
        <f>Tabela10[[#This Row],[ERP]]/Tabela10[[#This Row],[M² Da chapa]]</f>
        <v/>
      </c>
      <c r="K222" s="170">
        <f>Tabela10[[#This Row],[M² CHAPAS]]-Tabela10[[#This Row],[ERP]]</f>
        <v/>
      </c>
      <c r="L222" s="170">
        <f>Tabela10[[#This Row],[DIFERENÇA M²]]/Tabela10[[#This Row],[M² Da chapa]]</f>
        <v/>
      </c>
    </row>
    <row r="223">
      <c r="A223" s="6" t="inlineStr">
        <is>
          <t>-</t>
        </is>
      </c>
      <c r="B223" s="8" t="inlineStr">
        <is>
          <t>N2508404</t>
        </is>
      </c>
      <c r="C223" s="56">
        <f>VLOOKUP(LEFT(B223,1),Tabela5[],2,0)</f>
        <v/>
      </c>
      <c r="D223" s="57" t="inlineStr">
        <is>
          <t>MDF - 15MM</t>
        </is>
      </c>
      <c r="E223" s="170">
        <f>VLOOKUP(Tabela10[[#This Row],[Tipo de Chapa]],Tabela11[],2,FALSE)</f>
        <v/>
      </c>
      <c r="F223" s="169" t="n">
        <v>77</v>
      </c>
      <c r="G223" s="152" t="n">
        <v>0.0539</v>
      </c>
      <c r="H223" s="170">
        <f>Tabela10[[#This Row],[M² Da chapa]]*Tabela10[[#This Row],[Qtde Chapas
Liberadas]]</f>
        <v/>
      </c>
      <c r="J223" s="59">
        <f>Tabela10[[#This Row],[ERP]]/Tabela10[[#This Row],[M² Da chapa]]</f>
        <v/>
      </c>
      <c r="K223" s="170">
        <f>Tabela10[[#This Row],[M² CHAPAS]]-Tabela10[[#This Row],[ERP]]</f>
        <v/>
      </c>
      <c r="L223" s="170">
        <f>Tabela10[[#This Row],[DIFERENÇA M²]]/Tabela10[[#This Row],[M² Da chapa]]</f>
        <v/>
      </c>
    </row>
    <row r="224">
      <c r="A224" s="6" t="inlineStr">
        <is>
          <t>-</t>
        </is>
      </c>
      <c r="B224" s="8" t="inlineStr">
        <is>
          <t>N2508405</t>
        </is>
      </c>
      <c r="C224" s="56">
        <f>VLOOKUP(LEFT(B224,1),Tabela5[],2,0)</f>
        <v/>
      </c>
      <c r="D224" s="57" t="inlineStr">
        <is>
          <t>MDF - 15MM</t>
        </is>
      </c>
      <c r="E224" s="170">
        <f>VLOOKUP(Tabela10[[#This Row],[Tipo de Chapa]],Tabela11[],2,FALSE)</f>
        <v/>
      </c>
      <c r="F224" s="169" t="n">
        <v>86</v>
      </c>
      <c r="G224" s="152" t="n">
        <v>0.0631</v>
      </c>
      <c r="H224" s="170">
        <f>Tabela10[[#This Row],[M² Da chapa]]*Tabela10[[#This Row],[Qtde Chapas
Liberadas]]</f>
        <v/>
      </c>
      <c r="J224" s="59">
        <f>Tabela10[[#This Row],[ERP]]/Tabela10[[#This Row],[M² Da chapa]]</f>
        <v/>
      </c>
      <c r="K224" s="170">
        <f>Tabela10[[#This Row],[M² CHAPAS]]-Tabela10[[#This Row],[ERP]]</f>
        <v/>
      </c>
      <c r="L224" s="170">
        <f>Tabela10[[#This Row],[DIFERENÇA M²]]/Tabela10[[#This Row],[M² Da chapa]]</f>
        <v/>
      </c>
    </row>
    <row r="225">
      <c r="A225" s="6" t="inlineStr">
        <is>
          <t>-</t>
        </is>
      </c>
      <c r="B225" s="8" t="inlineStr">
        <is>
          <t>N2508406</t>
        </is>
      </c>
      <c r="C225" s="56">
        <f>VLOOKUP(LEFT(B225,1),Tabela5[],2,0)</f>
        <v/>
      </c>
      <c r="D225" s="57" t="inlineStr">
        <is>
          <t>MDF - 15MM</t>
        </is>
      </c>
      <c r="E225" s="170">
        <f>VLOOKUP(Tabela10[[#This Row],[Tipo de Chapa]],Tabela11[],2,FALSE)</f>
        <v/>
      </c>
      <c r="F225" s="169" t="n">
        <v>125</v>
      </c>
      <c r="G225" s="152" t="n">
        <v>0.0687</v>
      </c>
      <c r="H225" s="170">
        <f>Tabela10[[#This Row],[M² Da chapa]]*Tabela10[[#This Row],[Qtde Chapas
Liberadas]]</f>
        <v/>
      </c>
      <c r="J225" s="59">
        <f>Tabela10[[#This Row],[ERP]]/Tabela10[[#This Row],[M² Da chapa]]</f>
        <v/>
      </c>
      <c r="K225" s="170">
        <f>Tabela10[[#This Row],[M² CHAPAS]]-Tabela10[[#This Row],[ERP]]</f>
        <v/>
      </c>
      <c r="L225" s="170">
        <f>Tabela10[[#This Row],[DIFERENÇA M²]]/Tabela10[[#This Row],[M² Da chapa]]</f>
        <v/>
      </c>
    </row>
    <row r="226">
      <c r="A226" s="6" t="inlineStr">
        <is>
          <t>-</t>
        </is>
      </c>
      <c r="B226" s="8" t="inlineStr">
        <is>
          <t>N2508407</t>
        </is>
      </c>
      <c r="C226" s="56">
        <f>VLOOKUP(LEFT(B226,1),Tabela5[],2,0)</f>
        <v/>
      </c>
      <c r="D226" s="57" t="inlineStr">
        <is>
          <t>MDF - 15MM</t>
        </is>
      </c>
      <c r="E226" s="170">
        <f>VLOOKUP(Tabela10[[#This Row],[Tipo de Chapa]],Tabela11[],2,FALSE)</f>
        <v/>
      </c>
      <c r="F226" s="169" t="n">
        <v>137</v>
      </c>
      <c r="G226" s="152" t="n">
        <v>0.0634</v>
      </c>
      <c r="H226" s="170">
        <f>Tabela10[[#This Row],[M² Da chapa]]*Tabela10[[#This Row],[Qtde Chapas
Liberadas]]</f>
        <v/>
      </c>
      <c r="J226" s="59">
        <f>Tabela10[[#This Row],[ERP]]/Tabela10[[#This Row],[M² Da chapa]]</f>
        <v/>
      </c>
      <c r="K226" s="170">
        <f>Tabela10[[#This Row],[M² CHAPAS]]-Tabela10[[#This Row],[ERP]]</f>
        <v/>
      </c>
      <c r="L226" s="170">
        <f>Tabela10[[#This Row],[DIFERENÇA M²]]/Tabela10[[#This Row],[M² Da chapa]]</f>
        <v/>
      </c>
    </row>
    <row r="227" hidden="1">
      <c r="A227" s="6" t="inlineStr">
        <is>
          <t>-</t>
        </is>
      </c>
      <c r="B227" s="8" t="inlineStr">
        <is>
          <t>L2506103 |  L2506105</t>
        </is>
      </c>
      <c r="C227" s="56">
        <f>VLOOKUP(LEFT(B227,1),Tabela5[],2,0)</f>
        <v/>
      </c>
      <c r="D227" s="57" t="inlineStr">
        <is>
          <t>EUCADUR NT - 2,5MM</t>
        </is>
      </c>
      <c r="E227" s="170">
        <f>VLOOKUP(Tabela10[[#This Row],[Tipo de Chapa]],Tabela11[],2,FALSE)</f>
        <v/>
      </c>
      <c r="F227" s="169" t="n">
        <v>289</v>
      </c>
      <c r="G227" s="152" t="n">
        <v>0.06909999999999999</v>
      </c>
      <c r="H227" s="170">
        <f>Tabela10[[#This Row],[M² Da chapa]]*Tabela10[[#This Row],[Qtde Chapas
Liberadas]]</f>
        <v/>
      </c>
      <c r="J227" s="59">
        <f>Tabela10[[#This Row],[ERP]]/Tabela10[[#This Row],[M² Da chapa]]</f>
        <v/>
      </c>
      <c r="K227" s="170">
        <f>Tabela10[[#This Row],[M² CHAPAS]]-Tabela10[[#This Row],[ERP]]</f>
        <v/>
      </c>
      <c r="L227" s="170">
        <f>Tabela10[[#This Row],[DIFERENÇA M²]]/Tabela10[[#This Row],[M² Da chapa]]</f>
        <v/>
      </c>
    </row>
    <row r="228" hidden="1" ht="28.8" customHeight="1">
      <c r="A228" s="6" t="inlineStr">
        <is>
          <t>-</t>
        </is>
      </c>
      <c r="B228" s="8" t="inlineStr">
        <is>
          <t>L - 313X297 FURAÇÃO ERRADA (INFORMAÇÃO PARA M&amp;P)</t>
        </is>
      </c>
      <c r="C228" s="56">
        <f>VLOOKUP(LEFT(B228,1),Tabela5[],2,0)</f>
        <v/>
      </c>
      <c r="D228" s="57" t="inlineStr">
        <is>
          <t>MDF - 15MM</t>
        </is>
      </c>
      <c r="E228" s="170">
        <f>VLOOKUP(Tabela10[[#This Row],[Tipo de Chapa]],Tabela11[],2,FALSE)</f>
        <v/>
      </c>
      <c r="F228" s="169" t="n">
        <v>17</v>
      </c>
      <c r="G228" s="152" t="n">
        <v>0.06</v>
      </c>
      <c r="H228" s="170">
        <f>Tabela10[[#This Row],[M² Da chapa]]*Tabela10[[#This Row],[Qtde Chapas
Liberadas]]</f>
        <v/>
      </c>
      <c r="J228" s="59">
        <f>Tabela10[[#This Row],[ERP]]/Tabela10[[#This Row],[M² Da chapa]]</f>
        <v/>
      </c>
      <c r="K228" s="170">
        <f>Tabela10[[#This Row],[M² CHAPAS]]-Tabela10[[#This Row],[ERP]]</f>
        <v/>
      </c>
      <c r="L228" s="170">
        <f>Tabela10[[#This Row],[DIFERENÇA M²]]/Tabela10[[#This Row],[M² Da chapa]]</f>
        <v/>
      </c>
    </row>
    <row r="229" hidden="1">
      <c r="A229" s="6" t="inlineStr">
        <is>
          <t>-</t>
        </is>
      </c>
      <c r="B229" s="8" t="inlineStr">
        <is>
          <t>L2506501 | L2506502 | L2506503</t>
        </is>
      </c>
      <c r="C229" s="56">
        <f>VLOOKUP(LEFT(B229,1),Tabela5[],2,0)</f>
        <v/>
      </c>
      <c r="D229" s="57" t="inlineStr">
        <is>
          <t>MDF - 15MM</t>
        </is>
      </c>
      <c r="E229" s="170">
        <f>VLOOKUP(Tabela10[[#This Row],[Tipo de Chapa]],Tabela11[],2,FALSE)</f>
        <v/>
      </c>
      <c r="F229" s="169" t="n">
        <v>934</v>
      </c>
      <c r="G229" s="152" t="n">
        <v>0.0456</v>
      </c>
      <c r="H229" s="170">
        <f>Tabela10[[#This Row],[M² Da chapa]]*Tabela10[[#This Row],[Qtde Chapas
Liberadas]]</f>
        <v/>
      </c>
      <c r="I229" s="59" t="n">
        <v>6087.83</v>
      </c>
      <c r="J229" s="59">
        <f>Tabela10[[#This Row],[ERP]]/Tabela10[[#This Row],[M² Da chapa]]</f>
        <v/>
      </c>
      <c r="K229" s="170">
        <f>Tabela10[[#This Row],[M² CHAPAS]]-Tabela10[[#This Row],[ERP]]</f>
        <v/>
      </c>
      <c r="L229" s="170">
        <f>Tabela10[[#This Row],[DIFERENÇA M²]]/Tabela10[[#This Row],[M² Da chapa]]</f>
        <v/>
      </c>
    </row>
    <row r="230">
      <c r="A230" s="6" t="inlineStr">
        <is>
          <t>-</t>
        </is>
      </c>
      <c r="B230" s="8" t="inlineStr">
        <is>
          <t>N2508502</t>
        </is>
      </c>
      <c r="C230" s="56">
        <f>VLOOKUP(LEFT(B230,1),Tabela5[],2,0)</f>
        <v/>
      </c>
      <c r="D230" s="57" t="inlineStr">
        <is>
          <t>MDF - 15MM</t>
        </is>
      </c>
      <c r="E230" s="170">
        <f>VLOOKUP(Tabela10[[#This Row],[Tipo de Chapa]],Tabela11[],2,FALSE)</f>
        <v/>
      </c>
      <c r="F230" s="169" t="n">
        <v>192</v>
      </c>
      <c r="G230" s="152" t="n">
        <v>0.061</v>
      </c>
      <c r="H230" s="170">
        <f>Tabela10[[#This Row],[M² Da chapa]]*Tabela10[[#This Row],[Qtde Chapas
Liberadas]]</f>
        <v/>
      </c>
      <c r="J230" s="59">
        <f>Tabela10[[#This Row],[ERP]]/Tabela10[[#This Row],[M² Da chapa]]</f>
        <v/>
      </c>
      <c r="K230" s="170">
        <f>Tabela10[[#This Row],[M² CHAPAS]]-Tabela10[[#This Row],[ERP]]</f>
        <v/>
      </c>
      <c r="L230" s="170">
        <f>Tabela10[[#This Row],[DIFERENÇA M²]]/Tabela10[[#This Row],[M² Da chapa]]</f>
        <v/>
      </c>
    </row>
    <row r="231">
      <c r="A231" s="6" t="inlineStr">
        <is>
          <t>-</t>
        </is>
      </c>
      <c r="B231" s="8" t="inlineStr">
        <is>
          <t>N2508501</t>
        </is>
      </c>
      <c r="C231" s="56">
        <f>VLOOKUP(LEFT(B231,1),Tabela5[],2,0)</f>
        <v/>
      </c>
      <c r="D231" s="57" t="inlineStr">
        <is>
          <t>MDF - 15MM</t>
        </is>
      </c>
      <c r="E231" s="170">
        <f>VLOOKUP(Tabela10[[#This Row],[Tipo de Chapa]],Tabela11[],2,FALSE)</f>
        <v/>
      </c>
      <c r="F231" s="169" t="n">
        <v>33</v>
      </c>
      <c r="G231" s="152" t="n">
        <v>0.0644</v>
      </c>
      <c r="H231" s="170">
        <f>Tabela10[[#This Row],[M² Da chapa]]*Tabela10[[#This Row],[Qtde Chapas
Liberadas]]</f>
        <v/>
      </c>
      <c r="J231" s="59">
        <f>Tabela10[[#This Row],[ERP]]/Tabela10[[#This Row],[M² Da chapa]]</f>
        <v/>
      </c>
      <c r="K231" s="170">
        <f>Tabela10[[#This Row],[M² CHAPAS]]-Tabela10[[#This Row],[ERP]]</f>
        <v/>
      </c>
      <c r="L231" s="170">
        <f>Tabela10[[#This Row],[DIFERENÇA M²]]/Tabela10[[#This Row],[M² Da chapa]]</f>
        <v/>
      </c>
    </row>
    <row r="232">
      <c r="A232" s="6" t="inlineStr">
        <is>
          <t>-</t>
        </is>
      </c>
      <c r="B232" s="8" t="inlineStr">
        <is>
          <t>N2508503</t>
        </is>
      </c>
      <c r="C232" s="56">
        <f>VLOOKUP(LEFT(B232,1),Tabela5[],2,0)</f>
        <v/>
      </c>
      <c r="D232" s="57" t="inlineStr">
        <is>
          <t>MDF - 15MM</t>
        </is>
      </c>
      <c r="E232" s="170">
        <f>VLOOKUP(Tabela10[[#This Row],[Tipo de Chapa]],Tabela11[],2,FALSE)</f>
        <v/>
      </c>
      <c r="F232" s="169" t="n">
        <v>77</v>
      </c>
      <c r="G232" s="152" t="n">
        <v>0.0535</v>
      </c>
      <c r="H232" s="170">
        <f>Tabela10[[#This Row],[M² Da chapa]]*Tabela10[[#This Row],[Qtde Chapas
Liberadas]]</f>
        <v/>
      </c>
      <c r="J232" s="59">
        <f>Tabela10[[#This Row],[ERP]]/Tabela10[[#This Row],[M² Da chapa]]</f>
        <v/>
      </c>
      <c r="K232" s="170">
        <f>Tabela10[[#This Row],[M² CHAPAS]]-Tabela10[[#This Row],[ERP]]</f>
        <v/>
      </c>
      <c r="L232" s="170">
        <f>Tabela10[[#This Row],[DIFERENÇA M²]]/Tabela10[[#This Row],[M² Da chapa]]</f>
        <v/>
      </c>
    </row>
    <row r="233">
      <c r="A233" s="6" t="inlineStr">
        <is>
          <t>-</t>
        </is>
      </c>
      <c r="B233" s="8" t="inlineStr">
        <is>
          <t>N2508504</t>
        </is>
      </c>
      <c r="C233" s="56">
        <f>VLOOKUP(LEFT(B233,1),Tabela5[],2,0)</f>
        <v/>
      </c>
      <c r="D233" s="57" t="inlineStr">
        <is>
          <t>MDF - 15MM</t>
        </is>
      </c>
      <c r="E233" s="170">
        <f>VLOOKUP(Tabela10[[#This Row],[Tipo de Chapa]],Tabela11[],2,FALSE)</f>
        <v/>
      </c>
      <c r="F233" s="169" t="n">
        <v>137</v>
      </c>
      <c r="G233" s="152" t="n">
        <v>0.0675</v>
      </c>
      <c r="H233" s="170">
        <f>Tabela10[[#This Row],[M² Da chapa]]*Tabela10[[#This Row],[Qtde Chapas
Liberadas]]</f>
        <v/>
      </c>
      <c r="J233" s="59">
        <f>Tabela10[[#This Row],[ERP]]/Tabela10[[#This Row],[M² Da chapa]]</f>
        <v/>
      </c>
      <c r="K233" s="170">
        <f>Tabela10[[#This Row],[M² CHAPAS]]-Tabela10[[#This Row],[ERP]]</f>
        <v/>
      </c>
      <c r="L233" s="170">
        <f>Tabela10[[#This Row],[DIFERENÇA M²]]/Tabela10[[#This Row],[M² Da chapa]]</f>
        <v/>
      </c>
    </row>
    <row r="234">
      <c r="A234" s="6" t="inlineStr">
        <is>
          <t>-</t>
        </is>
      </c>
      <c r="B234" s="8" t="inlineStr">
        <is>
          <t>N2508505</t>
        </is>
      </c>
      <c r="C234" s="56">
        <f>VLOOKUP(LEFT(B234,1),Tabela5[],2,0)</f>
        <v/>
      </c>
      <c r="D234" s="57" t="inlineStr">
        <is>
          <t>MDF - 15MM</t>
        </is>
      </c>
      <c r="E234" s="170">
        <f>VLOOKUP(Tabela10[[#This Row],[Tipo de Chapa]],Tabela11[],2,FALSE)</f>
        <v/>
      </c>
      <c r="F234" s="169" t="n">
        <v>242</v>
      </c>
      <c r="G234" s="152" t="n">
        <v>0.057</v>
      </c>
      <c r="H234" s="170">
        <f>Tabela10[[#This Row],[M² Da chapa]]*Tabela10[[#This Row],[Qtde Chapas
Liberadas]]</f>
        <v/>
      </c>
      <c r="J234" s="59">
        <f>Tabela10[[#This Row],[ERP]]/Tabela10[[#This Row],[M² Da chapa]]</f>
        <v/>
      </c>
      <c r="K234" s="170">
        <f>Tabela10[[#This Row],[M² CHAPAS]]-Tabela10[[#This Row],[ERP]]</f>
        <v/>
      </c>
      <c r="L234" s="170">
        <f>Tabela10[[#This Row],[DIFERENÇA M²]]/Tabela10[[#This Row],[M² Da chapa]]</f>
        <v/>
      </c>
    </row>
    <row r="235">
      <c r="A235" s="6" t="inlineStr">
        <is>
          <t>-</t>
        </is>
      </c>
      <c r="B235" s="8" t="inlineStr">
        <is>
          <t>N2508507</t>
        </is>
      </c>
      <c r="C235" s="56">
        <f>VLOOKUP(LEFT(B235,1),Tabela5[],2,0)</f>
        <v/>
      </c>
      <c r="D235" s="57" t="inlineStr">
        <is>
          <t>MDF - 15MM</t>
        </is>
      </c>
      <c r="E235" s="170">
        <f>VLOOKUP(Tabela10[[#This Row],[Tipo de Chapa]],Tabela11[],2,FALSE)</f>
        <v/>
      </c>
      <c r="F235" s="169" t="n">
        <v>126</v>
      </c>
      <c r="G235" s="152" t="n">
        <v>0.06510000000000001</v>
      </c>
      <c r="H235" s="170">
        <f>Tabela10[[#This Row],[M² Da chapa]]*Tabela10[[#This Row],[Qtde Chapas
Liberadas]]</f>
        <v/>
      </c>
      <c r="J235" s="59">
        <f>Tabela10[[#This Row],[ERP]]/Tabela10[[#This Row],[M² Da chapa]]</f>
        <v/>
      </c>
      <c r="K235" s="170">
        <f>Tabela10[[#This Row],[M² CHAPAS]]-Tabela10[[#This Row],[ERP]]</f>
        <v/>
      </c>
      <c r="L235" s="170">
        <f>Tabela10[[#This Row],[DIFERENÇA M²]]/Tabela10[[#This Row],[M² Da chapa]]</f>
        <v/>
      </c>
    </row>
    <row r="236">
      <c r="A236" s="6" t="inlineStr">
        <is>
          <t>-</t>
        </is>
      </c>
      <c r="B236" s="8" t="inlineStr">
        <is>
          <t>N2508506</t>
        </is>
      </c>
      <c r="C236" s="56">
        <f>VLOOKUP(LEFT(B236,1),Tabela5[],2,0)</f>
        <v/>
      </c>
      <c r="D236" s="57" t="inlineStr">
        <is>
          <t>MDF - 15MM</t>
        </is>
      </c>
      <c r="E236" s="170">
        <f>VLOOKUP(Tabela10[[#This Row],[Tipo de Chapa]],Tabela11[],2,FALSE)</f>
        <v/>
      </c>
      <c r="F236" s="169">
        <f>160+56</f>
        <v/>
      </c>
      <c r="G236" s="152" t="n">
        <v>0.057</v>
      </c>
      <c r="H236" s="170">
        <f>Tabela10[[#This Row],[M² Da chapa]]*Tabela10[[#This Row],[Qtde Chapas
Liberadas]]</f>
        <v/>
      </c>
      <c r="J236" s="59">
        <f>Tabela10[[#This Row],[ERP]]/Tabela10[[#This Row],[M² Da chapa]]</f>
        <v/>
      </c>
      <c r="K236" s="170">
        <f>Tabela10[[#This Row],[M² CHAPAS]]-Tabela10[[#This Row],[ERP]]</f>
        <v/>
      </c>
      <c r="L236" s="170">
        <f>Tabela10[[#This Row],[DIFERENÇA M²]]/Tabela10[[#This Row],[M² Da chapa]]</f>
        <v/>
      </c>
    </row>
    <row r="237">
      <c r="A237" s="6" t="inlineStr">
        <is>
          <t>-</t>
        </is>
      </c>
      <c r="B237" s="8" t="inlineStr">
        <is>
          <t>N2508508</t>
        </is>
      </c>
      <c r="C237" s="56">
        <f>VLOOKUP(LEFT(B237,1),Tabela5[],2,0)</f>
        <v/>
      </c>
      <c r="D237" s="57" t="inlineStr">
        <is>
          <t>MDF - 15MM</t>
        </is>
      </c>
      <c r="E237" s="170">
        <f>VLOOKUP(Tabela10[[#This Row],[Tipo de Chapa]],Tabela11[],2,FALSE)</f>
        <v/>
      </c>
      <c r="F237" s="169" t="n">
        <v>231</v>
      </c>
      <c r="G237" s="152" t="n">
        <v>0.0598</v>
      </c>
      <c r="H237" s="170">
        <f>Tabela10[[#This Row],[M² Da chapa]]*Tabela10[[#This Row],[Qtde Chapas
Liberadas]]</f>
        <v/>
      </c>
      <c r="J237" s="59">
        <f>Tabela10[[#This Row],[ERP]]/Tabela10[[#This Row],[M² Da chapa]]</f>
        <v/>
      </c>
      <c r="K237" s="170">
        <f>Tabela10[[#This Row],[M² CHAPAS]]-Tabela10[[#This Row],[ERP]]</f>
        <v/>
      </c>
      <c r="L237" s="170">
        <f>Tabela10[[#This Row],[DIFERENÇA M²]]/Tabela10[[#This Row],[M² Da chapa]]</f>
        <v/>
      </c>
    </row>
    <row r="238">
      <c r="A238" s="6" t="inlineStr">
        <is>
          <t>-</t>
        </is>
      </c>
      <c r="B238" s="8" t="inlineStr">
        <is>
          <t>N25089</t>
        </is>
      </c>
      <c r="C238" s="56">
        <f>VLOOKUP(LEFT(B238,1),Tabela5[],2,0)</f>
        <v/>
      </c>
      <c r="D238" s="57" t="inlineStr">
        <is>
          <t>MDF - 25MM 2750x2100</t>
        </is>
      </c>
      <c r="E238" s="170">
        <f>VLOOKUP(Tabela10[[#This Row],[Tipo de Chapa]],Tabela11[],2,FALSE)</f>
        <v/>
      </c>
      <c r="F238" s="169" t="n">
        <v>11</v>
      </c>
      <c r="G238" s="152" t="n">
        <v>0.0567</v>
      </c>
      <c r="H238" s="170">
        <f>Tabela10[[#This Row],[M² Da chapa]]*Tabela10[[#This Row],[Qtde Chapas
Liberadas]]</f>
        <v/>
      </c>
      <c r="J238" s="59">
        <f>Tabela10[[#This Row],[ERP]]/Tabela10[[#This Row],[M² Da chapa]]</f>
        <v/>
      </c>
      <c r="K238" s="170">
        <f>Tabela10[[#This Row],[M² CHAPAS]]-Tabela10[[#This Row],[ERP]]</f>
        <v/>
      </c>
      <c r="L238" s="170">
        <f>Tabela10[[#This Row],[DIFERENÇA M²]]/Tabela10[[#This Row],[M² Da chapa]]</f>
        <v/>
      </c>
    </row>
    <row r="239">
      <c r="A239" s="6" t="inlineStr">
        <is>
          <t>-</t>
        </is>
      </c>
      <c r="B239" s="8" t="inlineStr">
        <is>
          <t>N25084</t>
        </is>
      </c>
      <c r="C239" s="56">
        <f>VLOOKUP(LEFT(B239,1),Tabela5[],2,0)</f>
        <v/>
      </c>
      <c r="D239" s="57" t="inlineStr">
        <is>
          <t>EUCADUR FRJ - 2,5MM</t>
        </is>
      </c>
      <c r="E239" s="170">
        <f>VLOOKUP(Tabela10[[#This Row],[Tipo de Chapa]],Tabela11[],2,FALSE)</f>
        <v/>
      </c>
      <c r="F239" s="169" t="n">
        <v>627</v>
      </c>
      <c r="G239" s="152" t="n">
        <v>0.065</v>
      </c>
      <c r="H239" s="170">
        <f>Tabela10[[#This Row],[M² Da chapa]]*Tabela10[[#This Row],[Qtde Chapas
Liberadas]]</f>
        <v/>
      </c>
      <c r="I239" s="170" t="n">
        <v>3307.8838</v>
      </c>
      <c r="J239" s="59">
        <f>Tabela10[[#This Row],[ERP]]/Tabela10[[#This Row],[M² Da chapa]]</f>
        <v/>
      </c>
      <c r="K239" s="170">
        <f>Tabela10[[#This Row],[M² CHAPAS]]-Tabela10[[#This Row],[ERP]]</f>
        <v/>
      </c>
      <c r="L239" s="170">
        <f>Tabela10[[#This Row],[DIFERENÇA M²]]/Tabela10[[#This Row],[M² Da chapa]]</f>
        <v/>
      </c>
    </row>
    <row r="240" hidden="1">
      <c r="A240" s="6" t="inlineStr">
        <is>
          <t>-</t>
        </is>
      </c>
      <c r="B240" s="8" t="inlineStr">
        <is>
          <t xml:space="preserve">L2506201 | L2506202 </t>
        </is>
      </c>
      <c r="C240" s="56">
        <f>VLOOKUP(LEFT(B240,1),Tabela5[],2,0)</f>
        <v/>
      </c>
      <c r="D240" s="57" t="inlineStr">
        <is>
          <t>MDF - 15MM</t>
        </is>
      </c>
      <c r="E240" s="170">
        <f>VLOOKUP(Tabela10[[#This Row],[Tipo de Chapa]],Tabela11[],2,FALSE)</f>
        <v/>
      </c>
      <c r="F240" s="169" t="n">
        <v>1026</v>
      </c>
      <c r="G240" s="152" t="n">
        <v>0.0512</v>
      </c>
      <c r="H240" s="170">
        <f>Tabela10[[#This Row],[M² Da chapa]]*Tabela10[[#This Row],[Qtde Chapas
Liberadas]]</f>
        <v/>
      </c>
      <c r="I240" s="170" t="n">
        <v>6363.5476</v>
      </c>
      <c r="J240" s="59">
        <f>Tabela10[[#This Row],[ERP]]/Tabela10[[#This Row],[M² Da chapa]]</f>
        <v/>
      </c>
      <c r="K240" s="170">
        <f>Tabela10[[#This Row],[M² CHAPAS]]-Tabela10[[#This Row],[ERP]]</f>
        <v/>
      </c>
      <c r="L240" s="170">
        <f>Tabela10[[#This Row],[DIFERENÇA M²]]/Tabela10[[#This Row],[M² Da chapa]]</f>
        <v/>
      </c>
    </row>
    <row r="241">
      <c r="A241" s="6" t="inlineStr">
        <is>
          <t>-</t>
        </is>
      </c>
      <c r="B241" s="8" t="inlineStr">
        <is>
          <t>N25085</t>
        </is>
      </c>
      <c r="C241" s="56">
        <f>VLOOKUP(LEFT(B241,1),Tabela5[],2,0)</f>
        <v/>
      </c>
      <c r="D241" s="57" t="inlineStr">
        <is>
          <t>EUCADUR FRJ - 2,5MM</t>
        </is>
      </c>
      <c r="E241" s="170">
        <f>VLOOKUP(Tabela10[[#This Row],[Tipo de Chapa]],Tabela11[],2,FALSE)</f>
        <v/>
      </c>
      <c r="F241" s="169" t="n">
        <v>370</v>
      </c>
      <c r="G241" s="152" t="n">
        <v>0.0684</v>
      </c>
      <c r="H241" s="170">
        <f>Tabela10[[#This Row],[M² Da chapa]]*Tabela10[[#This Row],[Qtde Chapas
Liberadas]]</f>
        <v/>
      </c>
      <c r="J241" s="59">
        <f>Tabela10[[#This Row],[ERP]]/Tabela10[[#This Row],[M² Da chapa]]</f>
        <v/>
      </c>
      <c r="K241" s="170">
        <f>Tabela10[[#This Row],[M² CHAPAS]]-Tabela10[[#This Row],[ERP]]</f>
        <v/>
      </c>
      <c r="L241" s="170">
        <f>Tabela10[[#This Row],[DIFERENÇA M²]]/Tabela10[[#This Row],[M² Da chapa]]</f>
        <v/>
      </c>
    </row>
    <row r="242" hidden="1">
      <c r="A242" s="6" t="inlineStr">
        <is>
          <t>-</t>
        </is>
      </c>
      <c r="B242" s="8" t="inlineStr">
        <is>
          <t>L2506501 | L2506503</t>
        </is>
      </c>
      <c r="C242" s="56">
        <f>VLOOKUP(LEFT(B242,1),Tabela5[],2,0)</f>
        <v/>
      </c>
      <c r="D242" s="57" t="inlineStr">
        <is>
          <t>EUCADUR NT - 2,5MM</t>
        </is>
      </c>
      <c r="E242" s="170">
        <f>VLOOKUP(Tabela10[[#This Row],[Tipo de Chapa]],Tabela11[],2,FALSE)</f>
        <v/>
      </c>
      <c r="F242" s="169" t="n">
        <v>567</v>
      </c>
      <c r="G242" s="152" t="n">
        <v>0.06900000000000001</v>
      </c>
      <c r="H242" s="170">
        <f>Tabela10[[#This Row],[M² Da chapa]]*Tabela10[[#This Row],[Qtde Chapas
Liberadas]]</f>
        <v/>
      </c>
      <c r="I242" s="170" t="n">
        <v>3218.7639</v>
      </c>
      <c r="J242" s="59">
        <f>Tabela10[[#This Row],[ERP]]/Tabela10[[#This Row],[M² Da chapa]]</f>
        <v/>
      </c>
      <c r="K242" s="170">
        <f>Tabela10[[#This Row],[M² CHAPAS]]-Tabela10[[#This Row],[ERP]]</f>
        <v/>
      </c>
      <c r="L242" s="170">
        <f>Tabela10[[#This Row],[DIFERENÇA M²]]/Tabela10[[#This Row],[M² Da chapa]]</f>
        <v/>
      </c>
    </row>
    <row r="243">
      <c r="A243" s="6" t="inlineStr">
        <is>
          <t>-</t>
        </is>
      </c>
      <c r="B243" s="8" t="inlineStr">
        <is>
          <t>N2508601</t>
        </is>
      </c>
      <c r="C243" s="56">
        <f>VLOOKUP(LEFT(B243,1),Tabela5[],2,0)</f>
        <v/>
      </c>
      <c r="D243" s="57" t="inlineStr">
        <is>
          <t>MDF - 15MM</t>
        </is>
      </c>
      <c r="E243" s="170">
        <f>VLOOKUP(Tabela10[[#This Row],[Tipo de Chapa]],Tabela11[],2,FALSE)</f>
        <v/>
      </c>
      <c r="F243" s="169" t="n">
        <v>221</v>
      </c>
      <c r="G243" s="152" t="n">
        <v>0.0513</v>
      </c>
      <c r="H243" s="170">
        <f>Tabela10[[#This Row],[M² Da chapa]]*Tabela10[[#This Row],[Qtde Chapas
Liberadas]]</f>
        <v/>
      </c>
      <c r="I243" s="170" t="n">
        <v>1377.8138</v>
      </c>
      <c r="J243" s="59">
        <f>Tabela10[[#This Row],[ERP]]/Tabela10[[#This Row],[M² Da chapa]]</f>
        <v/>
      </c>
      <c r="K243" s="170">
        <f>Tabela10[[#This Row],[M² CHAPAS]]-Tabela10[[#This Row],[ERP]]</f>
        <v/>
      </c>
      <c r="L243" s="170">
        <f>Tabela10[[#This Row],[DIFERENÇA M²]]/Tabela10[[#This Row],[M² Da chapa]]</f>
        <v/>
      </c>
    </row>
    <row r="244" hidden="1">
      <c r="A244" s="6" t="inlineStr">
        <is>
          <t>-</t>
        </is>
      </c>
      <c r="B244" s="8" t="inlineStr">
        <is>
          <t>I25042</t>
        </is>
      </c>
      <c r="C244" s="56">
        <f>VLOOKUP(LEFT(B244,1),Tabela5[],2,0)</f>
        <v/>
      </c>
      <c r="D244" s="57" t="inlineStr">
        <is>
          <t>MDF - 15MM</t>
        </is>
      </c>
      <c r="E244" s="170">
        <f>VLOOKUP(Tabela10[[#This Row],[Tipo de Chapa]],Tabela11[],2,FALSE)</f>
        <v/>
      </c>
      <c r="F244" s="169" t="n">
        <v>1684</v>
      </c>
      <c r="G244" s="152" t="n"/>
      <c r="H244" s="170">
        <f>Tabela10[[#This Row],[M² Da chapa]]*Tabela10[[#This Row],[Qtde Chapas
Liberadas]]</f>
        <v/>
      </c>
      <c r="J244" s="59">
        <f>Tabela10[[#This Row],[ERP]]/Tabela10[[#This Row],[M² Da chapa]]</f>
        <v/>
      </c>
      <c r="K244" s="170">
        <f>Tabela10[[#This Row],[M² CHAPAS]]-Tabela10[[#This Row],[ERP]]</f>
        <v/>
      </c>
      <c r="L244" s="170">
        <f>Tabela10[[#This Row],[DIFERENÇA M²]]/Tabela10[[#This Row],[M² Da chapa]]</f>
        <v/>
      </c>
    </row>
    <row r="245" hidden="1">
      <c r="A245" s="6" t="inlineStr">
        <is>
          <t>-</t>
        </is>
      </c>
      <c r="B245" s="8" t="inlineStr">
        <is>
          <t>M25046</t>
        </is>
      </c>
      <c r="C245" s="56">
        <f>VLOOKUP(LEFT(B245,1),Tabela5[],2,0)</f>
        <v/>
      </c>
      <c r="D245" s="57" t="inlineStr">
        <is>
          <t>MDF - 15MM</t>
        </is>
      </c>
      <c r="E245" s="170">
        <f>VLOOKUP(Tabela10[[#This Row],[Tipo de Chapa]],Tabela11[],2,FALSE)</f>
        <v/>
      </c>
      <c r="F245" s="169" t="n">
        <v>667</v>
      </c>
      <c r="G245" s="152" t="n">
        <v>0.0747</v>
      </c>
      <c r="H245" s="170">
        <f>Tabela10[[#This Row],[M² Da chapa]]*Tabela10[[#This Row],[Qtde Chapas
Liberadas]]</f>
        <v/>
      </c>
      <c r="J245" s="59">
        <f>Tabela10[[#This Row],[ERP]]/Tabela10[[#This Row],[M² Da chapa]]</f>
        <v/>
      </c>
      <c r="K245" s="170">
        <f>Tabela10[[#This Row],[M² CHAPAS]]-Tabela10[[#This Row],[ERP]]</f>
        <v/>
      </c>
      <c r="L245" s="170">
        <f>Tabela10[[#This Row],[DIFERENÇA M²]]/Tabela10[[#This Row],[M² Da chapa]]</f>
        <v/>
      </c>
    </row>
    <row r="246" hidden="1">
      <c r="A246" s="6" t="inlineStr">
        <is>
          <t>-</t>
        </is>
      </c>
      <c r="B246" s="8" t="inlineStr">
        <is>
          <t>I25042</t>
        </is>
      </c>
      <c r="C246" s="56">
        <f>VLOOKUP(LEFT(B246,1),Tabela5[],2,0)</f>
        <v/>
      </c>
      <c r="D246" s="57" t="inlineStr">
        <is>
          <t>MDF - 9MM</t>
        </is>
      </c>
      <c r="E246" s="170">
        <f>VLOOKUP(Tabela10[[#This Row],[Tipo de Chapa]],Tabela11[],2,FALSE)</f>
        <v/>
      </c>
      <c r="F246" s="169" t="n">
        <v>88</v>
      </c>
      <c r="G246" s="152" t="n"/>
      <c r="H246" s="170">
        <f>Tabela10[[#This Row],[M² Da chapa]]*Tabela10[[#This Row],[Qtde Chapas
Liberadas]]</f>
        <v/>
      </c>
      <c r="J246" s="59">
        <f>Tabela10[[#This Row],[ERP]]/Tabela10[[#This Row],[M² Da chapa]]</f>
        <v/>
      </c>
      <c r="K246" s="170">
        <f>Tabela10[[#This Row],[M² CHAPAS]]-Tabela10[[#This Row],[ERP]]</f>
        <v/>
      </c>
      <c r="L246" s="170">
        <f>Tabela10[[#This Row],[DIFERENÇA M²]]/Tabela10[[#This Row],[M² Da chapa]]</f>
        <v/>
      </c>
    </row>
    <row r="247" hidden="1">
      <c r="A247" s="6" t="inlineStr">
        <is>
          <t>-</t>
        </is>
      </c>
      <c r="B247" s="8" t="inlineStr">
        <is>
          <t>M25046</t>
        </is>
      </c>
      <c r="C247" s="56">
        <f>VLOOKUP(LEFT(B247,1),Tabela5[],2,0)</f>
        <v/>
      </c>
      <c r="D247" s="57" t="inlineStr">
        <is>
          <t>MDF - 9MM</t>
        </is>
      </c>
      <c r="E247" s="170">
        <f>VLOOKUP(Tabela10[[#This Row],[Tipo de Chapa]],Tabela11[],2,FALSE)</f>
        <v/>
      </c>
      <c r="F247" s="169" t="n">
        <v>167</v>
      </c>
      <c r="G247" s="152" t="n">
        <v>0.0484</v>
      </c>
      <c r="H247" s="170">
        <f>Tabela10[[#This Row],[M² Da chapa]]*Tabela10[[#This Row],[Qtde Chapas
Liberadas]]</f>
        <v/>
      </c>
      <c r="J247" s="59">
        <f>Tabela10[[#This Row],[ERP]]/Tabela10[[#This Row],[M² Da chapa]]</f>
        <v/>
      </c>
      <c r="K247" s="170">
        <f>Tabela10[[#This Row],[M² CHAPAS]]-Tabela10[[#This Row],[ERP]]</f>
        <v/>
      </c>
      <c r="L247" s="170">
        <f>Tabela10[[#This Row],[DIFERENÇA M²]]/Tabela10[[#This Row],[M² Da chapa]]</f>
        <v/>
      </c>
    </row>
    <row r="248" hidden="1">
      <c r="A248" s="6" t="inlineStr">
        <is>
          <t>-</t>
        </is>
      </c>
      <c r="B248" s="8" t="inlineStr">
        <is>
          <t>I25042</t>
        </is>
      </c>
      <c r="C248" s="56">
        <f>VLOOKUP(LEFT(B248,1),Tabela5[],2,0)</f>
        <v/>
      </c>
      <c r="D248" s="57" t="inlineStr">
        <is>
          <t>EUCADUR NT - 2,5MM</t>
        </is>
      </c>
      <c r="E248" s="170">
        <f>VLOOKUP(Tabela10[[#This Row],[Tipo de Chapa]],Tabela11[],2,FALSE)</f>
        <v/>
      </c>
      <c r="F248" s="169" t="n">
        <v>600</v>
      </c>
      <c r="G248" s="152" t="n"/>
      <c r="H248" s="170">
        <f>Tabela10[[#This Row],[M² Da chapa]]*Tabela10[[#This Row],[Qtde Chapas
Liberadas]]</f>
        <v/>
      </c>
      <c r="J248" s="59">
        <f>Tabela10[[#This Row],[ERP]]/Tabela10[[#This Row],[M² Da chapa]]</f>
        <v/>
      </c>
      <c r="K248" s="170">
        <f>Tabela10[[#This Row],[M² CHAPAS]]-Tabela10[[#This Row],[ERP]]</f>
        <v/>
      </c>
      <c r="L248" s="170">
        <f>Tabela10[[#This Row],[DIFERENÇA M²]]/Tabela10[[#This Row],[M² Da chapa]]</f>
        <v/>
      </c>
    </row>
    <row r="249" hidden="1">
      <c r="A249" s="6" t="inlineStr">
        <is>
          <t>-</t>
        </is>
      </c>
      <c r="B249" s="8" t="inlineStr">
        <is>
          <t>M25046</t>
        </is>
      </c>
      <c r="C249" s="56">
        <f>VLOOKUP(LEFT(B249,1),Tabela5[],2,0)</f>
        <v/>
      </c>
      <c r="D249" s="57" t="inlineStr">
        <is>
          <t>EUCADUR NT - 2,5MM</t>
        </is>
      </c>
      <c r="E249" s="170">
        <f>VLOOKUP(Tabela10[[#This Row],[Tipo de Chapa]],Tabela11[],2,FALSE)</f>
        <v/>
      </c>
      <c r="F249" s="169" t="n">
        <v>252</v>
      </c>
      <c r="G249" s="152" t="n">
        <v>0.0594</v>
      </c>
      <c r="H249" s="170">
        <f>Tabela10[[#This Row],[M² Da chapa]]*Tabela10[[#This Row],[Qtde Chapas
Liberadas]]</f>
        <v/>
      </c>
      <c r="J249" s="59">
        <f>Tabela10[[#This Row],[ERP]]/Tabela10[[#This Row],[M² Da chapa]]</f>
        <v/>
      </c>
      <c r="K249" s="170">
        <f>Tabela10[[#This Row],[M² CHAPAS]]-Tabela10[[#This Row],[ERP]]</f>
        <v/>
      </c>
      <c r="L249" s="170">
        <f>Tabela10[[#This Row],[DIFERENÇA M²]]/Tabela10[[#This Row],[M² Da chapa]]</f>
        <v/>
      </c>
    </row>
    <row r="250" hidden="1">
      <c r="A250" s="6" t="inlineStr">
        <is>
          <t>-</t>
        </is>
      </c>
      <c r="B250" s="8" t="inlineStr">
        <is>
          <t>M25046</t>
        </is>
      </c>
      <c r="C250" s="56">
        <f>VLOOKUP(LEFT(B250,1),Tabela5[],2,0)</f>
        <v/>
      </c>
      <c r="D250" s="57" t="inlineStr">
        <is>
          <t>EUCADUR BR - 2,5MM</t>
        </is>
      </c>
      <c r="E250" s="170">
        <f>VLOOKUP(Tabela10[[#This Row],[Tipo de Chapa]],Tabela11[],2,FALSE)</f>
        <v/>
      </c>
      <c r="F250" s="169" t="n">
        <v>40</v>
      </c>
      <c r="G250" s="152" t="n">
        <v>0.0878</v>
      </c>
      <c r="H250" s="170">
        <f>Tabela10[[#This Row],[M² Da chapa]]*Tabela10[[#This Row],[Qtde Chapas
Liberadas]]</f>
        <v/>
      </c>
      <c r="J250" s="59">
        <f>Tabela10[[#This Row],[ERP]]/Tabela10[[#This Row],[M² Da chapa]]</f>
        <v/>
      </c>
      <c r="K250" s="170">
        <f>Tabela10[[#This Row],[M² CHAPAS]]-Tabela10[[#This Row],[ERP]]</f>
        <v/>
      </c>
      <c r="L250" s="170">
        <f>Tabela10[[#This Row],[DIFERENÇA M²]]/Tabela10[[#This Row],[M² Da chapa]]</f>
        <v/>
      </c>
    </row>
    <row r="251" hidden="1">
      <c r="A251" s="6" t="inlineStr">
        <is>
          <t>-</t>
        </is>
      </c>
      <c r="B251" s="8" t="inlineStr">
        <is>
          <t>I25043</t>
        </is>
      </c>
      <c r="C251" s="56">
        <f>VLOOKUP(LEFT(B251,1),Tabela5[],2,0)</f>
        <v/>
      </c>
      <c r="D251" s="57" t="inlineStr">
        <is>
          <t>EUCADUR FRJ - 2,5MM</t>
        </is>
      </c>
      <c r="E251" s="170">
        <f>VLOOKUP(Tabela10[[#This Row],[Tipo de Chapa]],Tabela11[],2,FALSE)</f>
        <v/>
      </c>
      <c r="F251" s="169" t="n">
        <v>245</v>
      </c>
      <c r="G251" s="152" t="n">
        <v>0.0512</v>
      </c>
      <c r="H251" s="170">
        <f>Tabela10[[#This Row],[M² Da chapa]]*Tabela10[[#This Row],[Qtde Chapas
Liberadas]]</f>
        <v/>
      </c>
      <c r="J251" s="59">
        <f>Tabela10[[#This Row],[ERP]]/Tabela10[[#This Row],[M² Da chapa]]</f>
        <v/>
      </c>
      <c r="K251" s="170">
        <f>Tabela10[[#This Row],[M² CHAPAS]]-Tabela10[[#This Row],[ERP]]</f>
        <v/>
      </c>
      <c r="L251" s="170">
        <f>Tabela10[[#This Row],[DIFERENÇA M²]]/Tabela10[[#This Row],[M² Da chapa]]</f>
        <v/>
      </c>
    </row>
    <row r="252" hidden="1">
      <c r="A252" s="6" t="inlineStr">
        <is>
          <t>-</t>
        </is>
      </c>
      <c r="B252" s="8" t="inlineStr">
        <is>
          <t>I25044</t>
        </is>
      </c>
      <c r="C252" s="56">
        <f>VLOOKUP(LEFT(B252,1),Tabela5[],2,0)</f>
        <v/>
      </c>
      <c r="D252" s="57" t="inlineStr">
        <is>
          <t>EUCADUR NT - 2,5MM</t>
        </is>
      </c>
      <c r="E252" s="170">
        <f>VLOOKUP(Tabela10[[#This Row],[Tipo de Chapa]],Tabela11[],2,FALSE)</f>
        <v/>
      </c>
      <c r="F252" s="169" t="n">
        <v>152</v>
      </c>
      <c r="G252" s="152" t="n">
        <v>0.0604</v>
      </c>
      <c r="H252" s="170">
        <f>Tabela10[[#This Row],[M² Da chapa]]*Tabela10[[#This Row],[Qtde Chapas
Liberadas]]</f>
        <v/>
      </c>
      <c r="I252" s="170" t="n">
        <v>447.29</v>
      </c>
      <c r="J252" s="59">
        <f>Tabela10[[#This Row],[ERP]]/Tabela10[[#This Row],[M² Da chapa]]</f>
        <v/>
      </c>
      <c r="K252" s="170">
        <f>Tabela10[[#This Row],[M² CHAPAS]]-Tabela10[[#This Row],[ERP]]</f>
        <v/>
      </c>
      <c r="L252" s="170">
        <f>Tabela10[[#This Row],[DIFERENÇA M²]]/Tabela10[[#This Row],[M² Da chapa]]</f>
        <v/>
      </c>
    </row>
    <row r="253" hidden="1">
      <c r="A253" s="6" t="inlineStr">
        <is>
          <t>-</t>
        </is>
      </c>
      <c r="B253" s="8" t="inlineStr">
        <is>
          <t>L2506201 | L2506202</t>
        </is>
      </c>
      <c r="C253" s="56">
        <f>VLOOKUP(LEFT(B253,1),Tabela5[],2,0)</f>
        <v/>
      </c>
      <c r="D253" s="57" t="inlineStr">
        <is>
          <t>EUCADUR FRJ - 2,5MM</t>
        </is>
      </c>
      <c r="E253" s="170">
        <f>VLOOKUP(Tabela10[[#This Row],[Tipo de Chapa]],Tabela11[],2,FALSE)</f>
        <v/>
      </c>
      <c r="F253" s="169" t="n">
        <v>469</v>
      </c>
      <c r="G253" s="152" t="n">
        <v>0.0648</v>
      </c>
      <c r="H253" s="170">
        <f>Tabela10[[#This Row],[M² Da chapa]]*Tabela10[[#This Row],[Qtde Chapas
Liberadas]]</f>
        <v/>
      </c>
      <c r="I253" s="170" t="n">
        <v>2932.4524</v>
      </c>
      <c r="J253" s="59">
        <f>Tabela10[[#This Row],[ERP]]/Tabela10[[#This Row],[M² Da chapa]]</f>
        <v/>
      </c>
      <c r="K253" s="170">
        <f>Tabela10[[#This Row],[M² CHAPAS]]-Tabela10[[#This Row],[ERP]]</f>
        <v/>
      </c>
      <c r="L253" s="170">
        <f>Tabela10[[#This Row],[DIFERENÇA M²]]/Tabela10[[#This Row],[M² Da chapa]]</f>
        <v/>
      </c>
    </row>
    <row r="254">
      <c r="A254" s="6" t="inlineStr">
        <is>
          <t>-</t>
        </is>
      </c>
      <c r="B254" s="8" t="inlineStr">
        <is>
          <t>N2508602</t>
        </is>
      </c>
      <c r="C254" s="56">
        <f>VLOOKUP(LEFT(B254,1),Tabela5[],2,0)</f>
        <v/>
      </c>
      <c r="D254" s="57" t="inlineStr">
        <is>
          <t>MDF - 15MM</t>
        </is>
      </c>
      <c r="E254" s="170">
        <f>VLOOKUP(Tabela10[[#This Row],[Tipo de Chapa]],Tabela11[],2,FALSE)</f>
        <v/>
      </c>
      <c r="F254" s="169" t="n">
        <v>135</v>
      </c>
      <c r="G254" s="152" t="n">
        <v>0.0612</v>
      </c>
      <c r="H254" s="170">
        <f>Tabela10[[#This Row],[M² Da chapa]]*Tabela10[[#This Row],[Qtde Chapas
Liberadas]]</f>
        <v/>
      </c>
      <c r="I254" s="170" t="n">
        <v>826.3167</v>
      </c>
      <c r="J254" s="59">
        <f>Tabela10[[#This Row],[ERP]]/Tabela10[[#This Row],[M² Da chapa]]</f>
        <v/>
      </c>
      <c r="K254" s="170">
        <f>Tabela10[[#This Row],[M² CHAPAS]]-Tabela10[[#This Row],[ERP]]</f>
        <v/>
      </c>
      <c r="L254" s="170">
        <f>Tabela10[[#This Row],[DIFERENÇA M²]]/Tabela10[[#This Row],[M² Da chapa]]</f>
        <v/>
      </c>
    </row>
    <row r="255">
      <c r="A255" s="6" t="inlineStr">
        <is>
          <t>-</t>
        </is>
      </c>
      <c r="B255" s="8" t="inlineStr">
        <is>
          <t>N2508603</t>
        </is>
      </c>
      <c r="C255" s="56">
        <f>VLOOKUP(LEFT(B255,1),Tabela5[],2,0)</f>
        <v/>
      </c>
      <c r="D255" s="57" t="inlineStr">
        <is>
          <t>MDF - 15MM</t>
        </is>
      </c>
      <c r="E255" s="170">
        <f>VLOOKUP(Tabela10[[#This Row],[Tipo de Chapa]],Tabela11[],2,FALSE)</f>
        <v/>
      </c>
      <c r="F255" s="169" t="n">
        <v>82</v>
      </c>
      <c r="G255" s="152" t="n">
        <v>0.0576</v>
      </c>
      <c r="H255" s="170">
        <f>Tabela10[[#This Row],[M² Da chapa]]*Tabela10[[#This Row],[Qtde Chapas
Liberadas]]</f>
        <v/>
      </c>
      <c r="I255" s="170" t="n">
        <v>566.8167999999999</v>
      </c>
      <c r="J255" s="59">
        <f>Tabela10[[#This Row],[ERP]]/Tabela10[[#This Row],[M² Da chapa]]</f>
        <v/>
      </c>
      <c r="K255" s="170">
        <f>Tabela10[[#This Row],[M² CHAPAS]]-Tabela10[[#This Row],[ERP]]</f>
        <v/>
      </c>
      <c r="L255" s="170">
        <f>Tabela10[[#This Row],[DIFERENÇA M²]]/Tabela10[[#This Row],[M² Da chapa]]</f>
        <v/>
      </c>
    </row>
    <row r="256">
      <c r="A256" s="6" t="inlineStr">
        <is>
          <t>-</t>
        </is>
      </c>
      <c r="B256" s="8" t="inlineStr">
        <is>
          <t>N2508606</t>
        </is>
      </c>
      <c r="C256" s="56">
        <f>VLOOKUP(LEFT(B256,1),Tabela5[],2,0)</f>
        <v/>
      </c>
      <c r="D256" s="57" t="inlineStr">
        <is>
          <t>MDF - 15MM</t>
        </is>
      </c>
      <c r="E256" s="170">
        <f>VLOOKUP(Tabela10[[#This Row],[Tipo de Chapa]],Tabela11[],2,FALSE)</f>
        <v/>
      </c>
      <c r="F256" s="169" t="n">
        <v>201</v>
      </c>
      <c r="G256" s="152" t="n">
        <v>0.0605</v>
      </c>
      <c r="H256" s="170">
        <f>Tabela10[[#This Row],[M² Da chapa]]*Tabela10[[#This Row],[Qtde Chapas
Liberadas]]</f>
        <v/>
      </c>
      <c r="I256" s="170" t="n">
        <v>1262.9945</v>
      </c>
      <c r="J256" s="59">
        <f>Tabela10[[#This Row],[ERP]]/Tabela10[[#This Row],[M² Da chapa]]</f>
        <v/>
      </c>
      <c r="K256" s="170">
        <f>Tabela10[[#This Row],[M² CHAPAS]]-Tabela10[[#This Row],[ERP]]</f>
        <v/>
      </c>
      <c r="L256" s="170">
        <f>Tabela10[[#This Row],[DIFERENÇA M²]]/Tabela10[[#This Row],[M² Da chapa]]</f>
        <v/>
      </c>
    </row>
    <row r="257">
      <c r="A257" s="6" t="inlineStr">
        <is>
          <t>-</t>
        </is>
      </c>
      <c r="B257" s="8" t="inlineStr">
        <is>
          <t>N2508604</t>
        </is>
      </c>
      <c r="C257" s="56">
        <f>VLOOKUP(LEFT(B257,1),Tabela5[],2,0)</f>
        <v/>
      </c>
      <c r="D257" s="57" t="inlineStr">
        <is>
          <t>MDF - 15MM</t>
        </is>
      </c>
      <c r="E257" s="170">
        <f>VLOOKUP(Tabela10[[#This Row],[Tipo de Chapa]],Tabela11[],2,FALSE)</f>
        <v/>
      </c>
      <c r="F257" s="169" t="n">
        <v>102</v>
      </c>
      <c r="G257" s="152" t="n">
        <v>0.0576</v>
      </c>
      <c r="H257" s="170">
        <f>Tabela10[[#This Row],[M² Da chapa]]*Tabela10[[#This Row],[Qtde Chapas
Liberadas]]</f>
        <v/>
      </c>
      <c r="I257" s="170" t="n">
        <v>572.5716</v>
      </c>
      <c r="J257" s="59">
        <f>Tabela10[[#This Row],[ERP]]/Tabela10[[#This Row],[M² Da chapa]]</f>
        <v/>
      </c>
      <c r="K257" s="170">
        <f>Tabela10[[#This Row],[M² CHAPAS]]-Tabela10[[#This Row],[ERP]]</f>
        <v/>
      </c>
      <c r="L257" s="170">
        <f>Tabela10[[#This Row],[DIFERENÇA M²]]/Tabela10[[#This Row],[M² Da chapa]]</f>
        <v/>
      </c>
    </row>
    <row r="258">
      <c r="A258" s="6" t="inlineStr">
        <is>
          <t>-</t>
        </is>
      </c>
      <c r="B258" s="8" t="inlineStr">
        <is>
          <t>N2508605</t>
        </is>
      </c>
      <c r="C258" s="56">
        <f>VLOOKUP(LEFT(B258,1),Tabela5[],2,0)</f>
        <v/>
      </c>
      <c r="D258" s="57" t="inlineStr">
        <is>
          <t>MDF - 15MM</t>
        </is>
      </c>
      <c r="E258" s="170">
        <f>VLOOKUP(Tabela10[[#This Row],[Tipo de Chapa]],Tabela11[],2,FALSE)</f>
        <v/>
      </c>
      <c r="F258" s="169" t="n">
        <v>82</v>
      </c>
      <c r="G258" s="152" t="n">
        <v>0.0576</v>
      </c>
      <c r="H258" s="170">
        <f>Tabela10[[#This Row],[M² Da chapa]]*Tabela10[[#This Row],[Qtde Chapas
Liberadas]]</f>
        <v/>
      </c>
      <c r="I258" s="170" t="n">
        <v>455.9661</v>
      </c>
      <c r="J258" s="59">
        <f>Tabela10[[#This Row],[ERP]]/Tabela10[[#This Row],[M² Da chapa]]</f>
        <v/>
      </c>
      <c r="K258" s="170">
        <f>Tabela10[[#This Row],[M² CHAPAS]]-Tabela10[[#This Row],[ERP]]</f>
        <v/>
      </c>
      <c r="L258" s="170">
        <f>Tabela10[[#This Row],[DIFERENÇA M²]]/Tabela10[[#This Row],[M² Da chapa]]</f>
        <v/>
      </c>
    </row>
    <row r="259">
      <c r="A259" s="6" t="inlineStr">
        <is>
          <t>-</t>
        </is>
      </c>
      <c r="B259" s="8" t="inlineStr">
        <is>
          <t>N2508607</t>
        </is>
      </c>
      <c r="C259" s="56">
        <f>VLOOKUP(LEFT(B259,1),Tabela5[],2,0)</f>
        <v/>
      </c>
      <c r="D259" s="57" t="inlineStr">
        <is>
          <t>MDF - 15MM</t>
        </is>
      </c>
      <c r="E259" s="170">
        <f>VLOOKUP(Tabela10[[#This Row],[Tipo de Chapa]],Tabela11[],2,FALSE)</f>
        <v/>
      </c>
      <c r="F259" s="169" t="n">
        <v>123</v>
      </c>
      <c r="G259" s="152" t="n">
        <v>0.0569</v>
      </c>
      <c r="H259" s="170">
        <f>Tabela10[[#This Row],[M² Da chapa]]*Tabela10[[#This Row],[Qtde Chapas
Liberadas]]</f>
        <v/>
      </c>
      <c r="I259" s="170" t="n">
        <v>681.86</v>
      </c>
      <c r="J259" s="59">
        <f>Tabela10[[#This Row],[ERP]]/Tabela10[[#This Row],[M² Da chapa]]</f>
        <v/>
      </c>
      <c r="K259" s="170">
        <f>Tabela10[[#This Row],[M² CHAPAS]]-Tabela10[[#This Row],[ERP]]</f>
        <v/>
      </c>
      <c r="L259" s="170">
        <f>Tabela10[[#This Row],[DIFERENÇA M²]]/Tabela10[[#This Row],[M² Da chapa]]</f>
        <v/>
      </c>
    </row>
    <row r="260">
      <c r="A260" s="6" t="inlineStr">
        <is>
          <t>-</t>
        </is>
      </c>
      <c r="B260" s="8" t="inlineStr">
        <is>
          <t>N25086</t>
        </is>
      </c>
      <c r="C260" s="56">
        <f>VLOOKUP(LEFT(B260,1),Tabela5[],2,0)</f>
        <v/>
      </c>
      <c r="D260" s="57" t="inlineStr">
        <is>
          <t>EUCADUR NT - 2,5MM</t>
        </is>
      </c>
      <c r="E260" s="170">
        <f>VLOOKUP(Tabela10[[#This Row],[Tipo de Chapa]],Tabela11[],2,FALSE)</f>
        <v/>
      </c>
      <c r="F260" s="169" t="n">
        <v>280</v>
      </c>
      <c r="G260" s="152" t="n">
        <v>0.065</v>
      </c>
      <c r="H260" s="170">
        <f>Tabela10[[#This Row],[M² Da chapa]]*Tabela10[[#This Row],[Qtde Chapas
Liberadas]]</f>
        <v/>
      </c>
      <c r="I260" s="170" t="n">
        <v>1714.4437</v>
      </c>
      <c r="J260" s="59">
        <f>Tabela10[[#This Row],[ERP]]/Tabela10[[#This Row],[M² Da chapa]]</f>
        <v/>
      </c>
      <c r="K260" s="170">
        <f>Tabela10[[#This Row],[M² CHAPAS]]-Tabela10[[#This Row],[ERP]]</f>
        <v/>
      </c>
      <c r="L260" s="170">
        <f>Tabela10[[#This Row],[DIFERENÇA M²]]/Tabela10[[#This Row],[M² Da chapa]]</f>
        <v/>
      </c>
    </row>
    <row r="261" hidden="1">
      <c r="A261" s="6" t="inlineStr">
        <is>
          <t>-</t>
        </is>
      </c>
      <c r="B261" s="8" t="inlineStr">
        <is>
          <t>L2506601 | L2506602 | L2506604</t>
        </is>
      </c>
      <c r="C261" s="56">
        <f>VLOOKUP(LEFT(B261,1),Tabela5[],2,0)</f>
        <v/>
      </c>
      <c r="D261" s="57" t="inlineStr">
        <is>
          <t>MDF - 15MM</t>
        </is>
      </c>
      <c r="E261" s="170">
        <f>VLOOKUP(Tabela10[[#This Row],[Tipo de Chapa]],Tabela11[],2,FALSE)</f>
        <v/>
      </c>
      <c r="F261" s="169" t="n">
        <v>468</v>
      </c>
      <c r="G261" s="152" t="n">
        <v>0.0551</v>
      </c>
      <c r="H261" s="170">
        <f>Tabela10[[#This Row],[M² Da chapa]]*Tabela10[[#This Row],[Qtde Chapas
Liberadas]]</f>
        <v/>
      </c>
      <c r="I261" s="170" t="n">
        <v>2882.4903</v>
      </c>
      <c r="J261" s="59">
        <f>Tabela10[[#This Row],[ERP]]/Tabela10[[#This Row],[M² Da chapa]]</f>
        <v/>
      </c>
      <c r="K261" s="170">
        <f>Tabela10[[#This Row],[M² CHAPAS]]-Tabela10[[#This Row],[ERP]]</f>
        <v/>
      </c>
      <c r="L261" s="170">
        <f>Tabela10[[#This Row],[DIFERENÇA M²]]/Tabela10[[#This Row],[M² Da chapa]]</f>
        <v/>
      </c>
    </row>
    <row r="262" hidden="1">
      <c r="A262" s="6" t="inlineStr">
        <is>
          <t>-</t>
        </is>
      </c>
      <c r="B262" s="8" t="inlineStr">
        <is>
          <t>I25044</t>
        </is>
      </c>
      <c r="C262" s="56">
        <f>VLOOKUP(LEFT(B262,1),Tabela5[],2,0)</f>
        <v/>
      </c>
      <c r="D262" s="57" t="inlineStr">
        <is>
          <t>MDF - 15MM</t>
        </is>
      </c>
      <c r="E262" s="170">
        <f>VLOOKUP(Tabela10[[#This Row],[Tipo de Chapa]],Tabela11[],2,FALSE)</f>
        <v/>
      </c>
      <c r="F262" s="169" t="n">
        <v>481</v>
      </c>
      <c r="G262" s="152" t="n">
        <v>0.0619</v>
      </c>
      <c r="H262" s="170">
        <f>Tabela10[[#This Row],[M² Da chapa]]*Tabela10[[#This Row],[Qtde Chapas
Liberadas]]</f>
        <v/>
      </c>
      <c r="I262" s="170" t="n">
        <v>2717.7</v>
      </c>
      <c r="J262" s="59">
        <f>Tabela10[[#This Row],[ERP]]/Tabela10[[#This Row],[M² Da chapa]]</f>
        <v/>
      </c>
      <c r="K262" s="170">
        <f>Tabela10[[#This Row],[M² CHAPAS]]-Tabela10[[#This Row],[ERP]]</f>
        <v/>
      </c>
      <c r="L262" s="170">
        <f>Tabela10[[#This Row],[DIFERENÇA M²]]/Tabela10[[#This Row],[M² Da chapa]]</f>
        <v/>
      </c>
    </row>
    <row r="263" hidden="1">
      <c r="A263" s="6" t="inlineStr">
        <is>
          <t>-</t>
        </is>
      </c>
      <c r="B263" s="8" t="inlineStr">
        <is>
          <t>I25044</t>
        </is>
      </c>
      <c r="C263" s="56">
        <f>VLOOKUP(LEFT(B263,1),Tabela5[],2,0)</f>
        <v/>
      </c>
      <c r="D263" s="57" t="inlineStr">
        <is>
          <t>MDF - 9MM</t>
        </is>
      </c>
      <c r="E263" s="170">
        <f>VLOOKUP(Tabela10[[#This Row],[Tipo de Chapa]],Tabela11[],2,FALSE)</f>
        <v/>
      </c>
      <c r="F263" s="169" t="n">
        <v>29</v>
      </c>
      <c r="G263" s="152" t="n">
        <v>0.0542</v>
      </c>
      <c r="H263" s="170">
        <f>Tabela10[[#This Row],[M² Da chapa]]*Tabela10[[#This Row],[Qtde Chapas
Liberadas]]</f>
        <v/>
      </c>
      <c r="I263" s="170" t="n">
        <v>148.38</v>
      </c>
      <c r="J263" s="59">
        <f>Tabela10[[#This Row],[ERP]]/Tabela10[[#This Row],[M² Da chapa]]</f>
        <v/>
      </c>
      <c r="K263" s="170">
        <f>Tabela10[[#This Row],[M² CHAPAS]]-Tabela10[[#This Row],[ERP]]</f>
        <v/>
      </c>
      <c r="L263" s="170">
        <f>Tabela10[[#This Row],[DIFERENÇA M²]]/Tabela10[[#This Row],[M² Da chapa]]</f>
        <v/>
      </c>
    </row>
    <row r="264" hidden="1">
      <c r="A264" s="6" t="inlineStr">
        <is>
          <t>-</t>
        </is>
      </c>
      <c r="B264" s="8" t="inlineStr">
        <is>
          <t>I25043</t>
        </is>
      </c>
      <c r="C264" s="56">
        <f>VLOOKUP(LEFT(B264,1),Tabela5[],2,0)</f>
        <v/>
      </c>
      <c r="D264" s="57" t="inlineStr">
        <is>
          <t>MDF - 15MM</t>
        </is>
      </c>
      <c r="E264" s="170">
        <f>VLOOKUP(Tabela10[[#This Row],[Tipo de Chapa]],Tabela11[],2,FALSE)</f>
        <v/>
      </c>
      <c r="F264" s="169" t="n">
        <v>953</v>
      </c>
      <c r="G264" s="152" t="n">
        <v>0.0751</v>
      </c>
      <c r="H264" s="170">
        <f>Tabela10[[#This Row],[M² Da chapa]]*Tabela10[[#This Row],[Qtde Chapas
Liberadas]]</f>
        <v/>
      </c>
      <c r="I264" s="170" t="n">
        <v>5611.7</v>
      </c>
      <c r="J264" s="59">
        <f>Tabela10[[#This Row],[ERP]]/Tabela10[[#This Row],[M² Da chapa]]</f>
        <v/>
      </c>
      <c r="K264" s="170">
        <f>Tabela10[[#This Row],[M² CHAPAS]]-Tabela10[[#This Row],[ERP]]</f>
        <v/>
      </c>
      <c r="L264" s="170">
        <f>Tabela10[[#This Row],[DIFERENÇA M²]]/Tabela10[[#This Row],[M² Da chapa]]</f>
        <v/>
      </c>
    </row>
    <row r="265" hidden="1">
      <c r="A265" s="6" t="inlineStr">
        <is>
          <t>-</t>
        </is>
      </c>
      <c r="B265" s="8" t="inlineStr">
        <is>
          <t>L2506601 | L2506604</t>
        </is>
      </c>
      <c r="C265" s="56">
        <f>VLOOKUP(LEFT(B265,1),Tabela5[],2,0)</f>
        <v/>
      </c>
      <c r="D265" s="57" t="inlineStr">
        <is>
          <t>EUCADUR NT - 2,5MM</t>
        </is>
      </c>
      <c r="E265" s="170">
        <f>VLOOKUP(Tabela10[[#This Row],[Tipo de Chapa]],Tabela11[],2,FALSE)</f>
        <v/>
      </c>
      <c r="F265" s="169" t="n">
        <v>242</v>
      </c>
      <c r="G265" s="152" t="n">
        <v>0.0664</v>
      </c>
      <c r="H265" s="170">
        <f>Tabela10[[#This Row],[M² Da chapa]]*Tabela10[[#This Row],[Qtde Chapas
Liberadas]]</f>
        <v/>
      </c>
      <c r="I265" s="170" t="n">
        <v>1374.1078</v>
      </c>
      <c r="J265" s="59">
        <f>Tabela10[[#This Row],[ERP]]/Tabela10[[#This Row],[M² Da chapa]]</f>
        <v/>
      </c>
      <c r="K265" s="170">
        <f>Tabela10[[#This Row],[M² CHAPAS]]-Tabela10[[#This Row],[ERP]]</f>
        <v/>
      </c>
      <c r="L265" s="170">
        <f>Tabela10[[#This Row],[DIFERENÇA M²]]/Tabela10[[#This Row],[M² Da chapa]]</f>
        <v/>
      </c>
    </row>
    <row r="266" hidden="1">
      <c r="A266" s="6" t="inlineStr">
        <is>
          <t>-</t>
        </is>
      </c>
      <c r="B266" s="8" t="inlineStr">
        <is>
          <t>I25045</t>
        </is>
      </c>
      <c r="C266" s="56">
        <f>VLOOKUP(LEFT(B266,1),Tabela5[],2,0)</f>
        <v/>
      </c>
      <c r="D266" s="57" t="inlineStr">
        <is>
          <t>EUCADUR BR - 2,5MM</t>
        </is>
      </c>
      <c r="E266" s="170">
        <f>VLOOKUP(Tabela10[[#This Row],[Tipo de Chapa]],Tabela11[],2,FALSE)</f>
        <v/>
      </c>
      <c r="F266" s="169" t="n">
        <v>37</v>
      </c>
      <c r="G266" s="152" t="n">
        <v>0.0581</v>
      </c>
      <c r="H266" s="170">
        <f>Tabela10[[#This Row],[M² Da chapa]]*Tabela10[[#This Row],[Qtde Chapas
Liberadas]]</f>
        <v/>
      </c>
      <c r="I266" s="170" t="n">
        <v>146.0439</v>
      </c>
      <c r="J266" s="59">
        <f>Tabela10[[#This Row],[ERP]]/Tabela10[[#This Row],[M² Da chapa]]</f>
        <v/>
      </c>
      <c r="K266" s="170">
        <f>Tabela10[[#This Row],[M² CHAPAS]]-Tabela10[[#This Row],[ERP]]</f>
        <v/>
      </c>
      <c r="L266" s="170">
        <f>Tabela10[[#This Row],[DIFERENÇA M²]]/Tabela10[[#This Row],[M² Da chapa]]</f>
        <v/>
      </c>
    </row>
    <row r="267" hidden="1">
      <c r="A267" s="6" t="inlineStr">
        <is>
          <t>-</t>
        </is>
      </c>
      <c r="B267" s="8" t="inlineStr">
        <is>
          <t>I25045</t>
        </is>
      </c>
      <c r="C267" s="56">
        <f>VLOOKUP(LEFT(B267,1),Tabela5[],2,0)</f>
        <v/>
      </c>
      <c r="D267" s="57" t="inlineStr">
        <is>
          <t>EUCADUR NT - 2,5MM</t>
        </is>
      </c>
      <c r="E267" s="170">
        <f>VLOOKUP(Tabela10[[#This Row],[Tipo de Chapa]],Tabela11[],2,FALSE)</f>
        <v/>
      </c>
      <c r="F267" s="169" t="n">
        <v>257</v>
      </c>
      <c r="G267" s="152" t="n">
        <v>0.062</v>
      </c>
      <c r="H267" s="170">
        <f>Tabela10[[#This Row],[M² Da chapa]]*Tabela10[[#This Row],[Qtde Chapas
Liberadas]]</f>
        <v/>
      </c>
      <c r="I267" s="59" t="n">
        <v>1398.6065</v>
      </c>
      <c r="J267" s="59">
        <f>Tabela10[[#This Row],[ERP]]/Tabela10[[#This Row],[M² Da chapa]]</f>
        <v/>
      </c>
      <c r="K267" s="170">
        <f>Tabela10[[#This Row],[M² CHAPAS]]-Tabela10[[#This Row],[ERP]]</f>
        <v/>
      </c>
      <c r="L267" s="170">
        <f>Tabela10[[#This Row],[DIFERENÇA M²]]/Tabela10[[#This Row],[M² Da chapa]]</f>
        <v/>
      </c>
    </row>
    <row r="268">
      <c r="A268" s="6" t="inlineStr">
        <is>
          <t>-</t>
        </is>
      </c>
      <c r="B268" s="8" t="inlineStr">
        <is>
          <t>N25087</t>
        </is>
      </c>
      <c r="C268" s="56">
        <f>VLOOKUP(LEFT(B268,1),Tabela5[],2,0)</f>
        <v/>
      </c>
      <c r="D268" s="57" t="inlineStr">
        <is>
          <t>MDF - 15MM</t>
        </is>
      </c>
      <c r="E268" s="170">
        <f>VLOOKUP(Tabela10[[#This Row],[Tipo de Chapa]],Tabela11[],2,FALSE)</f>
        <v/>
      </c>
      <c r="F268" s="169">
        <f>1421+18</f>
        <v/>
      </c>
      <c r="G268" s="152" t="n">
        <v>0.0586</v>
      </c>
      <c r="H268" s="170">
        <f>Tabela10[[#This Row],[M² Da chapa]]*Tabela10[[#This Row],[Qtde Chapas
Liberadas]]</f>
        <v/>
      </c>
      <c r="I268" s="170" t="n">
        <v>8764.528700000001</v>
      </c>
      <c r="J268" s="59">
        <f>Tabela10[[#This Row],[ERP]]/Tabela10[[#This Row],[M² Da chapa]]</f>
        <v/>
      </c>
      <c r="K268" s="170">
        <f>Tabela10[[#This Row],[M² CHAPAS]]-Tabela10[[#This Row],[ERP]]</f>
        <v/>
      </c>
      <c r="L268" s="170">
        <f>Tabela10[[#This Row],[DIFERENÇA M²]]/Tabela10[[#This Row],[M² Da chapa]]</f>
        <v/>
      </c>
    </row>
    <row r="269" hidden="1">
      <c r="A269" s="6" t="inlineStr">
        <is>
          <t>-</t>
        </is>
      </c>
      <c r="B269" s="8" t="inlineStr">
        <is>
          <t>I25045</t>
        </is>
      </c>
      <c r="C269" s="56">
        <f>VLOOKUP(LEFT(B269,1),Tabela5[],2,0)</f>
        <v/>
      </c>
      <c r="D269" s="57" t="inlineStr">
        <is>
          <t>MDF - 15MM</t>
        </is>
      </c>
      <c r="E269" s="170">
        <f>VLOOKUP(Tabela10[[#This Row],[Tipo de Chapa]],Tabela11[],2,FALSE)</f>
        <v/>
      </c>
      <c r="F269" s="169" t="n">
        <v>816</v>
      </c>
      <c r="G269" s="152" t="n">
        <v>0.0702</v>
      </c>
      <c r="H269" s="170">
        <f>Tabela10[[#This Row],[M² Da chapa]]*Tabela10[[#This Row],[Qtde Chapas
Liberadas]]</f>
        <v/>
      </c>
      <c r="I269" s="59" t="n">
        <v>4724.4205</v>
      </c>
      <c r="J269" s="59">
        <f>Tabela10[[#This Row],[ERP]]/Tabela10[[#This Row],[M² Da chapa]]</f>
        <v/>
      </c>
      <c r="K269" s="170">
        <f>Tabela10[[#This Row],[M² CHAPAS]]-Tabela10[[#This Row],[ERP]]</f>
        <v/>
      </c>
      <c r="L269" s="170">
        <f>Tabela10[[#This Row],[DIFERENÇA M²]]/Tabela10[[#This Row],[M² Da chapa]]</f>
        <v/>
      </c>
    </row>
    <row r="270">
      <c r="A270" s="6" t="inlineStr">
        <is>
          <t>-</t>
        </is>
      </c>
      <c r="B270" s="8" t="inlineStr">
        <is>
          <t>N25087</t>
        </is>
      </c>
      <c r="C270" s="56">
        <f>VLOOKUP(LEFT(B270,1),Tabela5[],2,0)</f>
        <v/>
      </c>
      <c r="D270" s="57" t="inlineStr">
        <is>
          <t>EUCADUR FRJ - 2,5MM</t>
        </is>
      </c>
      <c r="E270" s="170">
        <f>VLOOKUP(Tabela10[[#This Row],[Tipo de Chapa]],Tabela11[],2,FALSE)</f>
        <v/>
      </c>
      <c r="F270" s="169" t="n">
        <v>337</v>
      </c>
      <c r="G270" s="152" t="n">
        <v>0.064</v>
      </c>
      <c r="H270" s="170">
        <f>Tabela10[[#This Row],[M² Da chapa]]*Tabela10[[#This Row],[Qtde Chapas
Liberadas]]</f>
        <v/>
      </c>
      <c r="I270" s="170" t="n">
        <v>2466.5236</v>
      </c>
      <c r="J270" s="59">
        <f>Tabela10[[#This Row],[ERP]]/Tabela10[[#This Row],[M² Da chapa]]</f>
        <v/>
      </c>
      <c r="K270" s="170">
        <f>Tabela10[[#This Row],[M² CHAPAS]]-Tabela10[[#This Row],[ERP]]</f>
        <v/>
      </c>
      <c r="L270" s="170">
        <f>Tabela10[[#This Row],[DIFERENÇA M²]]/Tabela10[[#This Row],[M² Da chapa]]</f>
        <v/>
      </c>
    </row>
    <row r="271" hidden="1">
      <c r="A271" s="6" t="inlineStr">
        <is>
          <t>-</t>
        </is>
      </c>
      <c r="B271" s="8" t="inlineStr">
        <is>
          <t>L2506603</t>
        </is>
      </c>
      <c r="C271" s="56">
        <f>VLOOKUP(LEFT(B271,1),Tabela5[],2,0)</f>
        <v/>
      </c>
      <c r="D271" s="69" t="inlineStr">
        <is>
          <t>MDF - 15MM</t>
        </is>
      </c>
      <c r="E271" s="170">
        <f>VLOOKUP(Tabela10[[#This Row],[Tipo de Chapa]],Tabela11[],2,FALSE)</f>
        <v/>
      </c>
      <c r="F271" s="169" t="n">
        <v>120</v>
      </c>
      <c r="G271" s="152" t="n">
        <v>0.0532</v>
      </c>
      <c r="H271" s="170">
        <f>Tabela10[[#This Row],[M² Da chapa]]*Tabela10[[#This Row],[Qtde Chapas
Liberadas]]</f>
        <v/>
      </c>
      <c r="I271" s="170" t="n">
        <v>671.8221</v>
      </c>
      <c r="J271" s="59">
        <f>Tabela10[[#This Row],[ERP]]/Tabela10[[#This Row],[M² Da chapa]]</f>
        <v/>
      </c>
      <c r="K271" s="170">
        <f>Tabela10[[#This Row],[M² CHAPAS]]-Tabela10[[#This Row],[ERP]]</f>
        <v/>
      </c>
      <c r="L271" s="170">
        <f>Tabela10[[#This Row],[DIFERENÇA M²]]/Tabela10[[#This Row],[M² Da chapa]]</f>
        <v/>
      </c>
    </row>
    <row r="272" hidden="1">
      <c r="A272" s="6" t="inlineStr">
        <is>
          <t>-</t>
        </is>
      </c>
      <c r="B272" s="8" t="inlineStr">
        <is>
          <t>L2506701</t>
        </is>
      </c>
      <c r="C272" s="56">
        <f>VLOOKUP(LEFT(B272,1),Tabela5[],2,0)</f>
        <v/>
      </c>
      <c r="D272" s="69" t="inlineStr">
        <is>
          <t>MDF - 15MM</t>
        </is>
      </c>
      <c r="E272" s="170">
        <f>VLOOKUP(Tabela10[[#This Row],[Tipo de Chapa]],Tabela11[],2,FALSE)</f>
        <v/>
      </c>
      <c r="F272" s="169" t="n">
        <v>138</v>
      </c>
      <c r="G272" s="152" t="n">
        <v>0.051</v>
      </c>
      <c r="H272" s="170">
        <f>Tabela10[[#This Row],[M² Da chapa]]*Tabela10[[#This Row],[Qtde Chapas
Liberadas]]</f>
        <v/>
      </c>
      <c r="I272" s="170" t="n">
        <v>771.6253</v>
      </c>
      <c r="J272" s="59">
        <f>Tabela10[[#This Row],[ERP]]/Tabela10[[#This Row],[M² Da chapa]]</f>
        <v/>
      </c>
      <c r="K272" s="170">
        <f>Tabela10[[#This Row],[M² CHAPAS]]-Tabela10[[#This Row],[ERP]]</f>
        <v/>
      </c>
      <c r="L272" s="170">
        <f>Tabela10[[#This Row],[DIFERENÇA M²]]/Tabela10[[#This Row],[M² Da chapa]]</f>
        <v/>
      </c>
    </row>
    <row r="273">
      <c r="A273" s="6" t="inlineStr">
        <is>
          <t>-</t>
        </is>
      </c>
      <c r="B273" s="8" t="inlineStr">
        <is>
          <t>N25087</t>
        </is>
      </c>
      <c r="C273" s="56">
        <f>VLOOKUP(LEFT(B273,1),Tabela5[],2,0)</f>
        <v/>
      </c>
      <c r="D273" s="69" t="inlineStr">
        <is>
          <t>MDF - 18MM 2750X1850</t>
        </is>
      </c>
      <c r="E273" s="170">
        <f>VLOOKUP(Tabela10[[#This Row],[Tipo de Chapa]],Tabela11[],2,FALSE)</f>
        <v/>
      </c>
      <c r="F273" s="169" t="n">
        <v>4</v>
      </c>
      <c r="G273" s="152" t="n">
        <v>0.1308</v>
      </c>
      <c r="H273" s="170">
        <f>Tabela10[[#This Row],[M² Da chapa]]*Tabela10[[#This Row],[Qtde Chapas
Liberadas]]</f>
        <v/>
      </c>
      <c r="I273" s="170" t="n">
        <v>19.2706</v>
      </c>
      <c r="J273" s="59">
        <f>Tabela10[[#This Row],[ERP]]/Tabela10[[#This Row],[M² Da chapa]]</f>
        <v/>
      </c>
      <c r="K273" s="170">
        <f>Tabela10[[#This Row],[M² CHAPAS]]-Tabela10[[#This Row],[ERP]]</f>
        <v/>
      </c>
      <c r="L273" s="170">
        <f>Tabela10[[#This Row],[DIFERENÇA M²]]/Tabela10[[#This Row],[M² Da chapa]]</f>
        <v/>
      </c>
    </row>
    <row r="274" hidden="1">
      <c r="A274" s="6" t="inlineStr">
        <is>
          <t>-</t>
        </is>
      </c>
      <c r="B274" s="8" t="inlineStr">
        <is>
          <t>M25047</t>
        </is>
      </c>
      <c r="C274" s="56">
        <f>VLOOKUP(LEFT(B274,1),Tabela5[],2,0)</f>
        <v/>
      </c>
      <c r="D274" s="69" t="inlineStr">
        <is>
          <t>MDF - 15MM</t>
        </is>
      </c>
      <c r="E274" s="170">
        <f>VLOOKUP(Tabela10[[#This Row],[Tipo de Chapa]],Tabela11[],2,FALSE)</f>
        <v/>
      </c>
      <c r="F274" s="169" t="n">
        <v>671</v>
      </c>
      <c r="G274" s="152" t="n">
        <v>0.0626</v>
      </c>
      <c r="H274" s="170">
        <f>Tabela10[[#This Row],[M² Da chapa]]*Tabela10[[#This Row],[Qtde Chapas
Liberadas]]</f>
        <v/>
      </c>
      <c r="I274" s="59" t="n">
        <v>4153.9605</v>
      </c>
      <c r="J274" s="59">
        <f>Tabela10[[#This Row],[ERP]]/Tabela10[[#This Row],[M² Da chapa]]</f>
        <v/>
      </c>
      <c r="K274" s="170">
        <f>Tabela10[[#This Row],[M² CHAPAS]]-Tabela10[[#This Row],[ERP]]</f>
        <v/>
      </c>
      <c r="L274" s="170">
        <f>Tabela10[[#This Row],[DIFERENÇA M²]]/Tabela10[[#This Row],[M² Da chapa]]</f>
        <v/>
      </c>
    </row>
    <row r="275" hidden="1">
      <c r="A275" s="6" t="inlineStr">
        <is>
          <t>-</t>
        </is>
      </c>
      <c r="B275" s="8" t="inlineStr">
        <is>
          <t>M25047</t>
        </is>
      </c>
      <c r="C275" s="56">
        <f>VLOOKUP(LEFT(B275,1),Tabela5[],2,0)</f>
        <v/>
      </c>
      <c r="D275" s="69" t="inlineStr">
        <is>
          <t>MDF - 9MM</t>
        </is>
      </c>
      <c r="E275" s="170">
        <f>VLOOKUP(Tabela10[[#This Row],[Tipo de Chapa]],Tabela11[],2,FALSE)</f>
        <v/>
      </c>
      <c r="F275" s="169" t="n">
        <v>185</v>
      </c>
      <c r="G275" s="152" t="n">
        <v>0.0471</v>
      </c>
      <c r="H275" s="170">
        <f>Tabela10[[#This Row],[M² Da chapa]]*Tabela10[[#This Row],[Qtde Chapas
Liberadas]]</f>
        <v/>
      </c>
      <c r="I275" s="59" t="n">
        <v>939.7273</v>
      </c>
      <c r="J275" s="59">
        <f>Tabela10[[#This Row],[ERP]]/Tabela10[[#This Row],[M² Da chapa]]</f>
        <v/>
      </c>
      <c r="K275" s="170">
        <f>Tabela10[[#This Row],[M² CHAPAS]]-Tabela10[[#This Row],[ERP]]</f>
        <v/>
      </c>
      <c r="L275" s="170">
        <f>Tabela10[[#This Row],[DIFERENÇA M²]]/Tabela10[[#This Row],[M² Da chapa]]</f>
        <v/>
      </c>
    </row>
    <row r="276" hidden="1">
      <c r="A276" s="6" t="inlineStr">
        <is>
          <t>-</t>
        </is>
      </c>
      <c r="B276" s="8" t="inlineStr">
        <is>
          <t>L2506702</t>
        </is>
      </c>
      <c r="C276" s="56">
        <f>VLOOKUP(LEFT(B276,1),Tabela5[],2,0)</f>
        <v/>
      </c>
      <c r="D276" s="69" t="inlineStr">
        <is>
          <t>MDF - 15MM</t>
        </is>
      </c>
      <c r="E276" s="170">
        <f>VLOOKUP(Tabela10[[#This Row],[Tipo de Chapa]],Tabela11[],2,FALSE)</f>
        <v/>
      </c>
      <c r="F276" s="169" t="n">
        <v>146</v>
      </c>
      <c r="G276" s="152" t="n">
        <v>0.0513</v>
      </c>
      <c r="H276" s="170">
        <f>Tabela10[[#This Row],[M² Da chapa]]*Tabela10[[#This Row],[Qtde Chapas
Liberadas]]</f>
        <v/>
      </c>
      <c r="I276" s="170" t="n">
        <v>861.1023</v>
      </c>
      <c r="J276" s="59">
        <f>Tabela10[[#This Row],[ERP]]/Tabela10[[#This Row],[M² Da chapa]]</f>
        <v/>
      </c>
      <c r="K276" s="170">
        <f>Tabela10[[#This Row],[M² CHAPAS]]-Tabela10[[#This Row],[ERP]]</f>
        <v/>
      </c>
      <c r="L276" s="170">
        <f>Tabela10[[#This Row],[DIFERENÇA M²]]/Tabela10[[#This Row],[M² Da chapa]]</f>
        <v/>
      </c>
    </row>
    <row r="277" hidden="1">
      <c r="A277" s="6" t="inlineStr">
        <is>
          <t>-</t>
        </is>
      </c>
      <c r="B277" s="8" t="inlineStr">
        <is>
          <t>M25047</t>
        </is>
      </c>
      <c r="C277" s="56">
        <f>VLOOKUP(LEFT(B277,1),Tabela5[],2,0)</f>
        <v/>
      </c>
      <c r="D277" s="57" t="inlineStr">
        <is>
          <t>EUCADUR NT - 2,5MM</t>
        </is>
      </c>
      <c r="E277" s="170">
        <f>VLOOKUP(Tabela10[[#This Row],[Tipo de Chapa]],Tabela11[],2,FALSE)</f>
        <v/>
      </c>
      <c r="F277" s="169" t="n">
        <v>284</v>
      </c>
      <c r="G277" s="152" t="n">
        <v>0.0481</v>
      </c>
      <c r="H277" s="170">
        <f>Tabela10[[#This Row],[M² Da chapa]]*Tabela10[[#This Row],[Qtde Chapas
Liberadas]]</f>
        <v/>
      </c>
      <c r="I277" s="59" t="n">
        <v>1546.6248</v>
      </c>
      <c r="J277" s="59">
        <f>Tabela10[[#This Row],[ERP]]/Tabela10[[#This Row],[M² Da chapa]]</f>
        <v/>
      </c>
      <c r="K277" s="170">
        <f>Tabela10[[#This Row],[M² CHAPAS]]-Tabela10[[#This Row],[ERP]]</f>
        <v/>
      </c>
      <c r="L277" s="170">
        <f>Tabela10[[#This Row],[DIFERENÇA M²]]/Tabela10[[#This Row],[M² Da chapa]]</f>
        <v/>
      </c>
    </row>
    <row r="278" hidden="1">
      <c r="A278" s="6" t="inlineStr">
        <is>
          <t>-</t>
        </is>
      </c>
      <c r="B278" s="8" t="inlineStr">
        <is>
          <t>I25046</t>
        </is>
      </c>
      <c r="C278" s="56">
        <f>VLOOKUP(LEFT(B278,1),Tabela5[],2,0)</f>
        <v/>
      </c>
      <c r="D278" s="57" t="inlineStr">
        <is>
          <t>MDF - 15MM</t>
        </is>
      </c>
      <c r="E278" s="170">
        <f>VLOOKUP(Tabela10[[#This Row],[Tipo de Chapa]],Tabela11[],2,FALSE)</f>
        <v/>
      </c>
      <c r="F278" s="169" t="n">
        <v>699</v>
      </c>
      <c r="G278" s="152" t="n">
        <v>0.059</v>
      </c>
      <c r="H278" s="170">
        <f>Tabela10[[#This Row],[M² Da chapa]]*Tabela10[[#This Row],[Qtde Chapas
Liberadas]]</f>
        <v/>
      </c>
      <c r="I278" s="59" t="n">
        <v>4067.6292</v>
      </c>
      <c r="J278" s="59">
        <f>Tabela10[[#This Row],[ERP]]/Tabela10[[#This Row],[M² Da chapa]]</f>
        <v/>
      </c>
      <c r="K278" s="170">
        <f>Tabela10[[#This Row],[M² CHAPAS]]-Tabela10[[#This Row],[ERP]]</f>
        <v/>
      </c>
      <c r="L278" s="170">
        <f>Tabela10[[#This Row],[DIFERENÇA M²]]/Tabela10[[#This Row],[M² Da chapa]]</f>
        <v/>
      </c>
    </row>
    <row r="279" hidden="1">
      <c r="A279" s="6" t="inlineStr">
        <is>
          <t>-</t>
        </is>
      </c>
      <c r="B279" s="8" t="inlineStr">
        <is>
          <t>I25046</t>
        </is>
      </c>
      <c r="C279" s="56">
        <f>VLOOKUP(LEFT(B279,1),Tabela5[],2,0)</f>
        <v/>
      </c>
      <c r="D279" s="57" t="inlineStr">
        <is>
          <t>EUCADUR NT - 2,5MM</t>
        </is>
      </c>
      <c r="E279" s="170">
        <f>VLOOKUP(Tabela10[[#This Row],[Tipo de Chapa]],Tabela11[],2,FALSE)</f>
        <v/>
      </c>
      <c r="F279" s="169" t="n">
        <v>396</v>
      </c>
      <c r="G279" s="152" t="n">
        <v>0.0577</v>
      </c>
      <c r="H279" s="170">
        <f>Tabela10[[#This Row],[M² Da chapa]]*Tabela10[[#This Row],[Qtde Chapas
Liberadas]]</f>
        <v/>
      </c>
      <c r="I279" s="59" t="n">
        <v>1690.6119</v>
      </c>
      <c r="J279" s="59">
        <f>Tabela10[[#This Row],[ERP]]/Tabela10[[#This Row],[M² Da chapa]]</f>
        <v/>
      </c>
      <c r="K279" s="170">
        <f>Tabela10[[#This Row],[M² CHAPAS]]-Tabela10[[#This Row],[ERP]]</f>
        <v/>
      </c>
      <c r="L279" s="170">
        <f>Tabela10[[#This Row],[DIFERENÇA M²]]/Tabela10[[#This Row],[M² Da chapa]]</f>
        <v/>
      </c>
    </row>
    <row r="280" hidden="1">
      <c r="A280" s="6" t="inlineStr">
        <is>
          <t>-</t>
        </is>
      </c>
      <c r="B280" s="8" t="inlineStr">
        <is>
          <t>I25046</t>
        </is>
      </c>
      <c r="C280" s="56">
        <f>VLOOKUP(LEFT(B280,1),Tabela5[],2,0)</f>
        <v/>
      </c>
      <c r="D280" s="57" t="inlineStr">
        <is>
          <t>MDF - 9MM</t>
        </is>
      </c>
      <c r="E280" s="170">
        <f>VLOOKUP(Tabela10[[#This Row],[Tipo de Chapa]],Tabela11[],2,FALSE)</f>
        <v/>
      </c>
      <c r="F280" s="169" t="n">
        <v>132</v>
      </c>
      <c r="G280" s="152" t="n">
        <v>0.03</v>
      </c>
      <c r="H280" s="170">
        <f>Tabela10[[#This Row],[M² Da chapa]]*Tabela10[[#This Row],[Qtde Chapas
Liberadas]]</f>
        <v/>
      </c>
      <c r="I280" s="59" t="n">
        <v>667.6900000000001</v>
      </c>
      <c r="J280" s="59">
        <f>Tabela10[[#This Row],[ERP]]/Tabela10[[#This Row],[M² Da chapa]]</f>
        <v/>
      </c>
      <c r="K280" s="170">
        <f>Tabela10[[#This Row],[M² CHAPAS]]-Tabela10[[#This Row],[ERP]]</f>
        <v/>
      </c>
      <c r="L280" s="170">
        <f>Tabela10[[#This Row],[DIFERENÇA M²]]/Tabela10[[#This Row],[M² Da chapa]]</f>
        <v/>
      </c>
    </row>
    <row r="281" hidden="1">
      <c r="A281" s="6" t="inlineStr">
        <is>
          <t>-</t>
        </is>
      </c>
      <c r="B281" s="8" t="inlineStr">
        <is>
          <t>L2506703 | L2506704 | L2506705</t>
        </is>
      </c>
      <c r="C281" s="56">
        <f>VLOOKUP(LEFT(B281,1),Tabela5[],2,0)</f>
        <v/>
      </c>
      <c r="D281" s="57" t="inlineStr">
        <is>
          <t>MDF - 15MM</t>
        </is>
      </c>
      <c r="E281" s="170">
        <f>VLOOKUP(Tabela10[[#This Row],[Tipo de Chapa]],Tabela11[],2,FALSE)</f>
        <v/>
      </c>
      <c r="F281" s="169" t="n">
        <v>334</v>
      </c>
      <c r="G281" s="152" t="n">
        <v>0.0588</v>
      </c>
      <c r="H281" s="170">
        <f>Tabela10[[#This Row],[M² Da chapa]]*Tabela10[[#This Row],[Qtde Chapas
Liberadas]]</f>
        <v/>
      </c>
      <c r="I281" s="170" t="n">
        <v>2275.9495</v>
      </c>
      <c r="J281" s="59">
        <f>Tabela10[[#This Row],[ERP]]/Tabela10[[#This Row],[M² Da chapa]]</f>
        <v/>
      </c>
      <c r="K281" s="170">
        <f>Tabela10[[#This Row],[M² CHAPAS]]-Tabela10[[#This Row],[ERP]]</f>
        <v/>
      </c>
      <c r="L281" s="170">
        <f>Tabela10[[#This Row],[DIFERENÇA M²]]/Tabela10[[#This Row],[M² Da chapa]]</f>
        <v/>
      </c>
    </row>
    <row r="282" hidden="1">
      <c r="A282" s="6" t="inlineStr">
        <is>
          <t>-</t>
        </is>
      </c>
      <c r="B282" s="8" t="inlineStr">
        <is>
          <t>L2506603</t>
        </is>
      </c>
      <c r="C282" s="56">
        <f>VLOOKUP(LEFT(B282,1),Tabela5[],2,0)</f>
        <v/>
      </c>
      <c r="D282" s="57" t="inlineStr">
        <is>
          <t>EUCADUR NT - 2,5MM</t>
        </is>
      </c>
      <c r="E282" s="170">
        <f>VLOOKUP(Tabela10[[#This Row],[Tipo de Chapa]],Tabela11[],2,FALSE)</f>
        <v/>
      </c>
      <c r="F282" s="169" t="n">
        <v>60</v>
      </c>
      <c r="G282" s="152" t="n">
        <v>0.0898</v>
      </c>
      <c r="H282" s="170">
        <f>Tabela10[[#This Row],[M² Da chapa]]*Tabela10[[#This Row],[Qtde Chapas
Liberadas]]</f>
        <v/>
      </c>
      <c r="I282" s="170" t="n">
        <v>205.5484</v>
      </c>
      <c r="J282" s="59">
        <f>Tabela10[[#This Row],[ERP]]/Tabela10[[#This Row],[M² Da chapa]]</f>
        <v/>
      </c>
      <c r="K282" s="170">
        <f>Tabela10[[#This Row],[M² CHAPAS]]-Tabela10[[#This Row],[ERP]]</f>
        <v/>
      </c>
      <c r="L282" s="170">
        <f>Tabela10[[#This Row],[DIFERENÇA M²]]/Tabela10[[#This Row],[M² Da chapa]]</f>
        <v/>
      </c>
    </row>
    <row r="283">
      <c r="A283" s="6" t="n">
        <v>45962</v>
      </c>
      <c r="B283" s="8" t="inlineStr">
        <is>
          <t>N25088</t>
        </is>
      </c>
      <c r="C283" s="56">
        <f>VLOOKUP(LEFT(B283,1),Tabela5[],2,0)</f>
        <v/>
      </c>
      <c r="D283" s="57" t="inlineStr">
        <is>
          <t>EUCADUR NT - 2,5MM</t>
        </is>
      </c>
      <c r="E283" s="170">
        <f>VLOOKUP(Tabela10[[#This Row],[Tipo de Chapa]],Tabela11[],2,FALSE)</f>
        <v/>
      </c>
      <c r="F283" s="169" t="n">
        <v>203</v>
      </c>
      <c r="G283" s="152" t="n">
        <v>0.06710000000000001</v>
      </c>
      <c r="H283" s="170">
        <f>Tabela10[[#This Row],[M² Da chapa]]*Tabela10[[#This Row],[Qtde Chapas
Liberadas]]</f>
        <v/>
      </c>
      <c r="I283" s="170" t="n">
        <v>1242.5471</v>
      </c>
      <c r="J283" s="59">
        <f>Tabela10[[#This Row],[ERP]]/Tabela10[[#This Row],[M² Da chapa]]</f>
        <v/>
      </c>
      <c r="K283" s="170">
        <f>Tabela10[[#This Row],[M² CHAPAS]]-Tabela10[[#This Row],[ERP]]</f>
        <v/>
      </c>
      <c r="L283" s="170">
        <f>Tabela10[[#This Row],[DIFERENÇA M²]]/Tabela10[[#This Row],[M² Da chapa]]</f>
        <v/>
      </c>
    </row>
    <row r="284" hidden="1">
      <c r="A284" s="6" t="inlineStr">
        <is>
          <t>-</t>
        </is>
      </c>
      <c r="B284" s="8" t="inlineStr">
        <is>
          <t>I25047</t>
        </is>
      </c>
      <c r="C284" s="56">
        <f>VLOOKUP(LEFT(B284,1),Tabela5[],2,0)</f>
        <v/>
      </c>
      <c r="D284" s="57" t="inlineStr">
        <is>
          <t>MDF - 15MM</t>
        </is>
      </c>
      <c r="E284" s="170">
        <f>VLOOKUP(Tabela10[[#This Row],[Tipo de Chapa]],Tabela11[],2,FALSE)</f>
        <v/>
      </c>
      <c r="F284" s="169" t="n">
        <v>1511</v>
      </c>
      <c r="G284" s="152" t="n">
        <v>0.0655</v>
      </c>
      <c r="H284" s="170">
        <f>Tabela10[[#This Row],[M² Da chapa]]*Tabela10[[#This Row],[Qtde Chapas
Liberadas]]</f>
        <v/>
      </c>
      <c r="I284" s="59" t="n">
        <v>8985.7575</v>
      </c>
      <c r="J284" s="59">
        <f>Tabela10[[#This Row],[ERP]]/Tabela10[[#This Row],[M² Da chapa]]</f>
        <v/>
      </c>
      <c r="K284" s="170">
        <f>Tabela10[[#This Row],[M² CHAPAS]]-Tabela10[[#This Row],[ERP]]</f>
        <v/>
      </c>
      <c r="L284" s="170">
        <f>Tabela10[[#This Row],[DIFERENÇA M²]]/Tabela10[[#This Row],[M² Da chapa]]</f>
        <v/>
      </c>
    </row>
    <row r="285" hidden="1">
      <c r="A285" s="6" t="inlineStr">
        <is>
          <t>-</t>
        </is>
      </c>
      <c r="B285" s="8" t="inlineStr">
        <is>
          <t>L2506702</t>
        </is>
      </c>
      <c r="C285" s="56">
        <f>VLOOKUP(LEFT(B285,1),Tabela5[],2,0)</f>
        <v/>
      </c>
      <c r="D285" s="57" t="inlineStr">
        <is>
          <t>EUCADUR NT - 2,5MM</t>
        </is>
      </c>
      <c r="E285" s="170">
        <f>VLOOKUP(Tabela10[[#This Row],[Tipo de Chapa]],Tabela11[],2,FALSE)</f>
        <v/>
      </c>
      <c r="F285" s="169" t="n">
        <v>104</v>
      </c>
      <c r="G285" s="152" t="n">
        <v>0.07489999999999999</v>
      </c>
      <c r="H285" s="170">
        <f>Tabela10[[#This Row],[M² Da chapa]]*Tabela10[[#This Row],[Qtde Chapas
Liberadas]]</f>
        <v/>
      </c>
      <c r="I285" s="170" t="n">
        <v>670.2497</v>
      </c>
      <c r="J285" s="59">
        <f>Tabela10[[#This Row],[ERP]]/Tabela10[[#This Row],[M² Da chapa]]</f>
        <v/>
      </c>
      <c r="K285" s="170">
        <f>Tabela10[[#This Row],[M² CHAPAS]]-Tabela10[[#This Row],[ERP]]</f>
        <v/>
      </c>
      <c r="L285" s="170">
        <f>Tabela10[[#This Row],[DIFERENÇA M²]]/Tabela10[[#This Row],[M² Da chapa]]</f>
        <v/>
      </c>
    </row>
    <row r="286">
      <c r="A286" s="6" t="inlineStr">
        <is>
          <t>-</t>
        </is>
      </c>
      <c r="B286" s="8" t="inlineStr">
        <is>
          <t>N25088</t>
        </is>
      </c>
      <c r="C286" s="56">
        <f>VLOOKUP(LEFT(B286,1),Tabela5[],2,0)</f>
        <v/>
      </c>
      <c r="D286" s="57" t="inlineStr">
        <is>
          <t>MDF - 15MM</t>
        </is>
      </c>
      <c r="E286" s="170">
        <f>VLOOKUP(Tabela10[[#This Row],[Tipo de Chapa]],Tabela11[],2,FALSE)</f>
        <v/>
      </c>
      <c r="F286" s="169">
        <f>221+82+130+201</f>
        <v/>
      </c>
      <c r="G286" s="152" t="n">
        <v>0.059</v>
      </c>
      <c r="H286" s="170">
        <f>Tabela10[[#This Row],[M² Da chapa]]*Tabela10[[#This Row],[Qtde Chapas
Liberadas]]</f>
        <v/>
      </c>
      <c r="I286" s="170" t="n">
        <v>3923.0911</v>
      </c>
      <c r="J286" s="59">
        <f>Tabela10[[#This Row],[ERP]]/Tabela10[[#This Row],[M² Da chapa]]</f>
        <v/>
      </c>
      <c r="K286" s="170">
        <f>Tabela10[[#This Row],[M² CHAPAS]]-Tabela10[[#This Row],[ERP]]</f>
        <v/>
      </c>
      <c r="L286" s="170">
        <f>Tabela10[[#This Row],[DIFERENÇA M²]]/Tabela10[[#This Row],[M² Da chapa]]</f>
        <v/>
      </c>
    </row>
    <row r="287" hidden="1">
      <c r="A287" s="6" t="inlineStr">
        <is>
          <t>-</t>
        </is>
      </c>
      <c r="B287" s="8" t="inlineStr">
        <is>
          <t>I25047</t>
        </is>
      </c>
      <c r="C287" s="56">
        <f>VLOOKUP(LEFT(B287,1),Tabela5[],2,0)</f>
        <v/>
      </c>
      <c r="D287" s="57" t="inlineStr">
        <is>
          <t>EUCADUR NT - 2,5MM</t>
        </is>
      </c>
      <c r="E287" s="170">
        <f>VLOOKUP(Tabela10[[#This Row],[Tipo de Chapa]],Tabela11[],2,FALSE)</f>
        <v/>
      </c>
      <c r="F287" s="169" t="n">
        <v>297</v>
      </c>
      <c r="G287" s="152" t="n">
        <v>0.0546</v>
      </c>
      <c r="H287" s="170">
        <f>Tabela10[[#This Row],[M² Da chapa]]*Tabela10[[#This Row],[Qtde Chapas
Liberadas]]</f>
        <v/>
      </c>
      <c r="I287" s="59" t="n">
        <v>2259.9211</v>
      </c>
      <c r="J287" s="59">
        <f>Tabela10[[#This Row],[ERP]]/Tabela10[[#This Row],[M² Da chapa]]</f>
        <v/>
      </c>
      <c r="K287" s="170">
        <f>Tabela10[[#This Row],[M² CHAPAS]]-Tabela10[[#This Row],[ERP]]</f>
        <v/>
      </c>
      <c r="L287" s="170">
        <f>Tabela10[[#This Row],[DIFERENÇA M²]]/Tabela10[[#This Row],[M² Da chapa]]</f>
        <v/>
      </c>
    </row>
    <row r="288" hidden="1">
      <c r="A288" s="6" t="inlineStr">
        <is>
          <t>-</t>
        </is>
      </c>
      <c r="B288" s="8" t="inlineStr">
        <is>
          <t>I25047</t>
        </is>
      </c>
      <c r="C288" s="56">
        <f>VLOOKUP(LEFT(B288,1),Tabela5[],2,0)</f>
        <v/>
      </c>
      <c r="D288" s="57" t="inlineStr">
        <is>
          <t>EUCADUR BR - 2,5MM</t>
        </is>
      </c>
      <c r="E288" s="170">
        <f>VLOOKUP(Tabela10[[#This Row],[Tipo de Chapa]],Tabela11[],2,FALSE)</f>
        <v/>
      </c>
      <c r="F288" s="169" t="n">
        <v>84</v>
      </c>
      <c r="G288" s="152" t="n">
        <v>0.0504</v>
      </c>
      <c r="H288" s="170">
        <f>Tabela10[[#This Row],[M² Da chapa]]*Tabela10[[#This Row],[Qtde Chapas
Liberadas]]</f>
        <v/>
      </c>
      <c r="I288" s="59" t="n">
        <v>509.8596</v>
      </c>
      <c r="J288" s="59">
        <f>Tabela10[[#This Row],[ERP]]/Tabela10[[#This Row],[M² Da chapa]]</f>
        <v/>
      </c>
      <c r="K288" s="170">
        <f>Tabela10[[#This Row],[M² CHAPAS]]-Tabela10[[#This Row],[ERP]]</f>
        <v/>
      </c>
      <c r="L288" s="170">
        <f>Tabela10[[#This Row],[DIFERENÇA M²]]/Tabela10[[#This Row],[M² Da chapa]]</f>
        <v/>
      </c>
    </row>
    <row r="289" hidden="1">
      <c r="A289" s="6" t="inlineStr">
        <is>
          <t>-</t>
        </is>
      </c>
      <c r="B289" s="8" t="inlineStr">
        <is>
          <t>L25068</t>
        </is>
      </c>
      <c r="C289" s="56">
        <f>VLOOKUP(LEFT(B289,1),Tabela5[],2,0)</f>
        <v/>
      </c>
      <c r="D289" s="57" t="inlineStr">
        <is>
          <t>MDF - 15MM</t>
        </is>
      </c>
      <c r="E289" s="170">
        <f>VLOOKUP(Tabela10[[#This Row],[Tipo de Chapa]],Tabela11[],2,FALSE)</f>
        <v/>
      </c>
      <c r="F289" s="169" t="n">
        <v>354</v>
      </c>
      <c r="G289" s="152" t="n">
        <v>0.055</v>
      </c>
      <c r="H289" s="170">
        <f>Tabela10[[#This Row],[M² Da chapa]]*Tabela10[[#This Row],[Qtde Chapas
Liberadas]]</f>
        <v/>
      </c>
      <c r="I289" s="170" t="n">
        <v>2262.864</v>
      </c>
      <c r="J289" s="59">
        <f>Tabela10[[#This Row],[ERP]]/Tabela10[[#This Row],[M² Da chapa]]</f>
        <v/>
      </c>
      <c r="K289" s="170">
        <f>Tabela10[[#This Row],[M² CHAPAS]]-Tabela10[[#This Row],[ERP]]</f>
        <v/>
      </c>
      <c r="L289" s="170">
        <f>Tabela10[[#This Row],[DIFERENÇA M²]]/Tabela10[[#This Row],[M² Da chapa]]</f>
        <v/>
      </c>
    </row>
    <row r="290">
      <c r="A290" s="6" t="inlineStr">
        <is>
          <t>-</t>
        </is>
      </c>
      <c r="B290" s="8" t="inlineStr">
        <is>
          <t>N25090</t>
        </is>
      </c>
      <c r="C290" s="56">
        <f>VLOOKUP(LEFT(B290,1),Tabela5[],2,0)</f>
        <v/>
      </c>
      <c r="D290" s="57" t="inlineStr">
        <is>
          <t>EUCADUR FRJ - 2,5MM</t>
        </is>
      </c>
      <c r="E290" s="170">
        <f>VLOOKUP(Tabela10[[#This Row],[Tipo de Chapa]],Tabela11[],2,FALSE)</f>
        <v/>
      </c>
      <c r="F290" s="169" t="n">
        <v>267</v>
      </c>
      <c r="G290" s="152" t="n">
        <v>0.066</v>
      </c>
      <c r="H290" s="170">
        <f>Tabela10[[#This Row],[M² Da chapa]]*Tabela10[[#This Row],[Qtde Chapas
Liberadas]]</f>
        <v/>
      </c>
      <c r="I290" s="170" t="n">
        <v>1470.9176</v>
      </c>
      <c r="J290" s="59">
        <f>Tabela10[[#This Row],[ERP]]/Tabela10[[#This Row],[M² Da chapa]]</f>
        <v/>
      </c>
      <c r="K290" s="170">
        <f>Tabela10[[#This Row],[M² CHAPAS]]-Tabela10[[#This Row],[ERP]]</f>
        <v/>
      </c>
      <c r="L290" s="170">
        <f>Tabela10[[#This Row],[DIFERENÇA M²]]/Tabela10[[#This Row],[M² Da chapa]]</f>
        <v/>
      </c>
    </row>
    <row r="291">
      <c r="A291" s="6" t="inlineStr">
        <is>
          <t>-</t>
        </is>
      </c>
      <c r="B291" s="8" t="inlineStr">
        <is>
          <t>N25090</t>
        </is>
      </c>
      <c r="C291" s="56">
        <f>VLOOKUP(LEFT(B291,1),Tabela5[],2,0)</f>
        <v/>
      </c>
      <c r="D291" s="57" t="inlineStr">
        <is>
          <t>SOBRAS DE TERCEIROS FRJ</t>
        </is>
      </c>
      <c r="E291" s="170">
        <f>VLOOKUP(Tabela10[[#This Row],[Tipo de Chapa]],Tabela11[],2,FALSE)</f>
        <v/>
      </c>
      <c r="F291" s="169" t="inlineStr">
        <is>
          <t>-</t>
        </is>
      </c>
      <c r="G291" s="152" t="inlineStr">
        <is>
          <t>-</t>
        </is>
      </c>
      <c r="H291" s="170" t="n">
        <v>50.41267</v>
      </c>
      <c r="I291" s="170" t="inlineStr">
        <is>
          <t>-</t>
        </is>
      </c>
      <c r="J291" s="59" t="inlineStr">
        <is>
          <t>-</t>
        </is>
      </c>
      <c r="K291" s="170" t="inlineStr">
        <is>
          <t>-</t>
        </is>
      </c>
      <c r="L291" s="170" t="inlineStr">
        <is>
          <t>-</t>
        </is>
      </c>
    </row>
    <row r="292">
      <c r="A292" s="6" t="inlineStr">
        <is>
          <t>-</t>
        </is>
      </c>
      <c r="B292" s="8" t="inlineStr">
        <is>
          <t>N25090</t>
        </is>
      </c>
      <c r="C292" s="56">
        <f>VLOOKUP(LEFT(B292,1),Tabela5[],2,0)</f>
        <v/>
      </c>
      <c r="D292" s="57" t="inlineStr">
        <is>
          <t>MDF - 15MM</t>
        </is>
      </c>
      <c r="E292" s="170">
        <f>VLOOKUP(Tabela10[[#This Row],[Tipo de Chapa]],Tabela11[],2,FALSE)</f>
        <v/>
      </c>
      <c r="F292" s="169" t="n">
        <v>760</v>
      </c>
      <c r="G292" s="152" t="n">
        <v>0.065</v>
      </c>
      <c r="H292" s="170">
        <f>Tabela10[[#This Row],[M² Da chapa]]*Tabela10[[#This Row],[Qtde Chapas
Liberadas]]</f>
        <v/>
      </c>
      <c r="I292" s="170" t="n">
        <v>4640.3157</v>
      </c>
      <c r="J292" s="59">
        <f>Tabela10[[#This Row],[ERP]]/Tabela10[[#This Row],[M² Da chapa]]</f>
        <v/>
      </c>
      <c r="K292" s="170">
        <f>Tabela10[[#This Row],[M² CHAPAS]]-Tabela10[[#This Row],[ERP]]</f>
        <v/>
      </c>
      <c r="L292" s="170">
        <f>Tabela10[[#This Row],[DIFERENÇA M²]]/Tabela10[[#This Row],[M² Da chapa]]</f>
        <v/>
      </c>
    </row>
    <row r="293" hidden="1">
      <c r="A293" s="6" t="inlineStr">
        <is>
          <t>-</t>
        </is>
      </c>
      <c r="B293" s="8" t="inlineStr">
        <is>
          <t>L2506901 | L2506902</t>
        </is>
      </c>
      <c r="C293" s="56">
        <f>VLOOKUP(LEFT(B293,1),Tabela5[],2,0)</f>
        <v/>
      </c>
      <c r="D293" s="57" t="inlineStr">
        <is>
          <t>MDF - 15MM</t>
        </is>
      </c>
      <c r="E293" s="170">
        <f>VLOOKUP(Tabela10[[#This Row],[Tipo de Chapa]],Tabela11[],2,FALSE)</f>
        <v/>
      </c>
      <c r="F293" s="169">
        <f>252+235</f>
        <v/>
      </c>
      <c r="G293" s="152" t="n">
        <v>0.0553</v>
      </c>
      <c r="H293" s="170">
        <f>Tabela10[[#This Row],[M² Da chapa]]*Tabela10[[#This Row],[Qtde Chapas
Liberadas]]</f>
        <v/>
      </c>
      <c r="I293" s="170" t="n">
        <v>3086.7508</v>
      </c>
      <c r="J293" s="59">
        <f>Tabela10[[#This Row],[ERP]]/Tabela10[[#This Row],[M² Da chapa]]</f>
        <v/>
      </c>
      <c r="K293" s="170">
        <f>Tabela10[[#This Row],[M² CHAPAS]]-Tabela10[[#This Row],[ERP]]</f>
        <v/>
      </c>
      <c r="L293" s="170">
        <f>Tabela10[[#This Row],[DIFERENÇA M²]]/Tabela10[[#This Row],[M² Da chapa]]</f>
        <v/>
      </c>
    </row>
    <row r="294" hidden="1">
      <c r="A294" s="6" t="inlineStr">
        <is>
          <t>-</t>
        </is>
      </c>
      <c r="B294" s="8" t="inlineStr">
        <is>
          <t>L2506703 | L2506705</t>
        </is>
      </c>
      <c r="C294" s="56">
        <f>VLOOKUP(LEFT(B294,1),Tabela5[],2,0)</f>
        <v/>
      </c>
      <c r="D294" s="57" t="inlineStr">
        <is>
          <t>EUCADUR NT - 2,5MM</t>
        </is>
      </c>
      <c r="E294" s="170">
        <f>VLOOKUP(Tabela10[[#This Row],[Tipo de Chapa]],Tabela11[],2,FALSE)</f>
        <v/>
      </c>
      <c r="F294" s="169" t="n">
        <v>206</v>
      </c>
      <c r="G294" s="152" t="n">
        <v>0.075</v>
      </c>
      <c r="H294" s="170">
        <f>Tabela10[[#This Row],[M² Da chapa]]*Tabela10[[#This Row],[Qtde Chapas
Liberadas]]</f>
        <v/>
      </c>
      <c r="I294" s="170" t="n">
        <v>1169.6012</v>
      </c>
      <c r="J294" s="59">
        <f>Tabela10[[#This Row],[ERP]]/Tabela10[[#This Row],[M² Da chapa]]</f>
        <v/>
      </c>
      <c r="K294" s="170">
        <f>Tabela10[[#This Row],[M² CHAPAS]]-Tabela10[[#This Row],[ERP]]</f>
        <v/>
      </c>
      <c r="L294" s="170">
        <f>Tabela10[[#This Row],[DIFERENÇA M²]]/Tabela10[[#This Row],[M² Da chapa]]</f>
        <v/>
      </c>
    </row>
    <row r="295" hidden="1">
      <c r="A295" s="6" t="inlineStr">
        <is>
          <t>-</t>
        </is>
      </c>
      <c r="B295" s="8" t="inlineStr">
        <is>
          <t>I25045</t>
        </is>
      </c>
      <c r="C295" s="56">
        <f>VLOOKUP(LEFT(B295,1),Tabela5[],2,0)</f>
        <v/>
      </c>
      <c r="D295" s="57" t="inlineStr">
        <is>
          <t>MDF - 9MM</t>
        </is>
      </c>
      <c r="E295" s="170">
        <f>VLOOKUP(Tabela10[[#This Row],[Tipo de Chapa]],Tabela11[],2,FALSE)</f>
        <v/>
      </c>
      <c r="F295" s="169" t="n">
        <v>44</v>
      </c>
      <c r="G295" s="152" t="n">
        <v>0.0301</v>
      </c>
      <c r="H295" s="170">
        <f>Tabela10[[#This Row],[M² Da chapa]]*Tabela10[[#This Row],[Qtde Chapas
Liberadas]]</f>
        <v/>
      </c>
      <c r="I295" s="59" t="n">
        <v>222.5655</v>
      </c>
      <c r="J295" s="59">
        <f>Tabela10[[#This Row],[ERP]]/Tabela10[[#This Row],[M² Da chapa]]</f>
        <v/>
      </c>
      <c r="K295" s="170">
        <f>Tabela10[[#This Row],[M² CHAPAS]]-Tabela10[[#This Row],[ERP]]</f>
        <v/>
      </c>
      <c r="L295" s="170">
        <f>Tabela10[[#This Row],[DIFERENÇA M²]]/Tabela10[[#This Row],[M² Da chapa]]</f>
        <v/>
      </c>
    </row>
    <row r="296" hidden="1">
      <c r="A296" s="6" t="inlineStr">
        <is>
          <t>-</t>
        </is>
      </c>
      <c r="B296" s="8" t="inlineStr">
        <is>
          <t>I25048</t>
        </is>
      </c>
      <c r="C296" s="56">
        <f>VLOOKUP(LEFT(B296,1),Tabela5[],2,0)</f>
        <v/>
      </c>
      <c r="D296" s="57" t="inlineStr">
        <is>
          <t>EUCADUR NT - 2,5MM</t>
        </is>
      </c>
      <c r="E296" s="170">
        <f>VLOOKUP(Tabela10[[#This Row],[Tipo de Chapa]],Tabela11[],2,FALSE)</f>
        <v/>
      </c>
      <c r="F296" s="169" t="n">
        <v>124</v>
      </c>
      <c r="G296" s="152" t="n">
        <v>0.0515</v>
      </c>
      <c r="H296" s="170">
        <f>Tabela10[[#This Row],[M² Da chapa]]*Tabela10[[#This Row],[Qtde Chapas
Liberadas]]</f>
        <v/>
      </c>
      <c r="I296" s="59" t="n">
        <v>1303.8701</v>
      </c>
      <c r="J296" s="59">
        <f>Tabela10[[#This Row],[ERP]]/Tabela10[[#This Row],[M² Da chapa]]</f>
        <v/>
      </c>
      <c r="K296" s="170">
        <f>Tabela10[[#This Row],[M² CHAPAS]]-Tabela10[[#This Row],[ERP]]</f>
        <v/>
      </c>
      <c r="L296" s="170">
        <f>Tabela10[[#This Row],[DIFERENÇA M²]]/Tabela10[[#This Row],[M² Da chapa]]</f>
        <v/>
      </c>
    </row>
    <row r="297" hidden="1">
      <c r="A297" s="6" t="inlineStr">
        <is>
          <t>-</t>
        </is>
      </c>
      <c r="B297" s="8" t="inlineStr">
        <is>
          <t>L2506801 | L2506803</t>
        </is>
      </c>
      <c r="C297" s="56">
        <f>VLOOKUP(LEFT(B297,1),Tabela5[],2,0)</f>
        <v/>
      </c>
      <c r="D297" s="57" t="inlineStr">
        <is>
          <t>EUCADUR NT - 2,5MM</t>
        </is>
      </c>
      <c r="E297" s="170">
        <f>VLOOKUP(Tabela10[[#This Row],[Tipo de Chapa]],Tabela11[],2,FALSE)</f>
        <v/>
      </c>
      <c r="F297" s="169" t="n">
        <v>271</v>
      </c>
      <c r="G297" s="152" t="n">
        <v>0.07000000000000001</v>
      </c>
      <c r="H297" s="170">
        <f>Tabela10[[#This Row],[M² Da chapa]]*Tabela10[[#This Row],[Qtde Chapas
Liberadas]]</f>
        <v/>
      </c>
      <c r="I297" s="170" t="n">
        <v>1169.6012</v>
      </c>
      <c r="J297" s="59">
        <f>Tabela10[[#This Row],[ERP]]/Tabela10[[#This Row],[M² Da chapa]]</f>
        <v/>
      </c>
      <c r="K297" s="170">
        <f>Tabela10[[#This Row],[M² CHAPAS]]-Tabela10[[#This Row],[ERP]]</f>
        <v/>
      </c>
      <c r="L297" s="170">
        <f>Tabela10[[#This Row],[DIFERENÇA M²]]/Tabela10[[#This Row],[M² Da chapa]]</f>
        <v/>
      </c>
    </row>
    <row r="298" hidden="1">
      <c r="A298" s="6" t="inlineStr">
        <is>
          <t>-</t>
        </is>
      </c>
      <c r="B298" s="8" t="inlineStr">
        <is>
          <t>L2506901</t>
        </is>
      </c>
      <c r="C298" s="56">
        <f>VLOOKUP(LEFT(B298,1),Tabela5[],2,0)</f>
        <v/>
      </c>
      <c r="D298" s="57" t="inlineStr">
        <is>
          <t>EUCADUR NT - 2,5MM</t>
        </is>
      </c>
      <c r="E298" s="170">
        <f>VLOOKUP(Tabela10[[#This Row],[Tipo de Chapa]],Tabela11[],2,FALSE)</f>
        <v/>
      </c>
      <c r="F298" s="169" t="n">
        <v>180</v>
      </c>
      <c r="G298" s="152" t="n">
        <v>0.065</v>
      </c>
      <c r="H298" s="170">
        <f>Tabela10[[#This Row],[M² Da chapa]]*Tabela10[[#This Row],[Qtde Chapas
Liberadas]]</f>
        <v/>
      </c>
      <c r="I298" s="170" t="n">
        <v>1072.9626</v>
      </c>
      <c r="J298" s="59">
        <f>Tabela10[[#This Row],[ERP]]/Tabela10[[#This Row],[M² Da chapa]]</f>
        <v/>
      </c>
      <c r="K298" s="170">
        <f>Tabela10[[#This Row],[M² CHAPAS]]-Tabela10[[#This Row],[ERP]]</f>
        <v/>
      </c>
      <c r="L298" s="170">
        <f>Tabela10[[#This Row],[DIFERENÇA M²]]/Tabela10[[#This Row],[M² Da chapa]]</f>
        <v/>
      </c>
    </row>
    <row r="299" hidden="1">
      <c r="A299" s="6" t="inlineStr">
        <is>
          <t>-</t>
        </is>
      </c>
      <c r="B299" s="8" t="inlineStr">
        <is>
          <t>L256801</t>
        </is>
      </c>
      <c r="C299" s="56">
        <f>VLOOKUP(LEFT(B299,1),Tabela5[],2,0)</f>
        <v/>
      </c>
      <c r="D299" s="57" t="inlineStr">
        <is>
          <t>MDF - 25MM 2750x2100</t>
        </is>
      </c>
      <c r="E299" s="170">
        <f>VLOOKUP(Tabela10[[#This Row],[Tipo de Chapa]],Tabela11[],2,FALSE)</f>
        <v/>
      </c>
      <c r="F299" s="169" t="n">
        <v>50</v>
      </c>
      <c r="G299" s="152" t="n">
        <v>0.0801</v>
      </c>
      <c r="H299" s="170">
        <f>Tabela10[[#This Row],[M² Da chapa]]*Tabela10[[#This Row],[Qtde Chapas
Liberadas]]</f>
        <v/>
      </c>
      <c r="I299" s="170" t="n">
        <v>234.6387</v>
      </c>
      <c r="J299" s="59">
        <f>Tabela10[[#This Row],[ERP]]/Tabela10[[#This Row],[M² Da chapa]]</f>
        <v/>
      </c>
      <c r="K299" s="170">
        <f>Tabela10[[#This Row],[M² CHAPAS]]-Tabela10[[#This Row],[ERP]]</f>
        <v/>
      </c>
      <c r="L299" s="170">
        <f>Tabela10[[#This Row],[DIFERENÇA M²]]/Tabela10[[#This Row],[M² Da chapa]]</f>
        <v/>
      </c>
    </row>
    <row r="300" hidden="1">
      <c r="A300" s="6" t="inlineStr">
        <is>
          <t>-</t>
        </is>
      </c>
      <c r="B300" s="8" t="inlineStr">
        <is>
          <t>L2506901</t>
        </is>
      </c>
      <c r="C300" s="56">
        <f>VLOOKUP(LEFT(B300,1),Tabela5[],2,0)</f>
        <v/>
      </c>
      <c r="D300" s="57" t="inlineStr">
        <is>
          <t>MDF - 25MM 2750x2100</t>
        </is>
      </c>
      <c r="E300" s="170">
        <f>VLOOKUP(Tabela10[[#This Row],[Tipo de Chapa]],Tabela11[],2,FALSE)</f>
        <v/>
      </c>
      <c r="F300" s="169" t="n">
        <v>73</v>
      </c>
      <c r="G300" s="152" t="n">
        <v>0.0801</v>
      </c>
      <c r="H300" s="170">
        <f>Tabela10[[#This Row],[M² Da chapa]]*Tabela10[[#This Row],[Qtde Chapas
Liberadas]]</f>
        <v/>
      </c>
      <c r="I300" s="170" t="inlineStr">
        <is>
          <t>-</t>
        </is>
      </c>
      <c r="J300" s="170" t="inlineStr">
        <is>
          <t>-</t>
        </is>
      </c>
      <c r="K300" s="170" t="inlineStr">
        <is>
          <t>-</t>
        </is>
      </c>
      <c r="L300" s="170" t="inlineStr">
        <is>
          <t>-</t>
        </is>
      </c>
    </row>
    <row r="301" hidden="1">
      <c r="A301" s="6" t="inlineStr">
        <is>
          <t>-</t>
        </is>
      </c>
      <c r="B301" s="8" t="inlineStr">
        <is>
          <t>L2506901</t>
        </is>
      </c>
      <c r="C301" s="56">
        <f>VLOOKUP(LEFT(B301,1),Tabela5[],2,0)</f>
        <v/>
      </c>
      <c r="D301" s="57" t="inlineStr">
        <is>
          <t>MDF - 25MM 2750x2200</t>
        </is>
      </c>
      <c r="E301" s="170">
        <f>VLOOKUP(Tabela10[[#This Row],[Tipo de Chapa]],Tabela11[],2,FALSE)</f>
        <v/>
      </c>
      <c r="F301" s="169" t="n">
        <v>27</v>
      </c>
      <c r="G301" s="152" t="n">
        <v>0.1223</v>
      </c>
      <c r="H301" s="170">
        <f>Tabela10[[#This Row],[M² Da chapa]]*Tabela10[[#This Row],[Qtde Chapas
Liberadas]]</f>
        <v/>
      </c>
      <c r="I301" s="170" t="inlineStr">
        <is>
          <t>-</t>
        </is>
      </c>
      <c r="J301" s="170" t="inlineStr">
        <is>
          <t>-</t>
        </is>
      </c>
      <c r="K301" s="170" t="inlineStr">
        <is>
          <t>-</t>
        </is>
      </c>
      <c r="L301" s="170" t="inlineStr">
        <is>
          <t>-</t>
        </is>
      </c>
    </row>
    <row r="302">
      <c r="A302" s="6" t="inlineStr">
        <is>
          <t>-</t>
        </is>
      </c>
      <c r="B302" s="8" t="inlineStr">
        <is>
          <t>N25091</t>
        </is>
      </c>
      <c r="C302" s="56">
        <f>VLOOKUP(LEFT(B302,1),Tabela5[],2,0)</f>
        <v/>
      </c>
      <c r="D302" s="57" t="inlineStr">
        <is>
          <t>EUCADUR FRJ - 2,5MM</t>
        </is>
      </c>
      <c r="E302" s="170">
        <f>VLOOKUP(Tabela10[[#This Row],[Tipo de Chapa]],Tabela11[],2,FALSE)</f>
        <v/>
      </c>
      <c r="F302" s="169" t="n">
        <v>170</v>
      </c>
      <c r="G302" s="152" t="n">
        <v>0.062</v>
      </c>
      <c r="H302" s="170">
        <f>Tabela10[[#This Row],[M² Da chapa]]*Tabela10[[#This Row],[Qtde Chapas
Liberadas]]</f>
        <v/>
      </c>
      <c r="I302" s="170" t="n">
        <v>1322.3717</v>
      </c>
      <c r="J302" s="59">
        <f>Tabela10[[#This Row],[ERP]]/Tabela10[[#This Row],[M² Da chapa]]</f>
        <v/>
      </c>
      <c r="K302" s="170">
        <f>Tabela10[[#This Row],[M² CHAPAS]]-Tabela10[[#This Row],[ERP]]</f>
        <v/>
      </c>
      <c r="L302" s="170">
        <f>Tabela10[[#This Row],[DIFERENÇA M²]]/Tabela10[[#This Row],[M² Da chapa]]</f>
        <v/>
      </c>
    </row>
    <row r="303">
      <c r="A303" s="6" t="inlineStr">
        <is>
          <t>-</t>
        </is>
      </c>
      <c r="B303" s="8" t="inlineStr">
        <is>
          <t>N25091</t>
        </is>
      </c>
      <c r="C303" s="56">
        <f>VLOOKUP(LEFT(B303,1),Tabela5[],2,0)</f>
        <v/>
      </c>
      <c r="D303" s="57" t="inlineStr">
        <is>
          <t>EUCADUR FRJ - 2,5MM</t>
        </is>
      </c>
      <c r="E303" s="170">
        <f>VLOOKUP(Tabela10[[#This Row],[Tipo de Chapa]],Tabela11[],2,FALSE)</f>
        <v/>
      </c>
      <c r="F303" s="169" t="n">
        <v>21</v>
      </c>
      <c r="G303" s="152" t="n">
        <v>0.0603</v>
      </c>
      <c r="H303" s="170">
        <f>Tabela10[[#This Row],[M² Da chapa]]*Tabela10[[#This Row],[Qtde Chapas
Liberadas]]</f>
        <v/>
      </c>
      <c r="I303" s="170" t="inlineStr">
        <is>
          <t>-</t>
        </is>
      </c>
      <c r="J303" s="59" t="inlineStr">
        <is>
          <t>-</t>
        </is>
      </c>
      <c r="K303" s="170" t="inlineStr">
        <is>
          <t>-</t>
        </is>
      </c>
      <c r="L303" s="170" t="inlineStr">
        <is>
          <t>-</t>
        </is>
      </c>
    </row>
    <row r="304">
      <c r="A304" s="6" t="inlineStr">
        <is>
          <t>-</t>
        </is>
      </c>
      <c r="B304" s="8" t="inlineStr">
        <is>
          <t>N25091</t>
        </is>
      </c>
      <c r="C304" s="56">
        <f>VLOOKUP(LEFT(B304,1),Tabela5[],2,0)</f>
        <v/>
      </c>
      <c r="D304" s="57" t="inlineStr">
        <is>
          <t>SOBRAS DE TERCEIROS FRJ</t>
        </is>
      </c>
      <c r="E304" s="170">
        <f>VLOOKUP(Tabela10[[#This Row],[Tipo de Chapa]],Tabela11[],2,FALSE)</f>
        <v/>
      </c>
      <c r="F304" s="169" t="inlineStr">
        <is>
          <t>-</t>
        </is>
      </c>
      <c r="G304" s="152" t="inlineStr">
        <is>
          <t>-</t>
        </is>
      </c>
      <c r="H304" s="170" t="n">
        <v>78.5652</v>
      </c>
      <c r="I304" s="170" t="inlineStr">
        <is>
          <t>-</t>
        </is>
      </c>
      <c r="J304" s="59" t="inlineStr">
        <is>
          <t>-</t>
        </is>
      </c>
      <c r="K304" s="170" t="inlineStr">
        <is>
          <t>-</t>
        </is>
      </c>
      <c r="L304" s="170" t="inlineStr">
        <is>
          <t>-</t>
        </is>
      </c>
    </row>
    <row r="305">
      <c r="A305" s="6" t="inlineStr">
        <is>
          <t>-</t>
        </is>
      </c>
      <c r="B305" s="8" t="inlineStr">
        <is>
          <t>N25091</t>
        </is>
      </c>
      <c r="C305" s="56">
        <f>VLOOKUP(LEFT(B305,1),Tabela5[],2,0)</f>
        <v/>
      </c>
      <c r="D305" s="57" t="inlineStr">
        <is>
          <t>MDF - 15MM</t>
        </is>
      </c>
      <c r="E305" s="170">
        <f>VLOOKUP(Tabela10[[#This Row],[Tipo de Chapa]],Tabela11[],2,FALSE)</f>
        <v/>
      </c>
      <c r="F305" s="169">
        <f>219+188+221+89+211+232+233</f>
        <v/>
      </c>
      <c r="G305" s="152" t="n">
        <v>0.065</v>
      </c>
      <c r="H305" s="170">
        <f>Tabela10[[#This Row],[M² Da chapa]]*Tabela10[[#This Row],[Qtde Chapas
Liberadas]]</f>
        <v/>
      </c>
      <c r="I305" s="170" t="n">
        <v>8379.5682</v>
      </c>
      <c r="J305" s="59">
        <f>Tabela10[[#This Row],[ERP]]/Tabela10[[#This Row],[M² Da chapa]]</f>
        <v/>
      </c>
      <c r="K305" s="170">
        <f>Tabela10[[#This Row],[M² CHAPAS]]-Tabela10[[#This Row],[ERP]]</f>
        <v/>
      </c>
      <c r="L305" s="170">
        <f>Tabela10[[#This Row],[DIFERENÇA M²]]/Tabela10[[#This Row],[M² Da chapa]]</f>
        <v/>
      </c>
    </row>
    <row r="306">
      <c r="A306" s="6" t="inlineStr">
        <is>
          <t>-</t>
        </is>
      </c>
      <c r="B306" s="8" t="inlineStr">
        <is>
          <t>N25091</t>
        </is>
      </c>
      <c r="C306" s="56">
        <f>VLOOKUP(LEFT(B306,1),Tabela5[],2,0)</f>
        <v/>
      </c>
      <c r="D306" s="57" t="inlineStr">
        <is>
          <t>EUCADUR BR - 2,5MM</t>
        </is>
      </c>
      <c r="E306" s="170">
        <f>VLOOKUP(Tabela10[[#This Row],[Tipo de Chapa]],Tabela11[],2,FALSE)</f>
        <v/>
      </c>
      <c r="F306" s="169" t="n">
        <v>156</v>
      </c>
      <c r="G306" s="152" t="n">
        <v>0.079</v>
      </c>
      <c r="H306" s="170">
        <f>Tabela10[[#This Row],[M² Da chapa]]*Tabela10[[#This Row],[Qtde Chapas
Liberadas]]</f>
        <v/>
      </c>
      <c r="I306" s="170" t="n">
        <v>902.0779</v>
      </c>
      <c r="J306" s="59">
        <f>Tabela10[[#This Row],[ERP]]/Tabela10[[#This Row],[M² Da chapa]]</f>
        <v/>
      </c>
      <c r="K306" s="170">
        <f>Tabela10[[#This Row],[M² CHAPAS]]-Tabela10[[#This Row],[ERP]]</f>
        <v/>
      </c>
      <c r="L306" s="170">
        <f>Tabela10[[#This Row],[DIFERENÇA M²]]/Tabela10[[#This Row],[M² Da chapa]]</f>
        <v/>
      </c>
    </row>
    <row r="307">
      <c r="A307" s="6" t="inlineStr">
        <is>
          <t>-</t>
        </is>
      </c>
      <c r="B307" s="8" t="inlineStr">
        <is>
          <t>N25091</t>
        </is>
      </c>
      <c r="C307" s="56">
        <f>VLOOKUP(LEFT(B307,1),Tabela5[],2,0)</f>
        <v/>
      </c>
      <c r="D307" s="57" t="inlineStr">
        <is>
          <t>EUCADUR NT - 2,5MM</t>
        </is>
      </c>
      <c r="E307" s="170">
        <f>VLOOKUP(Tabela10[[#This Row],[Tipo de Chapa]],Tabela11[],2,FALSE)</f>
        <v/>
      </c>
      <c r="F307" s="169" t="n">
        <v>90</v>
      </c>
      <c r="G307" s="152" t="n">
        <v>0.067</v>
      </c>
      <c r="H307" s="170">
        <f>Tabela10[[#This Row],[M² Da chapa]]*Tabela10[[#This Row],[Qtde Chapas
Liberadas]]</f>
        <v/>
      </c>
      <c r="I307" s="170" t="n">
        <v>307.7405</v>
      </c>
      <c r="J307" s="59">
        <f>Tabela10[[#This Row],[ERP]]/Tabela10[[#This Row],[M² Da chapa]]</f>
        <v/>
      </c>
      <c r="K307" s="170">
        <f>Tabela10[[#This Row],[M² CHAPAS]]-Tabela10[[#This Row],[ERP]]</f>
        <v/>
      </c>
      <c r="L307" s="170">
        <f>Tabela10[[#This Row],[DIFERENÇA M²]]/Tabela10[[#This Row],[M² Da chapa]]</f>
        <v/>
      </c>
    </row>
    <row r="308" hidden="1">
      <c r="A308" s="6" t="inlineStr">
        <is>
          <t>-</t>
        </is>
      </c>
      <c r="B308" s="8" t="inlineStr">
        <is>
          <t>L2507002 | L2507003</t>
        </is>
      </c>
      <c r="C308" s="56">
        <f>VLOOKUP(LEFT(B308,1),Tabela5[],2,0)</f>
        <v/>
      </c>
      <c r="D308" s="57" t="inlineStr">
        <is>
          <t>MDF - 15MM</t>
        </is>
      </c>
      <c r="E308" s="170">
        <f>VLOOKUP(Tabela10[[#This Row],[Tipo de Chapa]],Tabela11[],2,FALSE)</f>
        <v/>
      </c>
      <c r="F308" s="169">
        <f>219+4</f>
        <v/>
      </c>
      <c r="G308" s="152" t="n">
        <v>0.06</v>
      </c>
      <c r="H308" s="170">
        <f>Tabela10[[#This Row],[M² Da chapa]]*Tabela10[[#This Row],[Qtde Chapas
Liberadas]]</f>
        <v/>
      </c>
      <c r="I308" s="170" t="n">
        <v>1268.2672</v>
      </c>
      <c r="J308" s="59">
        <f>Tabela10[[#This Row],[ERP]]/Tabela10[[#This Row],[M² Da chapa]]</f>
        <v/>
      </c>
      <c r="K308" s="170">
        <f>Tabela10[[#This Row],[M² CHAPAS]]-Tabela10[[#This Row],[ERP]]</f>
        <v/>
      </c>
      <c r="L308" s="170">
        <f>Tabela10[[#This Row],[DIFERENÇA M²]]/Tabela10[[#This Row],[M² Da chapa]]</f>
        <v/>
      </c>
    </row>
    <row r="309" hidden="1">
      <c r="A309" s="6" t="inlineStr">
        <is>
          <t>-</t>
        </is>
      </c>
      <c r="B309" s="8" t="inlineStr">
        <is>
          <t>L2507001</t>
        </is>
      </c>
      <c r="C309" s="56">
        <f>VLOOKUP(LEFT(B309,1),Tabela5[],2,0)</f>
        <v/>
      </c>
      <c r="D309" s="57" t="inlineStr">
        <is>
          <t>MDF - 15MM</t>
        </is>
      </c>
      <c r="E309" s="170">
        <f>VLOOKUP(Tabela10[[#This Row],[Tipo de Chapa]],Tabela11[],2,FALSE)</f>
        <v/>
      </c>
      <c r="F309" s="169">
        <f>114+24</f>
        <v/>
      </c>
      <c r="G309" s="152" t="n">
        <v>0.06</v>
      </c>
      <c r="H309" s="170">
        <f>Tabela10[[#This Row],[M² Da chapa]]*Tabela10[[#This Row],[Qtde Chapas
Liberadas]]</f>
        <v/>
      </c>
      <c r="I309" s="170" t="n">
        <v>819.4166</v>
      </c>
      <c r="J309" s="59">
        <f>Tabela10[[#This Row],[ERP]]/Tabela10[[#This Row],[M² Da chapa]]</f>
        <v/>
      </c>
      <c r="K309" s="170">
        <f>Tabela10[[#This Row],[M² CHAPAS]]-Tabela10[[#This Row],[ERP]]</f>
        <v/>
      </c>
      <c r="L309" s="170">
        <f>Tabela10[[#This Row],[DIFERENÇA M²]]/Tabela10[[#This Row],[M² Da chapa]]</f>
        <v/>
      </c>
    </row>
    <row r="310" hidden="1">
      <c r="A310" s="6" t="inlineStr">
        <is>
          <t>-</t>
        </is>
      </c>
      <c r="B310" s="8" t="inlineStr">
        <is>
          <t>L25070</t>
        </is>
      </c>
      <c r="C310" s="56">
        <f>VLOOKUP(LEFT(B310,1),Tabela5[],2,0)</f>
        <v/>
      </c>
      <c r="D310" s="57" t="inlineStr">
        <is>
          <t>EUCADUR NT - 2,5MM</t>
        </is>
      </c>
      <c r="E310" s="170">
        <f>VLOOKUP(Tabela10[[#This Row],[Tipo de Chapa]],Tabela11[],2,FALSE)</f>
        <v/>
      </c>
      <c r="F310" s="169">
        <f>313</f>
        <v/>
      </c>
      <c r="G310" s="152" t="n">
        <v>0.06850000000000001</v>
      </c>
      <c r="H310" s="170">
        <f>Tabela10[[#This Row],[M² Da chapa]]*Tabela10[[#This Row],[Qtde Chapas
Liberadas]]</f>
        <v/>
      </c>
      <c r="I310" s="170" t="n">
        <v>2049.7134</v>
      </c>
      <c r="J310" s="59">
        <f>Tabela10[[#This Row],[ERP]]/Tabela10[[#This Row],[M² Da chapa]]</f>
        <v/>
      </c>
      <c r="K310" s="170">
        <f>Tabela10[[#This Row],[M² CHAPAS]]-Tabela10[[#This Row],[ERP]]</f>
        <v/>
      </c>
      <c r="L310" s="170">
        <f>Tabela10[[#This Row],[DIFERENÇA M²]]/Tabela10[[#This Row],[M² Da chapa]]</f>
        <v/>
      </c>
    </row>
    <row r="311">
      <c r="A311" s="6" t="inlineStr">
        <is>
          <t>-</t>
        </is>
      </c>
      <c r="B311" s="8" t="inlineStr">
        <is>
          <t>N25092</t>
        </is>
      </c>
      <c r="C311" s="56">
        <f>VLOOKUP(LEFT(B311,1),Tabela5[],2,0)</f>
        <v/>
      </c>
      <c r="D311" s="57" t="inlineStr">
        <is>
          <t>MDF - 15MM</t>
        </is>
      </c>
      <c r="E311" s="170">
        <f>VLOOKUP(Tabela10[[#This Row],[Tipo de Chapa]],Tabela11[],2,FALSE)</f>
        <v/>
      </c>
      <c r="F311" s="169" t="n">
        <v>717</v>
      </c>
      <c r="G311" s="152" t="n">
        <v>0.0605</v>
      </c>
      <c r="H311" s="170">
        <f>Tabela10[[#This Row],[M² Da chapa]]*Tabela10[[#This Row],[Qtde Chapas
Liberadas]]</f>
        <v/>
      </c>
      <c r="I311" s="170" t="n">
        <v>4280.0216</v>
      </c>
      <c r="J311" s="59">
        <f>Tabela10[[#This Row],[ERP]]/Tabela10[[#This Row],[M² Da chapa]]</f>
        <v/>
      </c>
      <c r="K311" s="170">
        <f>Tabela10[[#This Row],[M² CHAPAS]]-Tabela10[[#This Row],[ERP]]</f>
        <v/>
      </c>
      <c r="L311" s="170">
        <f>Tabela10[[#This Row],[DIFERENÇA M²]]/Tabela10[[#This Row],[M² Da chapa]]</f>
        <v/>
      </c>
    </row>
    <row r="312">
      <c r="A312" s="6" t="inlineStr">
        <is>
          <t>-</t>
        </is>
      </c>
      <c r="B312" s="8" t="inlineStr">
        <is>
          <t>N25092</t>
        </is>
      </c>
      <c r="C312" s="56">
        <f>VLOOKUP(LEFT(B312,1),Tabela5[],2,0)</f>
        <v/>
      </c>
      <c r="D312" s="57" t="inlineStr">
        <is>
          <t>EUCADUR NT - 2,5MM</t>
        </is>
      </c>
      <c r="E312" s="170">
        <f>VLOOKUP(Tabela10[[#This Row],[Tipo de Chapa]],Tabela11[],2,FALSE)</f>
        <v/>
      </c>
      <c r="F312" s="169" t="n">
        <v>125</v>
      </c>
      <c r="G312" s="152" t="n">
        <v>0.065</v>
      </c>
      <c r="H312" s="170">
        <f>Tabela10[[#This Row],[M² Da chapa]]*Tabela10[[#This Row],[Qtde Chapas
Liberadas]]</f>
        <v/>
      </c>
      <c r="I312" s="170" t="n">
        <v>741.629</v>
      </c>
      <c r="J312" s="59">
        <f>Tabela10[[#This Row],[ERP]]/Tabela10[[#This Row],[M² Da chapa]]</f>
        <v/>
      </c>
      <c r="K312" s="170">
        <f>Tabela10[[#This Row],[M² CHAPAS]]-Tabela10[[#This Row],[ERP]]</f>
        <v/>
      </c>
      <c r="L312" s="170">
        <f>Tabela10[[#This Row],[DIFERENÇA M²]]/Tabela10[[#This Row],[M² Da chapa]]</f>
        <v/>
      </c>
    </row>
    <row r="313">
      <c r="A313" s="6" t="inlineStr">
        <is>
          <t>-</t>
        </is>
      </c>
      <c r="B313" s="8" t="inlineStr">
        <is>
          <t>N25092</t>
        </is>
      </c>
      <c r="C313" s="56">
        <f>VLOOKUP(LEFT(B313,1),Tabela5[],2,0)</f>
        <v/>
      </c>
      <c r="D313" s="57" t="inlineStr">
        <is>
          <t>EUCADUR BR - 2,5MM</t>
        </is>
      </c>
      <c r="E313" s="170">
        <f>VLOOKUP(Tabela10[[#This Row],[Tipo de Chapa]],Tabela11[],2,FALSE)</f>
        <v/>
      </c>
      <c r="F313" s="169" t="n">
        <v>20</v>
      </c>
      <c r="G313" s="152" t="n">
        <v>0.11</v>
      </c>
      <c r="H313" s="170">
        <f>Tabela10[[#This Row],[M² Da chapa]]*Tabela10[[#This Row],[Qtde Chapas
Liberadas]]</f>
        <v/>
      </c>
      <c r="I313" s="170" t="n">
        <v>394.1554</v>
      </c>
      <c r="J313" s="59">
        <f>Tabela10[[#This Row],[ERP]]/Tabela10[[#This Row],[M² Da chapa]]</f>
        <v/>
      </c>
      <c r="K313" s="170">
        <f>Tabela10[[#This Row],[M² CHAPAS]]-Tabela10[[#This Row],[ERP]]</f>
        <v/>
      </c>
      <c r="L313" s="170">
        <f>Tabela10[[#This Row],[DIFERENÇA M²]]/Tabela10[[#This Row],[M² Da chapa]]</f>
        <v/>
      </c>
    </row>
    <row r="314">
      <c r="A314" s="6" t="inlineStr">
        <is>
          <t>-</t>
        </is>
      </c>
      <c r="B314" s="8" t="inlineStr">
        <is>
          <t>N25092</t>
        </is>
      </c>
      <c r="C314" s="56">
        <f>VLOOKUP(LEFT(B314,1),Tabela5[],2,0)</f>
        <v/>
      </c>
      <c r="D314" s="57" t="inlineStr">
        <is>
          <t>EUCADUR BR - 2440X1220X2,5</t>
        </is>
      </c>
      <c r="E314" s="170">
        <f>VLOOKUP(Tabela10[[#This Row],[Tipo de Chapa]],Tabela11[],2,FALSE)</f>
        <v/>
      </c>
      <c r="F314" s="169" t="n">
        <v>96</v>
      </c>
      <c r="G314" s="152" t="n">
        <v>0.0618</v>
      </c>
      <c r="H314" s="170" t="inlineStr">
        <is>
          <t>-</t>
        </is>
      </c>
      <c r="I314" s="170" t="inlineStr">
        <is>
          <t>-</t>
        </is>
      </c>
      <c r="J314" s="59" t="inlineStr">
        <is>
          <t>-</t>
        </is>
      </c>
      <c r="K314" s="170" t="inlineStr">
        <is>
          <t>-</t>
        </is>
      </c>
      <c r="L314" s="170" t="inlineStr">
        <is>
          <t>-</t>
        </is>
      </c>
    </row>
    <row r="315">
      <c r="A315" s="6" t="inlineStr">
        <is>
          <t>-</t>
        </is>
      </c>
      <c r="B315" s="8" t="inlineStr">
        <is>
          <t>N25093</t>
        </is>
      </c>
      <c r="C315" s="56">
        <f>VLOOKUP(LEFT(B315,1),Tabela5[],2,0)</f>
        <v/>
      </c>
      <c r="D315" s="57" t="inlineStr">
        <is>
          <t>MDF - 15MM</t>
        </is>
      </c>
      <c r="E315" s="170">
        <f>VLOOKUP(Tabela10[[#This Row],[Tipo de Chapa]],Tabela11[],2,FALSE)</f>
        <v/>
      </c>
      <c r="F315" s="169">
        <f>1397+5+3+2+14</f>
        <v/>
      </c>
      <c r="G315" s="152" t="n">
        <v>0.0561</v>
      </c>
      <c r="H315" s="170">
        <f>Tabela10[[#This Row],[M² Da chapa]]*Tabela10[[#This Row],[Qtde Chapas
Liberadas]]</f>
        <v/>
      </c>
      <c r="I315" s="170" t="n">
        <v>8569.664000000001</v>
      </c>
      <c r="J315" s="59">
        <f>Tabela10[[#This Row],[ERP]]/Tabela10[[#This Row],[M² Da chapa]]</f>
        <v/>
      </c>
      <c r="K315" s="170">
        <f>Tabela10[[#This Row],[M² CHAPAS]]-Tabela10[[#This Row],[ERP]]</f>
        <v/>
      </c>
      <c r="L315" s="170">
        <f>Tabela10[[#This Row],[DIFERENÇA M²]]/Tabela10[[#This Row],[M² Da chapa]]</f>
        <v/>
      </c>
    </row>
    <row r="316">
      <c r="A316" s="6" t="inlineStr">
        <is>
          <t>-</t>
        </is>
      </c>
      <c r="B316" s="8" t="inlineStr">
        <is>
          <t>N25093</t>
        </is>
      </c>
      <c r="C316" s="56">
        <f>VLOOKUP(LEFT(B316,1),Tabela5[],2,0)</f>
        <v/>
      </c>
      <c r="D316" s="57" t="inlineStr">
        <is>
          <t>EUCADUR FRJ - 2,5MM</t>
        </is>
      </c>
      <c r="E316" s="170">
        <f>VLOOKUP(Tabela10[[#This Row],[Tipo de Chapa]],Tabela11[],2,FALSE)</f>
        <v/>
      </c>
      <c r="F316" s="169" t="n">
        <v>240</v>
      </c>
      <c r="G316" s="152" t="n">
        <v>0.06900000000000001</v>
      </c>
      <c r="H316" s="170">
        <f>Tabela10[[#This Row],[M² Da chapa]]*Tabela10[[#This Row],[Qtde Chapas
Liberadas]]</f>
        <v/>
      </c>
      <c r="I316" s="170" t="n">
        <v>1271.5177</v>
      </c>
      <c r="J316" s="59">
        <f>Tabela10[[#This Row],[ERP]]/Tabela10[[#This Row],[M² Da chapa]]</f>
        <v/>
      </c>
      <c r="K316" s="170">
        <f>Tabela10[[#This Row],[M² CHAPAS]]-Tabela10[[#This Row],[ERP]]</f>
        <v/>
      </c>
      <c r="L316" s="170">
        <f>Tabela10[[#This Row],[DIFERENÇA M²]]/Tabela10[[#This Row],[M² Da chapa]]</f>
        <v/>
      </c>
    </row>
    <row r="317">
      <c r="A317" s="6" t="inlineStr">
        <is>
          <t>-</t>
        </is>
      </c>
      <c r="B317" s="8" t="inlineStr">
        <is>
          <t>N25093</t>
        </is>
      </c>
      <c r="C317" s="56">
        <f>VLOOKUP(LEFT(B317,1),Tabela5[],2,0)</f>
        <v/>
      </c>
      <c r="D317" s="57" t="inlineStr">
        <is>
          <t>EUCADUR NT - 2,5MM</t>
        </is>
      </c>
      <c r="E317" s="170">
        <f>VLOOKUP(Tabela10[[#This Row],[Tipo de Chapa]],Tabela11[],2,FALSE)</f>
        <v/>
      </c>
      <c r="F317" s="169" t="n">
        <v>238</v>
      </c>
      <c r="G317" s="152" t="n">
        <v>0.0673</v>
      </c>
      <c r="H317" s="170">
        <f>Tabela10[[#This Row],[M² Da chapa]]*Tabela10[[#This Row],[Qtde Chapas
Liberadas]]</f>
        <v/>
      </c>
      <c r="I317" s="170" t="n">
        <v>1771.3034</v>
      </c>
      <c r="J317" s="59">
        <f>Tabela10[[#This Row],[ERP]]/Tabela10[[#This Row],[M² Da chapa]]</f>
        <v/>
      </c>
      <c r="K317" s="170">
        <f>Tabela10[[#This Row],[M² CHAPAS]]-Tabela10[[#This Row],[ERP]]</f>
        <v/>
      </c>
      <c r="L317" s="170">
        <f>Tabela10[[#This Row],[DIFERENÇA M²]]/Tabela10[[#This Row],[M² Da chapa]]</f>
        <v/>
      </c>
    </row>
    <row r="318" hidden="1">
      <c r="A318" s="6" t="inlineStr">
        <is>
          <t>-</t>
        </is>
      </c>
      <c r="B318" s="8" t="inlineStr">
        <is>
          <t>I25048</t>
        </is>
      </c>
      <c r="C318" s="56">
        <f>VLOOKUP(LEFT(B318,1),Tabela5[],2,0)</f>
        <v/>
      </c>
      <c r="D318" s="57" t="inlineStr">
        <is>
          <t>MDF - 9MM</t>
        </is>
      </c>
      <c r="E318" s="170">
        <f>VLOOKUP(Tabela10[[#This Row],[Tipo de Chapa]],Tabela11[],2,FALSE)</f>
        <v/>
      </c>
      <c r="F318" s="169" t="n">
        <v>115</v>
      </c>
      <c r="G318" s="152" t="n">
        <v>0.0555</v>
      </c>
      <c r="H318" s="170">
        <f>Tabela10[[#This Row],[M² Da chapa]]*Tabela10[[#This Row],[Qtde Chapas
Liberadas]]</f>
        <v/>
      </c>
      <c r="I318" s="59" t="n">
        <v>563.8792</v>
      </c>
      <c r="J318" s="59">
        <f>Tabela10[[#This Row],[ERP]]/Tabela10[[#This Row],[M² Da chapa]]</f>
        <v/>
      </c>
      <c r="K318" s="170">
        <f>Tabela10[[#This Row],[M² CHAPAS]]-Tabela10[[#This Row],[ERP]]</f>
        <v/>
      </c>
      <c r="L318" s="170">
        <f>Tabela10[[#This Row],[DIFERENÇA M²]]/Tabela10[[#This Row],[M² Da chapa]]</f>
        <v/>
      </c>
    </row>
    <row r="319" hidden="1">
      <c r="A319" s="6" t="inlineStr">
        <is>
          <t>-</t>
        </is>
      </c>
      <c r="B319" s="8" t="inlineStr">
        <is>
          <t>I25048</t>
        </is>
      </c>
      <c r="C319" s="56">
        <f>VLOOKUP(LEFT(B319,1),Tabela5[],2,0)</f>
        <v/>
      </c>
      <c r="D319" s="57" t="inlineStr">
        <is>
          <t>MDF - 15MM</t>
        </is>
      </c>
      <c r="E319" s="170">
        <f>VLOOKUP(Tabela10[[#This Row],[Tipo de Chapa]],Tabela11[],2,FALSE)</f>
        <v/>
      </c>
      <c r="F319" s="169" t="n">
        <v>542</v>
      </c>
      <c r="G319" s="152" t="n">
        <v>0.0633</v>
      </c>
      <c r="H319" s="170">
        <f>Tabela10[[#This Row],[M² Da chapa]]*Tabela10[[#This Row],[Qtde Chapas
Liberadas]]</f>
        <v/>
      </c>
      <c r="I319" s="59" t="n">
        <v>3568.9612</v>
      </c>
      <c r="J319" s="59">
        <f>Tabela10[[#This Row],[ERP]]/Tabela10[[#This Row],[M² Da chapa]]</f>
        <v/>
      </c>
      <c r="K319" s="170">
        <f>Tabela10[[#This Row],[M² CHAPAS]]-Tabela10[[#This Row],[ERP]]</f>
        <v/>
      </c>
      <c r="L319" s="170">
        <f>Tabela10[[#This Row],[DIFERENÇA M²]]/Tabela10[[#This Row],[M² Da chapa]]</f>
        <v/>
      </c>
    </row>
    <row r="320" hidden="1">
      <c r="A320" s="6" t="inlineStr">
        <is>
          <t>-</t>
        </is>
      </c>
      <c r="B320" s="8" t="inlineStr">
        <is>
          <t>M25048</t>
        </is>
      </c>
      <c r="C320" s="56">
        <f>VLOOKUP(LEFT(B320,1),Tabela5[],2,0)</f>
        <v/>
      </c>
      <c r="D320" s="57" t="inlineStr">
        <is>
          <t>MDF - 9MM</t>
        </is>
      </c>
      <c r="E320" s="170">
        <f>VLOOKUP(Tabela10[[#This Row],[Tipo de Chapa]],Tabela11[],2,FALSE)</f>
        <v/>
      </c>
      <c r="F320" s="169" t="n">
        <v>160</v>
      </c>
      <c r="G320" s="152" t="n">
        <v>0.0449</v>
      </c>
      <c r="H320" s="170">
        <f>Tabela10[[#This Row],[M² Da chapa]]*Tabela10[[#This Row],[Qtde Chapas
Liberadas]]</f>
        <v/>
      </c>
      <c r="I320" s="59" t="n">
        <v>816.0796</v>
      </c>
      <c r="J320" s="59">
        <f>Tabela10[[#This Row],[ERP]]/Tabela10[[#This Row],[M² Da chapa]]</f>
        <v/>
      </c>
      <c r="K320" s="170">
        <f>Tabela10[[#This Row],[M² CHAPAS]]-Tabela10[[#This Row],[ERP]]</f>
        <v/>
      </c>
      <c r="L320" s="170">
        <f>Tabela10[[#This Row],[DIFERENÇA M²]]/Tabela10[[#This Row],[M² Da chapa]]</f>
        <v/>
      </c>
    </row>
    <row r="321" hidden="1">
      <c r="A321" s="6" t="inlineStr">
        <is>
          <t>-</t>
        </is>
      </c>
      <c r="B321" s="8" t="inlineStr">
        <is>
          <t>M25048</t>
        </is>
      </c>
      <c r="C321" s="56">
        <f>VLOOKUP(LEFT(B321,1),Tabela5[],2,0)</f>
        <v/>
      </c>
      <c r="D321" s="57" t="inlineStr">
        <is>
          <t>EUCADUR NT - 2,5MM</t>
        </is>
      </c>
      <c r="E321" s="170">
        <f>VLOOKUP(Tabela10[[#This Row],[Tipo de Chapa]],Tabela11[],2,FALSE)</f>
        <v/>
      </c>
      <c r="F321" s="169" t="n">
        <v>316</v>
      </c>
      <c r="G321" s="152" t="n">
        <v>0.0536</v>
      </c>
      <c r="H321" s="170">
        <f>Tabela10[[#This Row],[M² Da chapa]]*Tabela10[[#This Row],[Qtde Chapas
Liberadas]]</f>
        <v/>
      </c>
      <c r="I321" s="59" t="n">
        <v>1565.3472</v>
      </c>
      <c r="J321" s="59">
        <f>Tabela10[[#This Row],[ERP]]/Tabela10[[#This Row],[M² Da chapa]]</f>
        <v/>
      </c>
      <c r="K321" s="170">
        <f>Tabela10[[#This Row],[M² CHAPAS]]-Tabela10[[#This Row],[ERP]]</f>
        <v/>
      </c>
      <c r="L321" s="170">
        <f>Tabela10[[#This Row],[DIFERENÇA M²]]/Tabela10[[#This Row],[M² Da chapa]]</f>
        <v/>
      </c>
    </row>
    <row r="322" hidden="1">
      <c r="A322" s="6" t="inlineStr">
        <is>
          <t>-</t>
        </is>
      </c>
      <c r="B322" s="8" t="inlineStr">
        <is>
          <t>M25048</t>
        </is>
      </c>
      <c r="C322" s="56">
        <f>VLOOKUP(LEFT(B322,1),Tabela5[],2,0)</f>
        <v/>
      </c>
      <c r="D322" s="57" t="inlineStr">
        <is>
          <t>MDF - 15MM</t>
        </is>
      </c>
      <c r="E322" s="170">
        <f>VLOOKUP(Tabela10[[#This Row],[Tipo de Chapa]],Tabela11[],2,FALSE)</f>
        <v/>
      </c>
      <c r="F322" s="169" t="n">
        <v>715</v>
      </c>
      <c r="G322" s="152" t="n">
        <v>0.0653</v>
      </c>
      <c r="H322" s="170">
        <f>Tabela10[[#This Row],[M² Da chapa]]*Tabela10[[#This Row],[Qtde Chapas
Liberadas]]</f>
        <v/>
      </c>
      <c r="I322" s="59" t="n">
        <v>4148.7745</v>
      </c>
      <c r="J322" s="59">
        <f>Tabela10[[#This Row],[ERP]]/Tabela10[[#This Row],[M² Da chapa]]</f>
        <v/>
      </c>
      <c r="K322" s="170">
        <f>Tabela10[[#This Row],[M² CHAPAS]]-Tabela10[[#This Row],[ERP]]</f>
        <v/>
      </c>
      <c r="L322" s="170">
        <f>Tabela10[[#This Row],[DIFERENÇA M²]]/Tabela10[[#This Row],[M² Da chapa]]</f>
        <v/>
      </c>
    </row>
    <row r="323" hidden="1">
      <c r="A323" s="6" t="inlineStr">
        <is>
          <t>-</t>
        </is>
      </c>
      <c r="B323" s="8" t="inlineStr">
        <is>
          <t>M25049</t>
        </is>
      </c>
      <c r="C323" s="56">
        <f>VLOOKUP(LEFT(B323,1),Tabela5[],2,0)</f>
        <v/>
      </c>
      <c r="D323" s="57" t="inlineStr">
        <is>
          <t>EUCADUR BR - 2,5MM</t>
        </is>
      </c>
      <c r="E323" s="170">
        <f>VLOOKUP(Tabela10[[#This Row],[Tipo de Chapa]],Tabela11[],2,FALSE)</f>
        <v/>
      </c>
      <c r="F323" s="169" t="n">
        <v>137</v>
      </c>
      <c r="G323" s="152" t="n">
        <v>0.0528</v>
      </c>
      <c r="H323" s="170">
        <f>Tabela10[[#This Row],[M² Da chapa]]*Tabela10[[#This Row],[Qtde Chapas
Liberadas]]</f>
        <v/>
      </c>
      <c r="I323" s="170" t="n">
        <v>787.8588</v>
      </c>
      <c r="J323" s="59">
        <f>Tabela10[[#This Row],[ERP]]/Tabela10[[#This Row],[M² Da chapa]]</f>
        <v/>
      </c>
      <c r="K323" s="170">
        <f>Tabela10[[#This Row],[M² CHAPAS]]-Tabela10[[#This Row],[ERP]]</f>
        <v/>
      </c>
      <c r="L323" s="170">
        <f>Tabela10[[#This Row],[DIFERENÇA M²]]/Tabela10[[#This Row],[M² Da chapa]]</f>
        <v/>
      </c>
    </row>
    <row r="324" hidden="1">
      <c r="A324" s="6" t="inlineStr">
        <is>
          <t>-</t>
        </is>
      </c>
      <c r="B324" s="8" t="inlineStr">
        <is>
          <t>M25049</t>
        </is>
      </c>
      <c r="C324" s="56">
        <f>VLOOKUP(LEFT(B324,1),Tabela5[],2,0)</f>
        <v/>
      </c>
      <c r="D324" s="57" t="inlineStr">
        <is>
          <t>EUCADUR FRJ - 2,5MM</t>
        </is>
      </c>
      <c r="E324" s="170">
        <f>VLOOKUP(Tabela10[[#This Row],[Tipo de Chapa]],Tabela11[],2,FALSE)</f>
        <v/>
      </c>
      <c r="F324" s="169" t="n">
        <v>70</v>
      </c>
      <c r="G324" s="152" t="n">
        <v>0.0383</v>
      </c>
      <c r="H324" s="170">
        <f>Tabela10[[#This Row],[M² Da chapa]]*Tabela10[[#This Row],[Qtde Chapas
Liberadas]]</f>
        <v/>
      </c>
      <c r="I324" s="170" t="n">
        <v>326.5048</v>
      </c>
      <c r="J324" s="59">
        <f>Tabela10[[#This Row],[ERP]]/Tabela10[[#This Row],[M² Da chapa]]</f>
        <v/>
      </c>
      <c r="K324" s="170">
        <f>Tabela10[[#This Row],[M² CHAPAS]]-Tabela10[[#This Row],[ERP]]</f>
        <v/>
      </c>
      <c r="L324" s="170">
        <f>Tabela10[[#This Row],[DIFERENÇA M²]]/Tabela10[[#This Row],[M² Da chapa]]</f>
        <v/>
      </c>
    </row>
    <row r="325" hidden="1">
      <c r="A325" s="6" t="inlineStr">
        <is>
          <t>-</t>
        </is>
      </c>
      <c r="B325" s="8" t="inlineStr">
        <is>
          <t>M25049</t>
        </is>
      </c>
      <c r="C325" s="56">
        <f>VLOOKUP(LEFT(B325,1),Tabela5[],2,0)</f>
        <v/>
      </c>
      <c r="D325" s="57" t="inlineStr">
        <is>
          <t>EUCADUR NT - 2,5MM</t>
        </is>
      </c>
      <c r="E325" s="170">
        <f>VLOOKUP(Tabela10[[#This Row],[Tipo de Chapa]],Tabela11[],2,FALSE)</f>
        <v/>
      </c>
      <c r="F325" s="169" t="n">
        <v>128</v>
      </c>
      <c r="G325" s="152" t="n">
        <v>0.054</v>
      </c>
      <c r="H325" s="170">
        <f>Tabela10[[#This Row],[M² Da chapa]]*Tabela10[[#This Row],[Qtde Chapas
Liberadas]]</f>
        <v/>
      </c>
      <c r="I325" s="59" t="n">
        <v>1053.5766</v>
      </c>
      <c r="J325" s="59">
        <f>Tabela10[[#This Row],[ERP]]/Tabela10[[#This Row],[M² Da chapa]]</f>
        <v/>
      </c>
      <c r="K325" s="170">
        <f>Tabela10[[#This Row],[M² CHAPAS]]-Tabela10[[#This Row],[ERP]]</f>
        <v/>
      </c>
      <c r="L325" s="170">
        <f>Tabela10[[#This Row],[DIFERENÇA M²]]/Tabela10[[#This Row],[M² Da chapa]]</f>
        <v/>
      </c>
    </row>
    <row r="326" hidden="1">
      <c r="A326" s="6" t="inlineStr">
        <is>
          <t>-</t>
        </is>
      </c>
      <c r="B326" s="8" t="inlineStr">
        <is>
          <t>M25049</t>
        </is>
      </c>
      <c r="C326" s="56">
        <f>VLOOKUP(LEFT(B326,1),Tabela5[],2,0)</f>
        <v/>
      </c>
      <c r="D326" s="57" t="inlineStr">
        <is>
          <t>MDF - 15MM</t>
        </is>
      </c>
      <c r="E326" s="170">
        <f>VLOOKUP(Tabela10[[#This Row],[Tipo de Chapa]],Tabela11[],2,FALSE)</f>
        <v/>
      </c>
      <c r="F326" s="169" t="n">
        <v>1119</v>
      </c>
      <c r="G326" s="152" t="n">
        <v>0.0687</v>
      </c>
      <c r="H326" s="170">
        <f>Tabela10[[#This Row],[M² Da chapa]]*Tabela10[[#This Row],[Qtde Chapas
Liberadas]]</f>
        <v/>
      </c>
      <c r="I326" s="59" t="n">
        <v>7101.5649</v>
      </c>
      <c r="J326" s="59">
        <f>Tabela10[[#This Row],[ERP]]/Tabela10[[#This Row],[M² Da chapa]]</f>
        <v/>
      </c>
      <c r="K326" s="170">
        <f>Tabela10[[#This Row],[M² CHAPAS]]-Tabela10[[#This Row],[ERP]]</f>
        <v/>
      </c>
      <c r="L326" s="170">
        <f>Tabela10[[#This Row],[DIFERENÇA M²]]/Tabela10[[#This Row],[M² Da chapa]]</f>
        <v/>
      </c>
    </row>
    <row r="327" hidden="1">
      <c r="A327" s="6" t="inlineStr">
        <is>
          <t>-</t>
        </is>
      </c>
      <c r="B327" s="8" t="inlineStr">
        <is>
          <t>V2519301 ao V2520301</t>
        </is>
      </c>
      <c r="C327" s="56">
        <f>VLOOKUP(LEFT(B327,1),Tabela5[],2,0)</f>
        <v/>
      </c>
      <c r="D327" s="57" t="inlineStr">
        <is>
          <t>MDF - 25MM 2750x2200</t>
        </is>
      </c>
      <c r="E327" s="170">
        <f>VLOOKUP(Tabela10[[#This Row],[Tipo de Chapa]],Tabela11[],2,FALSE)</f>
        <v/>
      </c>
      <c r="F327" s="169" t="n">
        <v>107</v>
      </c>
      <c r="G327" s="152" t="n">
        <v>0.1248</v>
      </c>
      <c r="H327" s="170">
        <f>Tabela10[[#This Row],[M² Da chapa]]*Tabela10[[#This Row],[Qtde Chapas
Liberadas]]</f>
        <v/>
      </c>
      <c r="I327" s="170" t="inlineStr">
        <is>
          <t>-</t>
        </is>
      </c>
      <c r="J327" s="59" t="inlineStr">
        <is>
          <t>-</t>
        </is>
      </c>
      <c r="K327" s="170" t="inlineStr">
        <is>
          <t>-</t>
        </is>
      </c>
      <c r="L327" s="170" t="inlineStr">
        <is>
          <t>-</t>
        </is>
      </c>
    </row>
    <row r="328" hidden="1">
      <c r="A328" s="6" t="inlineStr">
        <is>
          <t>-</t>
        </is>
      </c>
      <c r="B328" s="8" t="inlineStr">
        <is>
          <t>L25070 (600x790)</t>
        </is>
      </c>
      <c r="C328" s="56">
        <f>VLOOKUP(LEFT(B328,1),Tabela5[],2,0)</f>
        <v/>
      </c>
      <c r="D328" s="57" t="inlineStr">
        <is>
          <t>SOBRAS NT "CRÉDITO"</t>
        </is>
      </c>
      <c r="E328" s="170">
        <f>VLOOKUP(Tabela10[[#This Row],[Tipo de Chapa]],Tabela11[],2,FALSE)</f>
        <v/>
      </c>
      <c r="F328" s="169" t="inlineStr">
        <is>
          <t>-</t>
        </is>
      </c>
      <c r="G328" s="152" t="inlineStr">
        <is>
          <t>-</t>
        </is>
      </c>
      <c r="H328" s="70">
        <f>(0.6*0.79)*120</f>
        <v/>
      </c>
      <c r="I328" s="170" t="inlineStr">
        <is>
          <t>-</t>
        </is>
      </c>
      <c r="J328" s="170" t="inlineStr">
        <is>
          <t>-</t>
        </is>
      </c>
      <c r="K328" s="170" t="inlineStr">
        <is>
          <t>-</t>
        </is>
      </c>
      <c r="L328" s="170" t="inlineStr">
        <is>
          <t>-</t>
        </is>
      </c>
    </row>
    <row r="329" hidden="1">
      <c r="A329" s="6" t="inlineStr">
        <is>
          <t>-</t>
        </is>
      </c>
      <c r="B329" s="8" t="inlineStr">
        <is>
          <t>L2507101 | L2507102 | L2507103</t>
        </is>
      </c>
      <c r="C329" s="56">
        <f>VLOOKUP(LEFT(B329,1),Tabela5[],2,0)</f>
        <v/>
      </c>
      <c r="D329" s="57" t="inlineStr">
        <is>
          <t>MDF - 15MM</t>
        </is>
      </c>
      <c r="E329" s="170">
        <f>VLOOKUP(Tabela10[[#This Row],[Tipo de Chapa]],Tabela11[],2,FALSE)</f>
        <v/>
      </c>
      <c r="F329" s="169">
        <f>355+4</f>
        <v/>
      </c>
      <c r="G329" s="152" t="n">
        <v>0.065</v>
      </c>
      <c r="H329" s="170">
        <f>Tabela10[[#This Row],[M² Da chapa]]*Tabela10[[#This Row],[Qtde Chapas
Liberadas]]</f>
        <v/>
      </c>
      <c r="I329" s="170" t="n">
        <v>2177.5091</v>
      </c>
      <c r="J329" s="59">
        <f>Tabela10[[#This Row],[ERP]]/Tabela10[[#This Row],[M² Da chapa]]</f>
        <v/>
      </c>
      <c r="K329" s="170">
        <f>Tabela10[[#This Row],[M² CHAPAS]]-Tabela10[[#This Row],[ERP]]</f>
        <v/>
      </c>
      <c r="L329" s="170">
        <f>Tabela10[[#This Row],[DIFERENÇA M²]]/Tabela10[[#This Row],[M² Da chapa]]</f>
        <v/>
      </c>
    </row>
    <row r="330" hidden="1">
      <c r="A330" s="6" t="inlineStr">
        <is>
          <t>-</t>
        </is>
      </c>
      <c r="B330" s="8" t="inlineStr">
        <is>
          <t>L2507101 (526x90)</t>
        </is>
      </c>
      <c r="C330" s="56">
        <f>VLOOKUP(LEFT(B330,1),Tabela5[],2,0)</f>
        <v/>
      </c>
      <c r="D330" s="57" t="inlineStr">
        <is>
          <t>SOBRAS MDF "CRÉDITO"</t>
        </is>
      </c>
      <c r="E330" s="170">
        <f>VLOOKUP(Tabela10[[#This Row],[Tipo de Chapa]],Tabela11[],2,FALSE)</f>
        <v/>
      </c>
      <c r="F330" s="169" t="inlineStr">
        <is>
          <t>-</t>
        </is>
      </c>
      <c r="G330" s="169" t="inlineStr">
        <is>
          <t>-</t>
        </is>
      </c>
      <c r="H330" s="70" t="n">
        <v>15.15</v>
      </c>
      <c r="I330" s="170" t="inlineStr">
        <is>
          <t>-</t>
        </is>
      </c>
      <c r="J330" s="170" t="inlineStr">
        <is>
          <t>-</t>
        </is>
      </c>
      <c r="K330" s="170" t="inlineStr">
        <is>
          <t>-</t>
        </is>
      </c>
      <c r="L330" s="170" t="inlineStr">
        <is>
          <t>-</t>
        </is>
      </c>
    </row>
    <row r="331" hidden="1">
      <c r="A331" s="6" t="inlineStr">
        <is>
          <t>-</t>
        </is>
      </c>
      <c r="B331" s="8" t="inlineStr">
        <is>
          <t>L2507104</t>
        </is>
      </c>
      <c r="C331" s="56">
        <f>VLOOKUP(LEFT(B331,1),Tabela5[],2,0)</f>
        <v/>
      </c>
      <c r="D331" s="57" t="inlineStr">
        <is>
          <t>MDF - 15MM</t>
        </is>
      </c>
      <c r="E331" s="170">
        <f>VLOOKUP(Tabela10[[#This Row],[Tipo de Chapa]],Tabela11[],2,FALSE)</f>
        <v/>
      </c>
      <c r="F331" s="169" t="n">
        <v>163</v>
      </c>
      <c r="G331" s="152" t="n">
        <v>0.06</v>
      </c>
      <c r="H331" s="170">
        <f>Tabela10[[#This Row],[M² Da chapa]]*Tabela10[[#This Row],[Qtde Chapas
Liberadas]]</f>
        <v/>
      </c>
      <c r="I331" s="170" t="n">
        <v>1059.2626</v>
      </c>
      <c r="J331" s="59">
        <f>Tabela10[[#This Row],[ERP]]/Tabela10[[#This Row],[M² Da chapa]]</f>
        <v/>
      </c>
      <c r="K331" s="170">
        <f>Tabela10[[#This Row],[M² CHAPAS]]-Tabela10[[#This Row],[ERP]]</f>
        <v/>
      </c>
      <c r="L331" s="170">
        <f>Tabela10[[#This Row],[DIFERENÇA M²]]/Tabela10[[#This Row],[M² Da chapa]]</f>
        <v/>
      </c>
    </row>
    <row r="332" hidden="1">
      <c r="A332" s="6" t="inlineStr">
        <is>
          <t>-</t>
        </is>
      </c>
      <c r="B332" s="8" t="inlineStr">
        <is>
          <t>L2507104 (526x90)</t>
        </is>
      </c>
      <c r="C332" s="56">
        <f>VLOOKUP(LEFT(B332,1),Tabela5[],2,0)</f>
        <v/>
      </c>
      <c r="D332" s="57" t="inlineStr">
        <is>
          <t>SOBRAS MDF "CRÉDITO"</t>
        </is>
      </c>
      <c r="E332" s="170">
        <f>VLOOKUP(Tabela10[[#This Row],[Tipo de Chapa]],Tabela11[],2,FALSE)</f>
        <v/>
      </c>
      <c r="F332" s="169" t="inlineStr">
        <is>
          <t>-</t>
        </is>
      </c>
      <c r="G332" s="152" t="inlineStr">
        <is>
          <t>-</t>
        </is>
      </c>
      <c r="H332" s="70" t="n">
        <v>26.04</v>
      </c>
      <c r="I332" s="170" t="inlineStr">
        <is>
          <t>-</t>
        </is>
      </c>
      <c r="J332" s="170" t="inlineStr">
        <is>
          <t>-</t>
        </is>
      </c>
      <c r="K332" s="170" t="inlineStr">
        <is>
          <t>-</t>
        </is>
      </c>
      <c r="L332" s="170" t="inlineStr">
        <is>
          <t>-</t>
        </is>
      </c>
    </row>
    <row r="333" hidden="1">
      <c r="A333" s="6" t="inlineStr">
        <is>
          <t>-</t>
        </is>
      </c>
      <c r="B333" s="8" t="inlineStr">
        <is>
          <t>L2507202</t>
        </is>
      </c>
      <c r="C333" s="56">
        <f>VLOOKUP(LEFT(B333,1),Tabela5[],2,0)</f>
        <v/>
      </c>
      <c r="D333" s="57" t="inlineStr">
        <is>
          <t>MDF - 15MM</t>
        </is>
      </c>
      <c r="E333" s="170">
        <f>VLOOKUP(Tabela10[[#This Row],[Tipo de Chapa]],Tabela11[],2,FALSE)</f>
        <v/>
      </c>
      <c r="F333" s="169" t="n">
        <v>162</v>
      </c>
      <c r="G333" s="152" t="n">
        <v>0.062</v>
      </c>
      <c r="H333" s="170">
        <f>Tabela10[[#This Row],[M² Da chapa]]*Tabela10[[#This Row],[Qtde Chapas
Liberadas]]</f>
        <v/>
      </c>
      <c r="I333" s="170" t="n">
        <v>962.1254</v>
      </c>
      <c r="J333" s="59">
        <f>Tabela10[[#This Row],[ERP]]/Tabela10[[#This Row],[M² Da chapa]]</f>
        <v/>
      </c>
      <c r="K333" s="170">
        <f>Tabela10[[#This Row],[M² CHAPAS]]-Tabela10[[#This Row],[ERP]]</f>
        <v/>
      </c>
      <c r="L333" s="170">
        <f>Tabela10[[#This Row],[DIFERENÇA M²]]/Tabela10[[#This Row],[M² Da chapa]]</f>
        <v/>
      </c>
    </row>
    <row r="334" ht="28.8" customHeight="1">
      <c r="A334" s="6" t="inlineStr">
        <is>
          <t>-</t>
        </is>
      </c>
      <c r="B334" s="8" t="inlineStr">
        <is>
          <t>N25093 (REQUISIÇÃO POR FALTA DE SOBRA 1195X382 - 91PÇS)</t>
        </is>
      </c>
      <c r="C334" s="56">
        <f>VLOOKUP(LEFT(B334,1),Tabela5[],2,0)</f>
        <v/>
      </c>
      <c r="D334" s="57" t="inlineStr">
        <is>
          <t>EUCADUR NT - 2,5MM</t>
        </is>
      </c>
      <c r="E334" s="170">
        <f>VLOOKUP(Tabela10[[#This Row],[Tipo de Chapa]],Tabela11[],2,FALSE)</f>
        <v/>
      </c>
      <c r="F334" s="169" t="n">
        <v>5</v>
      </c>
      <c r="G334" s="152" t="inlineStr">
        <is>
          <t>-</t>
        </is>
      </c>
      <c r="H334" s="170">
        <f>Tabela10[[#This Row],[M² Da chapa]]*Tabela10[[#This Row],[Qtde Chapas
Liberadas]]</f>
        <v/>
      </c>
      <c r="I334" s="170" t="inlineStr">
        <is>
          <t>-</t>
        </is>
      </c>
      <c r="J334" s="170" t="inlineStr">
        <is>
          <t>-</t>
        </is>
      </c>
      <c r="K334" s="170" t="inlineStr">
        <is>
          <t>-</t>
        </is>
      </c>
      <c r="L334" s="170" t="inlineStr">
        <is>
          <t>-</t>
        </is>
      </c>
    </row>
    <row r="335">
      <c r="A335" s="6" t="inlineStr">
        <is>
          <t>-</t>
        </is>
      </c>
      <c r="B335" s="8" t="inlineStr">
        <is>
          <t>N25094</t>
        </is>
      </c>
      <c r="C335" s="56">
        <f>VLOOKUP(LEFT(B335,1),Tabela5[],2,0)</f>
        <v/>
      </c>
      <c r="D335" s="57" t="inlineStr">
        <is>
          <t>MDF - 15MM</t>
        </is>
      </c>
      <c r="E335" s="170">
        <f>VLOOKUP(Tabela10[[#This Row],[Tipo de Chapa]],Tabela11[],2,FALSE)</f>
        <v/>
      </c>
      <c r="F335" s="169">
        <f>1401+4</f>
        <v/>
      </c>
      <c r="G335" s="152" t="n">
        <v>0.065</v>
      </c>
      <c r="H335" s="170">
        <f>Tabela10[[#This Row],[M² Da chapa]]*Tabela10[[#This Row],[Qtde Chapas
Liberadas]]</f>
        <v/>
      </c>
      <c r="I335" s="170" t="n">
        <v>8484.8622</v>
      </c>
      <c r="J335" s="59">
        <f>Tabela10[[#This Row],[ERP]]/Tabela10[[#This Row],[M² Da chapa]]</f>
        <v/>
      </c>
      <c r="K335" s="170">
        <f>Tabela10[[#This Row],[M² CHAPAS]]-Tabela10[[#This Row],[ERP]]</f>
        <v/>
      </c>
      <c r="L335" s="170">
        <f>Tabela10[[#This Row],[DIFERENÇA M²]]/Tabela10[[#This Row],[M² Da chapa]]</f>
        <v/>
      </c>
    </row>
    <row r="336">
      <c r="A336" s="6" t="inlineStr">
        <is>
          <t>-</t>
        </is>
      </c>
      <c r="B336" s="8" t="inlineStr">
        <is>
          <t>N2509401-02-04-05</t>
        </is>
      </c>
      <c r="C336" s="56">
        <f>VLOOKUP(LEFT(B336,1),Tabela5[],2,0)</f>
        <v/>
      </c>
      <c r="D336" s="57" t="inlineStr">
        <is>
          <t>EUCADUR NT - 2,5MM</t>
        </is>
      </c>
      <c r="E336" s="170">
        <f>VLOOKUP(Tabela10[[#This Row],[Tipo de Chapa]],Tabela11[],2,FALSE)</f>
        <v/>
      </c>
      <c r="F336" s="169" t="n">
        <v>454</v>
      </c>
      <c r="G336" s="152" t="n">
        <v>0.0615</v>
      </c>
      <c r="H336" s="170">
        <f>Tabela10[[#This Row],[M² Da chapa]]*Tabela10[[#This Row],[Qtde Chapas
Liberadas]]</f>
        <v/>
      </c>
      <c r="I336" s="170" t="n">
        <v>1609.0694</v>
      </c>
      <c r="J336" s="59">
        <f>Tabela10[[#This Row],[ERP]]/Tabela10[[#This Row],[M² Da chapa]]</f>
        <v/>
      </c>
      <c r="K336" s="170">
        <f>Tabela10[[#This Row],[M² CHAPAS]]-Tabela10[[#This Row],[ERP]]</f>
        <v/>
      </c>
      <c r="L336" s="170">
        <f>Tabela10[[#This Row],[DIFERENÇA M²]]/Tabela10[[#This Row],[M² Da chapa]]</f>
        <v/>
      </c>
    </row>
    <row r="337">
      <c r="A337" s="6" t="inlineStr">
        <is>
          <t>-</t>
        </is>
      </c>
      <c r="B337" s="8" t="inlineStr">
        <is>
          <t>N2509401-02-04-05</t>
        </is>
      </c>
      <c r="C337" s="56">
        <f>VLOOKUP(LEFT(B337,1),Tabela5[],2,0)</f>
        <v/>
      </c>
      <c r="D337" s="57" t="inlineStr">
        <is>
          <t>SOBRAS DE TERCEIROS NT</t>
        </is>
      </c>
      <c r="E337" s="170">
        <f>VLOOKUP(Tabela10[[#This Row],[Tipo de Chapa]],Tabela11[],2,FALSE)</f>
        <v/>
      </c>
      <c r="F337" s="169" t="inlineStr">
        <is>
          <t>-</t>
        </is>
      </c>
      <c r="G337" s="152" t="inlineStr">
        <is>
          <t>-</t>
        </is>
      </c>
      <c r="H337" s="170" t="n">
        <v>31.91562</v>
      </c>
      <c r="I337" s="170" t="inlineStr">
        <is>
          <t>-</t>
        </is>
      </c>
      <c r="J337" s="170" t="inlineStr">
        <is>
          <t>-</t>
        </is>
      </c>
      <c r="K337" s="170" t="inlineStr">
        <is>
          <t>-</t>
        </is>
      </c>
      <c r="L337" s="170" t="inlineStr">
        <is>
          <t>-</t>
        </is>
      </c>
    </row>
    <row r="338">
      <c r="A338" s="6" t="n">
        <v>46027</v>
      </c>
      <c r="B338" s="8" t="inlineStr">
        <is>
          <t>N2509403-06-07-08-09-10</t>
        </is>
      </c>
      <c r="C338" s="56">
        <f>VLOOKUP(LEFT(B338,1),Tabela5[],2,0)</f>
        <v/>
      </c>
      <c r="D338" s="57" t="inlineStr">
        <is>
          <t>EUCADUR NT - 2,5MM</t>
        </is>
      </c>
      <c r="E338" s="170">
        <f>VLOOKUP(Tabela10[[#This Row],[Tipo de Chapa]],Tabela11[],2,FALSE)</f>
        <v/>
      </c>
      <c r="F338" s="169">
        <f>182+12</f>
        <v/>
      </c>
      <c r="G338" s="152" t="n">
        <v>0.06</v>
      </c>
      <c r="H338" s="170">
        <f>Tabela10[[#This Row],[M² Da chapa]]*Tabela10[[#This Row],[Qtde Chapas
Liberadas]]</f>
        <v/>
      </c>
      <c r="I338" s="170" t="n">
        <v>1819.0854</v>
      </c>
      <c r="J338" s="59">
        <f>Tabela10[[#This Row],[ERP]]/Tabela10[[#This Row],[M² Da chapa]]</f>
        <v/>
      </c>
      <c r="K338" s="170">
        <f>Tabela10[[#This Row],[M² CHAPAS]]-Tabela10[[#This Row],[ERP]]</f>
        <v/>
      </c>
      <c r="L338" s="170">
        <f>Tabela10[[#This Row],[DIFERENÇA M²]]/Tabela10[[#This Row],[M² Da chapa]]</f>
        <v/>
      </c>
    </row>
    <row r="339">
      <c r="A339" s="6" t="inlineStr">
        <is>
          <t>-</t>
        </is>
      </c>
      <c r="B339" s="8" t="inlineStr">
        <is>
          <t>N25094</t>
        </is>
      </c>
      <c r="C339" s="56">
        <f>VLOOKUP(LEFT(B339,1),Tabela5[],2,0)</f>
        <v/>
      </c>
      <c r="D339" s="57" t="inlineStr">
        <is>
          <t>MDF - 25MM 2750x2200</t>
        </is>
      </c>
      <c r="E339" s="170">
        <f>VLOOKUP(Tabela10[[#This Row],[Tipo de Chapa]],Tabela11[],2,FALSE)</f>
        <v/>
      </c>
      <c r="F339" s="169" t="n">
        <v>128</v>
      </c>
      <c r="G339" s="152" t="n">
        <v>0.0678</v>
      </c>
      <c r="H339" s="170">
        <f>Tabela10[[#This Row],[M² Da chapa]]*Tabela10[[#This Row],[Qtde Chapas
Liberadas]]</f>
        <v/>
      </c>
      <c r="I339" s="170" t="n">
        <v>767.6242</v>
      </c>
      <c r="J339" s="59">
        <f>Tabela10[[#This Row],[ERP]]/Tabela10[[#This Row],[M² Da chapa]]</f>
        <v/>
      </c>
      <c r="K339" s="170">
        <f>Tabela10[[#This Row],[M² CHAPAS]]-Tabela10[[#This Row],[ERP]]</f>
        <v/>
      </c>
      <c r="L339" s="170">
        <f>Tabela10[[#This Row],[DIFERENÇA M²]]/Tabela10[[#This Row],[M² Da chapa]]</f>
        <v/>
      </c>
    </row>
    <row r="340" hidden="1">
      <c r="A340" s="6" t="inlineStr">
        <is>
          <t>-</t>
        </is>
      </c>
      <c r="B340" s="8" t="inlineStr">
        <is>
          <t>L25071</t>
        </is>
      </c>
      <c r="C340" s="56">
        <f>VLOOKUP(LEFT(B340,1),Tabela5[],2,0)</f>
        <v/>
      </c>
      <c r="D340" s="57" t="inlineStr">
        <is>
          <t>EUCADUR NT - 2,5MM</t>
        </is>
      </c>
      <c r="E340" s="170">
        <f>VLOOKUP(Tabela10[[#This Row],[Tipo de Chapa]],Tabela11[],2,FALSE)</f>
        <v/>
      </c>
      <c r="F340" s="169" t="n">
        <v>362</v>
      </c>
      <c r="G340" s="152" t="n">
        <v>0.0665</v>
      </c>
      <c r="H340" s="170">
        <f>Tabela10[[#This Row],[M² Da chapa]]*Tabela10[[#This Row],[Qtde Chapas
Liberadas]]</f>
        <v/>
      </c>
      <c r="I340" s="170" t="n">
        <v>1783.17</v>
      </c>
      <c r="J340" s="59">
        <f>Tabela10[[#This Row],[ERP]]/Tabela10[[#This Row],[M² Da chapa]]</f>
        <v/>
      </c>
      <c r="K340" s="170">
        <f>Tabela10[[#This Row],[M² CHAPAS]]-Tabela10[[#This Row],[ERP]]</f>
        <v/>
      </c>
      <c r="L340" s="170">
        <f>Tabela10[[#This Row],[DIFERENÇA M²]]/Tabela10[[#This Row],[M² Da chapa]]</f>
        <v/>
      </c>
    </row>
    <row r="341" hidden="1">
      <c r="A341" s="6" t="inlineStr">
        <is>
          <t>-</t>
        </is>
      </c>
      <c r="B341" s="8" t="inlineStr">
        <is>
          <t>I25049</t>
        </is>
      </c>
      <c r="C341" s="56">
        <f>VLOOKUP(LEFT(B341,1),Tabela5[],2,0)</f>
        <v/>
      </c>
      <c r="D341" s="57" t="inlineStr">
        <is>
          <t>MDF - 15MM</t>
        </is>
      </c>
      <c r="E341" s="170">
        <f>VLOOKUP(Tabela10[[#This Row],[Tipo de Chapa]],Tabela11[],2,FALSE)</f>
        <v/>
      </c>
      <c r="F341" s="169" t="n">
        <v>1150</v>
      </c>
      <c r="G341" s="152" t="n">
        <v>0.06419999999999999</v>
      </c>
      <c r="H341" s="170">
        <f>Tabela10[[#This Row],[M² Da chapa]]*Tabela10[[#This Row],[Qtde Chapas
Liberadas]]</f>
        <v/>
      </c>
      <c r="I341" s="59" t="n">
        <v>6863.1346</v>
      </c>
      <c r="J341" s="59">
        <f>Tabela10[[#This Row],[ERP]]/Tabela10[[#This Row],[M² Da chapa]]</f>
        <v/>
      </c>
      <c r="K341" s="170">
        <f>Tabela10[[#This Row],[M² CHAPAS]]-Tabela10[[#This Row],[ERP]]</f>
        <v/>
      </c>
      <c r="L341" s="170">
        <f>Tabela10[[#This Row],[DIFERENÇA M²]]/Tabela10[[#This Row],[M² Da chapa]]</f>
        <v/>
      </c>
    </row>
    <row r="342" hidden="1">
      <c r="A342" s="6" t="inlineStr">
        <is>
          <t>-</t>
        </is>
      </c>
      <c r="B342" s="8" t="inlineStr">
        <is>
          <t>I25049</t>
        </is>
      </c>
      <c r="C342" s="56">
        <f>VLOOKUP(LEFT(B342,1),Tabela5[],2,0)</f>
        <v/>
      </c>
      <c r="D342" s="57" t="inlineStr">
        <is>
          <t>EUCADUR NT - 2,5MM</t>
        </is>
      </c>
      <c r="E342" s="170">
        <f>VLOOKUP(Tabela10[[#This Row],[Tipo de Chapa]],Tabela11[],2,FALSE)</f>
        <v/>
      </c>
      <c r="F342" s="169" t="n">
        <v>278</v>
      </c>
      <c r="G342" s="152" t="n">
        <v>0.0586</v>
      </c>
      <c r="H342" s="170">
        <f>Tabela10[[#This Row],[M² Da chapa]]*Tabela10[[#This Row],[Qtde Chapas
Liberadas]]</f>
        <v/>
      </c>
      <c r="I342" s="59" t="n">
        <v>1710.105</v>
      </c>
      <c r="J342" s="59">
        <f>Tabela10[[#This Row],[ERP]]/Tabela10[[#This Row],[M² Da chapa]]</f>
        <v/>
      </c>
      <c r="K342" s="170">
        <f>Tabela10[[#This Row],[M² CHAPAS]]-Tabela10[[#This Row],[ERP]]</f>
        <v/>
      </c>
      <c r="L342" s="170">
        <f>Tabela10[[#This Row],[DIFERENÇA M²]]/Tabela10[[#This Row],[M² Da chapa]]</f>
        <v/>
      </c>
    </row>
    <row r="343" hidden="1">
      <c r="A343" s="6" t="inlineStr">
        <is>
          <t>-</t>
        </is>
      </c>
      <c r="B343" s="8" t="inlineStr">
        <is>
          <t>I25049</t>
        </is>
      </c>
      <c r="C343" s="56">
        <f>VLOOKUP(LEFT(B343,1),Tabela5[],2,0)</f>
        <v/>
      </c>
      <c r="D343" s="57" t="inlineStr">
        <is>
          <t>EUCADUR BR - 2,5MM</t>
        </is>
      </c>
      <c r="E343" s="170">
        <f>VLOOKUP(Tabela10[[#This Row],[Tipo de Chapa]],Tabela11[],2,FALSE)</f>
        <v/>
      </c>
      <c r="F343" s="169" t="n">
        <v>19</v>
      </c>
      <c r="G343" s="152" t="n">
        <v>0.07190000000000001</v>
      </c>
      <c r="H343" s="170">
        <f>Tabela10[[#This Row],[M² Da chapa]]*Tabela10[[#This Row],[Qtde Chapas
Liberadas]]</f>
        <v/>
      </c>
      <c r="I343" s="59" t="n">
        <v>99.2433</v>
      </c>
      <c r="J343" s="59">
        <f>Tabela10[[#This Row],[ERP]]/Tabela10[[#This Row],[M² Da chapa]]</f>
        <v/>
      </c>
      <c r="K343" s="170">
        <f>Tabela10[[#This Row],[M² CHAPAS]]-Tabela10[[#This Row],[ERP]]</f>
        <v/>
      </c>
      <c r="L343" s="170">
        <f>Tabela10[[#This Row],[DIFERENÇA M²]]/Tabela10[[#This Row],[M² Da chapa]]</f>
        <v/>
      </c>
    </row>
    <row r="344" hidden="1">
      <c r="A344" s="6" t="inlineStr">
        <is>
          <t>-</t>
        </is>
      </c>
      <c r="B344" s="91" t="inlineStr">
        <is>
          <t>L-REQUISIÇÃO NO LOTE L25071</t>
        </is>
      </c>
      <c r="C344" s="71">
        <f>VLOOKUP(LEFT(B344,1),Tabela5[],2,0)</f>
        <v/>
      </c>
      <c r="D344" s="72" t="inlineStr">
        <is>
          <t>EUCADUR NT - 2,5MM</t>
        </is>
      </c>
      <c r="E344" s="170">
        <f>VLOOKUP(Tabela10[[#This Row],[Tipo de Chapa]],Tabela11[],2,FALSE)</f>
        <v/>
      </c>
      <c r="F344" s="50" t="n">
        <v>60</v>
      </c>
      <c r="G344" s="73" t="inlineStr">
        <is>
          <t>-</t>
        </is>
      </c>
      <c r="H344" s="49">
        <f>Tabela10[[#This Row],[M² Da chapa]]*Tabela10[[#This Row],[Qtde Chapas
Liberadas]]</f>
        <v/>
      </c>
      <c r="I344" s="49" t="inlineStr">
        <is>
          <t>-</t>
        </is>
      </c>
      <c r="J344" s="74" t="inlineStr">
        <is>
          <t>-</t>
        </is>
      </c>
      <c r="K344" s="74" t="inlineStr">
        <is>
          <t>-</t>
        </is>
      </c>
      <c r="L344" s="74" t="inlineStr">
        <is>
          <t>-</t>
        </is>
      </c>
    </row>
    <row r="345" hidden="1">
      <c r="A345" s="6" t="inlineStr">
        <is>
          <t>-</t>
        </is>
      </c>
      <c r="B345" s="8" t="inlineStr">
        <is>
          <t>L2507101</t>
        </is>
      </c>
      <c r="C345" s="56">
        <f>VLOOKUP(LEFT(B345,1),Tabela5[],2,0)</f>
        <v/>
      </c>
      <c r="D345" s="57" t="inlineStr">
        <is>
          <t>MDF - 25MM 2750x2200</t>
        </is>
      </c>
      <c r="E345" s="170">
        <f>VLOOKUP(Tabela10[[#This Row],[Tipo de Chapa]],Tabela11[],2,FALSE)</f>
        <v/>
      </c>
      <c r="F345" s="169" t="n">
        <v>50</v>
      </c>
      <c r="G345" s="152" t="n">
        <v>0.1293</v>
      </c>
      <c r="H345" s="170">
        <f>Tabela10[[#This Row],[M² Da chapa]]*Tabela10[[#This Row],[Qtde Chapas
Liberadas]]</f>
        <v/>
      </c>
      <c r="I345" s="170" t="n">
        <v>234.6387</v>
      </c>
      <c r="J345" s="59">
        <f>Tabela10[[#This Row],[ERP]]/Tabela10[[#This Row],[M² Da chapa]]</f>
        <v/>
      </c>
      <c r="K345" s="170">
        <f>Tabela10[[#This Row],[M² CHAPAS]]-Tabela10[[#This Row],[ERP]]</f>
        <v/>
      </c>
      <c r="L345" s="170">
        <f>Tabela10[[#This Row],[DIFERENÇA M²]]/Tabela10[[#This Row],[M² Da chapa]]</f>
        <v/>
      </c>
    </row>
    <row r="346" hidden="1">
      <c r="A346" s="6" t="inlineStr">
        <is>
          <t>-</t>
        </is>
      </c>
      <c r="B346" s="8" t="inlineStr">
        <is>
          <t>L2507104</t>
        </is>
      </c>
      <c r="C346" s="56">
        <f>VLOOKUP(LEFT(B346,1),Tabela5[],2,0)</f>
        <v/>
      </c>
      <c r="D346" s="57" t="inlineStr">
        <is>
          <t>MDF - 25MM 2750x2100</t>
        </is>
      </c>
      <c r="E346" s="170">
        <f>VLOOKUP(Tabela10[[#This Row],[Tipo de Chapa]],Tabela11[],2,FALSE)</f>
        <v/>
      </c>
      <c r="F346" s="169" t="n">
        <v>25</v>
      </c>
      <c r="G346" s="152" t="n">
        <v>0.0182</v>
      </c>
      <c r="H346" s="170">
        <f>Tabela10[[#This Row],[M² Da chapa]]*Tabela10[[#This Row],[Qtde Chapas
Liberadas]]</f>
        <v/>
      </c>
      <c r="I346" s="170" t="n">
        <v>288.1965</v>
      </c>
      <c r="J346" s="59">
        <f>Tabela10[[#This Row],[ERP]]/Tabela10[[#This Row],[M² Da chapa]]</f>
        <v/>
      </c>
      <c r="K346" s="170">
        <f>Tabela10[[#This Row],[M² CHAPAS]]-Tabela10[[#This Row],[ERP]]</f>
        <v/>
      </c>
      <c r="L346" s="170">
        <f>Tabela10[[#This Row],[DIFERENÇA M²]]/Tabela10[[#This Row],[M² Da chapa]]</f>
        <v/>
      </c>
    </row>
    <row r="347" hidden="1">
      <c r="A347" s="6" t="inlineStr">
        <is>
          <t>-</t>
        </is>
      </c>
      <c r="B347" s="8" t="inlineStr">
        <is>
          <t>L2507201</t>
        </is>
      </c>
      <c r="C347" s="56">
        <f>VLOOKUP(LEFT(B347,1),Tabela5[],2,0)</f>
        <v/>
      </c>
      <c r="D347" s="57" t="inlineStr">
        <is>
          <t>MDF - 15MM</t>
        </is>
      </c>
      <c r="E347" s="170">
        <f>VLOOKUP(Tabela10[[#This Row],[Tipo de Chapa]],Tabela11[],2,FALSE)</f>
        <v/>
      </c>
      <c r="F347" s="169">
        <f>200+7</f>
        <v/>
      </c>
      <c r="G347" s="152" t="n">
        <v>0.055</v>
      </c>
      <c r="H347" s="170">
        <f>Tabela10[[#This Row],[M² Da chapa]]*Tabela10[[#This Row],[Qtde Chapas
Liberadas]]</f>
        <v/>
      </c>
      <c r="I347" s="170" t="n">
        <v>1257.7678</v>
      </c>
      <c r="J347" s="59">
        <f>Tabela10[[#This Row],[ERP]]/Tabela10[[#This Row],[M² Da chapa]]</f>
        <v/>
      </c>
      <c r="K347" s="170">
        <f>Tabela10[[#This Row],[M² CHAPAS]]-Tabela10[[#This Row],[ERP]]</f>
        <v/>
      </c>
      <c r="L347" s="170">
        <f>Tabela10[[#This Row],[DIFERENÇA M²]]/Tabela10[[#This Row],[M² Da chapa]]</f>
        <v/>
      </c>
    </row>
    <row r="348" hidden="1">
      <c r="A348" s="6" t="inlineStr">
        <is>
          <t>-</t>
        </is>
      </c>
      <c r="B348" s="8" t="inlineStr">
        <is>
          <t>L2507201 (581X428)</t>
        </is>
      </c>
      <c r="C348" s="56">
        <f>VLOOKUP(LEFT(B348,1),Tabela5[],2,0)</f>
        <v/>
      </c>
      <c r="D348" s="57" t="inlineStr">
        <is>
          <t>SOBRAS MDF "CRÉDITO"</t>
        </is>
      </c>
      <c r="E348" s="170">
        <f>VLOOKUP(Tabela10[[#This Row],[Tipo de Chapa]],Tabela11[],2,FALSE)</f>
        <v/>
      </c>
      <c r="F348" s="169" t="inlineStr">
        <is>
          <t>-</t>
        </is>
      </c>
      <c r="G348" s="152" t="inlineStr">
        <is>
          <t>-</t>
        </is>
      </c>
      <c r="H348" s="70" t="n">
        <v>79.58</v>
      </c>
      <c r="I348" s="170" t="inlineStr">
        <is>
          <t>-</t>
        </is>
      </c>
      <c r="J348" s="170" t="inlineStr">
        <is>
          <t>-</t>
        </is>
      </c>
      <c r="K348" s="170" t="inlineStr">
        <is>
          <t>-</t>
        </is>
      </c>
      <c r="L348" s="170" t="inlineStr">
        <is>
          <t>-</t>
        </is>
      </c>
    </row>
    <row r="349" hidden="1">
      <c r="A349" s="6" t="inlineStr">
        <is>
          <t>-</t>
        </is>
      </c>
      <c r="B349" s="8" t="inlineStr">
        <is>
          <t>L2507203</t>
        </is>
      </c>
      <c r="C349" s="56">
        <f>VLOOKUP(LEFT(B349,1),Tabela5[],2,0)</f>
        <v/>
      </c>
      <c r="D349" s="57" t="inlineStr">
        <is>
          <t>MDF - 15MM</t>
        </is>
      </c>
      <c r="E349" s="170">
        <f>VLOOKUP(Tabela10[[#This Row],[Tipo de Chapa]],Tabela11[],2,FALSE)</f>
        <v/>
      </c>
      <c r="F349" s="169" t="n">
        <v>130</v>
      </c>
      <c r="G349" s="152" t="n">
        <v>0.062</v>
      </c>
      <c r="H349" s="170">
        <f>Tabela10[[#This Row],[M² Da chapa]]*Tabela10[[#This Row],[Qtde Chapas
Liberadas]]</f>
        <v/>
      </c>
      <c r="I349" s="170" t="n">
        <v>771.6253</v>
      </c>
      <c r="J349" s="59">
        <f>Tabela10[[#This Row],[ERP]]/Tabela10[[#This Row],[M² Da chapa]]</f>
        <v/>
      </c>
      <c r="K349" s="170">
        <f>Tabela10[[#This Row],[M² CHAPAS]]-Tabela10[[#This Row],[ERP]]</f>
        <v/>
      </c>
      <c r="L349" s="170">
        <f>Tabela10[[#This Row],[DIFERENÇA M²]]/Tabela10[[#This Row],[M² Da chapa]]</f>
        <v/>
      </c>
    </row>
    <row r="350" hidden="1">
      <c r="A350" s="6" t="inlineStr">
        <is>
          <t>-</t>
        </is>
      </c>
      <c r="B350" s="8" t="inlineStr">
        <is>
          <t>L2507201</t>
        </is>
      </c>
      <c r="C350" s="56">
        <f>VLOOKUP(LEFT(B350,1),Tabela5[],2,0)</f>
        <v/>
      </c>
      <c r="D350" s="57" t="inlineStr">
        <is>
          <t>MDF - 25MM 2750x2200</t>
        </is>
      </c>
      <c r="E350" s="170">
        <f>VLOOKUP(Tabela10[[#This Row],[Tipo de Chapa]],Tabela11[],2,FALSE)</f>
        <v/>
      </c>
      <c r="F350" s="169" t="n">
        <v>0</v>
      </c>
      <c r="G350" s="152" t="n">
        <v>0</v>
      </c>
      <c r="H350" s="170">
        <f>Tabela10[[#This Row],[M² Da chapa]]*Tabela10[[#This Row],[Qtde Chapas
Liberadas]]</f>
        <v/>
      </c>
      <c r="I350" s="170" t="n">
        <v>301.7985</v>
      </c>
      <c r="J350" s="59">
        <f>Tabela10[[#This Row],[ERP]]/Tabela10[[#This Row],[M² Da chapa]]</f>
        <v/>
      </c>
      <c r="K350" s="170">
        <f>Tabela10[[#This Row],[M² CHAPAS]]-Tabela10[[#This Row],[ERP]]</f>
        <v/>
      </c>
      <c r="L350" s="170">
        <f>Tabela10[[#This Row],[DIFERENÇA M²]]/Tabela10[[#This Row],[M² Da chapa]]</f>
        <v/>
      </c>
    </row>
    <row r="351" hidden="1">
      <c r="A351" s="6" t="inlineStr">
        <is>
          <t>-</t>
        </is>
      </c>
      <c r="B351" s="8" t="inlineStr">
        <is>
          <t>L2507201</t>
        </is>
      </c>
      <c r="C351" s="56">
        <f>VLOOKUP(LEFT(B351,1),Tabela5[],2,0)</f>
        <v/>
      </c>
      <c r="D351" s="57" t="inlineStr">
        <is>
          <t>EUCADUR NT - 2,5MM</t>
        </is>
      </c>
      <c r="E351" s="170">
        <f>VLOOKUP(Tabela10[[#This Row],[Tipo de Chapa]],Tabela11[],2,FALSE)</f>
        <v/>
      </c>
      <c r="F351" s="169" t="n">
        <v>60</v>
      </c>
      <c r="G351" s="152" t="n">
        <v>0.073</v>
      </c>
      <c r="H351" s="170">
        <f>Tabela10[[#This Row],[M² Da chapa]]*Tabela10[[#This Row],[Qtde Chapas
Liberadas]]</f>
        <v/>
      </c>
      <c r="I351" s="170" t="n">
        <v>282.5806</v>
      </c>
      <c r="J351" s="59">
        <f>Tabela10[[#This Row],[ERP]]/Tabela10[[#This Row],[M² Da chapa]]</f>
        <v/>
      </c>
      <c r="K351" s="170">
        <f>Tabela10[[#This Row],[M² CHAPAS]]-Tabela10[[#This Row],[ERP]]</f>
        <v/>
      </c>
      <c r="L351" s="170">
        <f>Tabela10[[#This Row],[DIFERENÇA M²]]/Tabela10[[#This Row],[M² Da chapa]]</f>
        <v/>
      </c>
    </row>
    <row r="352" hidden="1">
      <c r="A352" s="6" t="inlineStr">
        <is>
          <t>-</t>
        </is>
      </c>
      <c r="B352" s="8" t="inlineStr">
        <is>
          <t>I25050</t>
        </is>
      </c>
      <c r="C352" s="56">
        <f>VLOOKUP(LEFT(B352,1),Tabela5[],2,0)</f>
        <v/>
      </c>
      <c r="D352" s="57" t="inlineStr">
        <is>
          <t>EUCADUR FRJ - 2,5MM</t>
        </is>
      </c>
      <c r="E352" s="170">
        <f>VLOOKUP(Tabela10[[#This Row],[Tipo de Chapa]],Tabela11[],2,FALSE)</f>
        <v/>
      </c>
      <c r="F352" s="169" t="n">
        <v>456</v>
      </c>
      <c r="G352" s="152" t="n">
        <v>0.056</v>
      </c>
      <c r="H352" s="170">
        <f>Tabela10[[#This Row],[M² Da chapa]]*Tabela10[[#This Row],[Qtde Chapas
Liberadas]]</f>
        <v/>
      </c>
      <c r="I352" s="59" t="n">
        <v>2709.6598</v>
      </c>
      <c r="J352" s="59">
        <f>Tabela10[[#This Row],[ERP]]/Tabela10[[#This Row],[M² Da chapa]]</f>
        <v/>
      </c>
      <c r="K352" s="170">
        <f>Tabela10[[#This Row],[M² CHAPAS]]-Tabela10[[#This Row],[ERP]]</f>
        <v/>
      </c>
      <c r="L352" s="170">
        <f>Tabela10[[#This Row],[DIFERENÇA M²]]/Tabela10[[#This Row],[M² Da chapa]]</f>
        <v/>
      </c>
    </row>
    <row r="353" hidden="1">
      <c r="A353" s="6" t="inlineStr">
        <is>
          <t>-</t>
        </is>
      </c>
      <c r="B353" s="8" t="inlineStr">
        <is>
          <t>V18703 ao V2519703</t>
        </is>
      </c>
      <c r="C353" s="56">
        <f>VLOOKUP(LEFT(B353,1),Tabela5[],2,0)</f>
        <v/>
      </c>
      <c r="D353" s="57" t="inlineStr">
        <is>
          <t>CAPA MDF - 12MM</t>
        </is>
      </c>
      <c r="E353" s="170">
        <f>VLOOKUP(Tabela10[[#This Row],[Tipo de Chapa]],Tabela11[],2,FALSE)</f>
        <v/>
      </c>
      <c r="F353" s="169" t="n">
        <v>77</v>
      </c>
      <c r="G353" s="152" t="n">
        <v>0.1067</v>
      </c>
      <c r="H353" s="170">
        <f>Tabela10[[#This Row],[M² Da chapa]]*Tabela10[[#This Row],[Qtde Chapas
Liberadas]]</f>
        <v/>
      </c>
      <c r="I353" s="170" t="inlineStr">
        <is>
          <t>-</t>
        </is>
      </c>
      <c r="J353" s="170" t="inlineStr">
        <is>
          <t>-</t>
        </is>
      </c>
      <c r="K353" s="170" t="inlineStr">
        <is>
          <t>-</t>
        </is>
      </c>
      <c r="L353" s="170" t="inlineStr">
        <is>
          <t>-</t>
        </is>
      </c>
    </row>
    <row r="354" hidden="1">
      <c r="A354" s="6" t="inlineStr">
        <is>
          <t>-</t>
        </is>
      </c>
      <c r="B354" s="8" t="inlineStr">
        <is>
          <t>I25050</t>
        </is>
      </c>
      <c r="C354" s="56">
        <f>VLOOKUP(LEFT(B354,1),Tabela5[],2,0)</f>
        <v/>
      </c>
      <c r="D354" s="57" t="inlineStr">
        <is>
          <t>MDF - 15MM</t>
        </is>
      </c>
      <c r="E354" s="170">
        <f>VLOOKUP(Tabela10[[#This Row],[Tipo de Chapa]],Tabela11[],2,FALSE)</f>
        <v/>
      </c>
      <c r="F354" s="169" t="n">
        <v>1419</v>
      </c>
      <c r="G354" s="152" t="n">
        <v>0.0735</v>
      </c>
      <c r="H354" s="170">
        <f>Tabela10[[#This Row],[M² Da chapa]]*Tabela10[[#This Row],[Qtde Chapas
Liberadas]]</f>
        <v/>
      </c>
      <c r="I354" s="59" t="n">
        <v>8583.8809</v>
      </c>
      <c r="J354" s="59">
        <f>Tabela10[[#This Row],[ERP]]/Tabela10[[#This Row],[M² Da chapa]]</f>
        <v/>
      </c>
      <c r="K354" s="170">
        <f>Tabela10[[#This Row],[M² CHAPAS]]-Tabela10[[#This Row],[ERP]]</f>
        <v/>
      </c>
      <c r="L354" s="170">
        <f>Tabela10[[#This Row],[DIFERENÇA M²]]/Tabela10[[#This Row],[M² Da chapa]]</f>
        <v/>
      </c>
    </row>
    <row r="355" hidden="1" ht="43.2" customHeight="1">
      <c r="A355" s="6" t="inlineStr">
        <is>
          <t>-</t>
        </is>
      </c>
      <c r="B355" s="8" t="inlineStr">
        <is>
          <t>V25020301:16 peças (que faltam para completar o lote, informação passada no inventário - TAMPO 160</t>
        </is>
      </c>
      <c r="C355" s="56">
        <f>VLOOKUP(LEFT(B355,1),Tabela5[],2,0)</f>
        <v/>
      </c>
      <c r="D355" s="57" t="inlineStr">
        <is>
          <t>MDF - 25MM 2750x2100</t>
        </is>
      </c>
      <c r="E355" s="170">
        <f>VLOOKUP(Tabela10[[#This Row],[Tipo de Chapa]],Tabela11[],2,FALSE)</f>
        <v/>
      </c>
      <c r="F355" s="169" t="n">
        <v>5</v>
      </c>
      <c r="G355" s="152" t="n">
        <v>0.0779</v>
      </c>
      <c r="H355" s="170">
        <f>Tabela10[[#This Row],[M² Da chapa]]*Tabela10[[#This Row],[Qtde Chapas
Liberadas]]</f>
        <v/>
      </c>
      <c r="I355" s="170" t="inlineStr">
        <is>
          <t>-</t>
        </is>
      </c>
      <c r="J355" s="170" t="inlineStr">
        <is>
          <t>-</t>
        </is>
      </c>
      <c r="K355" s="170" t="inlineStr">
        <is>
          <t>-</t>
        </is>
      </c>
      <c r="L355" s="170" t="inlineStr">
        <is>
          <t>-</t>
        </is>
      </c>
    </row>
    <row r="356" hidden="1">
      <c r="A356" s="6" t="inlineStr">
        <is>
          <t>-</t>
        </is>
      </c>
      <c r="B356" s="8" t="inlineStr">
        <is>
          <t>V2520401: 32 peças - TAMPO 160</t>
        </is>
      </c>
      <c r="C356" s="56">
        <f>VLOOKUP(LEFT(B356,1),Tabela5[],2,0)</f>
        <v/>
      </c>
      <c r="D356" s="57" t="inlineStr">
        <is>
          <t>MDF - 25MM 2750x2100</t>
        </is>
      </c>
      <c r="E356" s="170">
        <f>VLOOKUP(Tabela10[[#This Row],[Tipo de Chapa]],Tabela11[],2,FALSE)</f>
        <v/>
      </c>
      <c r="F356" s="169" t="n">
        <v>11</v>
      </c>
      <c r="G356" s="152" t="n">
        <v>0.0779</v>
      </c>
      <c r="H356" s="170">
        <f>Tabela10[[#This Row],[M² Da chapa]]*Tabela10[[#This Row],[Qtde Chapas
Liberadas]]</f>
        <v/>
      </c>
      <c r="I356" s="170" t="inlineStr">
        <is>
          <t>-</t>
        </is>
      </c>
      <c r="J356" s="170" t="inlineStr">
        <is>
          <t>-</t>
        </is>
      </c>
      <c r="K356" s="170" t="inlineStr">
        <is>
          <t>-</t>
        </is>
      </c>
      <c r="L356" s="170" t="inlineStr">
        <is>
          <t>-</t>
        </is>
      </c>
    </row>
    <row r="357" hidden="1">
      <c r="A357" s="6" t="inlineStr">
        <is>
          <t>-</t>
        </is>
      </c>
      <c r="B357" s="8" t="inlineStr">
        <is>
          <t>V2520501 a V2521401: 360 peças - TAMPO 160</t>
        </is>
      </c>
      <c r="C357" s="56">
        <f>VLOOKUP(LEFT(B357,1),Tabela5[],2,0)</f>
        <v/>
      </c>
      <c r="D357" s="57" t="inlineStr">
        <is>
          <t>MDF - 25MM 2750x2100</t>
        </is>
      </c>
      <c r="E357" s="170">
        <f>VLOOKUP(Tabela10[[#This Row],[Tipo de Chapa]],Tabela11[],2,FALSE)</f>
        <v/>
      </c>
      <c r="F357" s="169" t="n">
        <v>120</v>
      </c>
      <c r="G357" s="152" t="n">
        <v>0.0779</v>
      </c>
      <c r="H357" s="170">
        <f>Tabela10[[#This Row],[M² Da chapa]]*Tabela10[[#This Row],[Qtde Chapas
Liberadas]]</f>
        <v/>
      </c>
      <c r="I357" s="170" t="inlineStr">
        <is>
          <t>-</t>
        </is>
      </c>
      <c r="J357" s="170" t="inlineStr">
        <is>
          <t>-</t>
        </is>
      </c>
      <c r="K357" s="170" t="inlineStr">
        <is>
          <t>-</t>
        </is>
      </c>
      <c r="L357" s="170" t="inlineStr">
        <is>
          <t>-</t>
        </is>
      </c>
    </row>
    <row r="358" hidden="1">
      <c r="A358" s="6" t="inlineStr">
        <is>
          <t>-</t>
        </is>
      </c>
      <c r="B358" s="76" t="inlineStr">
        <is>
          <t>V2517101: 40 peças - TAMPO 120</t>
        </is>
      </c>
      <c r="C358" s="107">
        <f>VLOOKUP(LEFT(B358,1),Tabela5[],2,0)</f>
        <v/>
      </c>
      <c r="D358" s="98" t="inlineStr">
        <is>
          <t>MDF - 25MM 2750x2200</t>
        </is>
      </c>
      <c r="E358" s="170">
        <f>VLOOKUP(Tabela10[[#This Row],[Tipo de Chapa]],Tabela11[],2,FALSE)</f>
        <v/>
      </c>
      <c r="F358" s="106" t="n">
        <v>8</v>
      </c>
      <c r="G358" s="152" t="n">
        <v>0.1005</v>
      </c>
      <c r="H358" s="170">
        <f>Tabela10[[#This Row],[M² Da chapa]]*Tabela10[[#This Row],[Qtde Chapas
Liberadas]]</f>
        <v/>
      </c>
      <c r="I358" s="170" t="inlineStr">
        <is>
          <t>-</t>
        </is>
      </c>
      <c r="J358" s="170" t="inlineStr">
        <is>
          <t>-</t>
        </is>
      </c>
      <c r="K358" s="170" t="inlineStr">
        <is>
          <t>-</t>
        </is>
      </c>
      <c r="L358" s="170" t="inlineStr">
        <is>
          <t>-</t>
        </is>
      </c>
    </row>
    <row r="359" hidden="1">
      <c r="A359" s="6" t="inlineStr">
        <is>
          <t>-</t>
        </is>
      </c>
      <c r="B359" s="76" t="inlineStr">
        <is>
          <t>V2517501: 40 peças - TAMPO 120</t>
        </is>
      </c>
      <c r="C359" s="107">
        <f>VLOOKUP(LEFT(B359,1),Tabela5[],2,0)</f>
        <v/>
      </c>
      <c r="D359" s="98" t="inlineStr">
        <is>
          <t>MDF - 25MM 2750x2200</t>
        </is>
      </c>
      <c r="E359" s="170">
        <f>VLOOKUP(Tabela10[[#This Row],[Tipo de Chapa]],Tabela11[],2,FALSE)</f>
        <v/>
      </c>
      <c r="F359" s="169" t="n">
        <v>8</v>
      </c>
      <c r="G359" s="152" t="n">
        <v>0.1005</v>
      </c>
      <c r="H359" s="170">
        <f>Tabela10[[#This Row],[M² Da chapa]]*Tabela10[[#This Row],[Qtde Chapas
Liberadas]]</f>
        <v/>
      </c>
      <c r="I359" s="170" t="inlineStr">
        <is>
          <t>-</t>
        </is>
      </c>
      <c r="J359" s="170" t="inlineStr">
        <is>
          <t>-</t>
        </is>
      </c>
      <c r="K359" s="170" t="inlineStr">
        <is>
          <t>-</t>
        </is>
      </c>
      <c r="L359" s="170" t="inlineStr">
        <is>
          <t>-</t>
        </is>
      </c>
    </row>
    <row r="360" hidden="1">
      <c r="A360" s="6" t="inlineStr">
        <is>
          <t>-</t>
        </is>
      </c>
      <c r="B360" s="76" t="inlineStr">
        <is>
          <t>V2518001: 40 peças - TAMPO 120</t>
        </is>
      </c>
      <c r="C360" s="107">
        <f>VLOOKUP(LEFT(B360,1),Tabela5[],2,0)</f>
        <v/>
      </c>
      <c r="D360" s="98" t="inlineStr">
        <is>
          <t>MDF - 25MM 2750x2200</t>
        </is>
      </c>
      <c r="E360" s="170">
        <f>VLOOKUP(Tabela10[[#This Row],[Tipo de Chapa]],Tabela11[],2,FALSE)</f>
        <v/>
      </c>
      <c r="F360" s="169" t="n">
        <v>8</v>
      </c>
      <c r="G360" s="152" t="n">
        <v>0.1005</v>
      </c>
      <c r="H360" s="170">
        <f>Tabela10[[#This Row],[M² Da chapa]]*Tabela10[[#This Row],[Qtde Chapas
Liberadas]]</f>
        <v/>
      </c>
      <c r="I360" s="170" t="inlineStr">
        <is>
          <t>-</t>
        </is>
      </c>
      <c r="J360" s="170" t="inlineStr">
        <is>
          <t>-</t>
        </is>
      </c>
      <c r="K360" s="170" t="inlineStr">
        <is>
          <t>-</t>
        </is>
      </c>
      <c r="L360" s="170" t="inlineStr">
        <is>
          <t>-</t>
        </is>
      </c>
    </row>
    <row r="361" hidden="1">
      <c r="A361" s="6" t="inlineStr">
        <is>
          <t>-</t>
        </is>
      </c>
      <c r="B361" s="76" t="inlineStr">
        <is>
          <t>V2518101: 40 peças - TAMPO 120</t>
        </is>
      </c>
      <c r="C361" s="107">
        <f>VLOOKUP(LEFT(B361,1),Tabela5[],2,0)</f>
        <v/>
      </c>
      <c r="D361" s="98" t="inlineStr">
        <is>
          <t>MDF - 25MM 2750x2200</t>
        </is>
      </c>
      <c r="E361" s="170">
        <f>VLOOKUP(Tabela10[[#This Row],[Tipo de Chapa]],Tabela11[],2,FALSE)</f>
        <v/>
      </c>
      <c r="F361" s="169" t="n">
        <v>8</v>
      </c>
      <c r="G361" s="152" t="n">
        <v>0.1005</v>
      </c>
      <c r="H361" s="170">
        <f>Tabela10[[#This Row],[M² Da chapa]]*Tabela10[[#This Row],[Qtde Chapas
Liberadas]]</f>
        <v/>
      </c>
      <c r="I361" s="170" t="inlineStr">
        <is>
          <t>-</t>
        </is>
      </c>
      <c r="J361" s="170" t="inlineStr">
        <is>
          <t>-</t>
        </is>
      </c>
      <c r="K361" s="170" t="inlineStr">
        <is>
          <t>-</t>
        </is>
      </c>
      <c r="L361" s="170" t="inlineStr">
        <is>
          <t>-</t>
        </is>
      </c>
    </row>
    <row r="362" hidden="1">
      <c r="A362" s="6" t="inlineStr">
        <is>
          <t>-</t>
        </is>
      </c>
      <c r="B362" s="8" t="inlineStr">
        <is>
          <t>M25050</t>
        </is>
      </c>
      <c r="C362" s="56">
        <f>VLOOKUP(LEFT(B362,1),Tabela5[],2,0)</f>
        <v/>
      </c>
      <c r="D362" s="57" t="inlineStr">
        <is>
          <t>MDF - 15MM</t>
        </is>
      </c>
      <c r="E362" s="170">
        <f>VLOOKUP(Tabela10[[#This Row],[Tipo de Chapa]],Tabela11[],2,FALSE)</f>
        <v/>
      </c>
      <c r="F362" s="169" t="n">
        <v>854</v>
      </c>
      <c r="G362" s="152" t="n">
        <v>0.062</v>
      </c>
      <c r="H362" s="170">
        <f>Tabela10[[#This Row],[M² Da chapa]]*Tabela10[[#This Row],[Qtde Chapas
Liberadas]]</f>
        <v/>
      </c>
      <c r="I362" s="59" t="n">
        <v>4966.2481</v>
      </c>
      <c r="J362" s="59">
        <f>Tabela10[[#This Row],[ERP]]/Tabela10[[#This Row],[M² Da chapa]]</f>
        <v/>
      </c>
      <c r="K362" s="170">
        <f>Tabela10[[#This Row],[M² CHAPAS]]-Tabela10[[#This Row],[ERP]]</f>
        <v/>
      </c>
      <c r="L362" s="170">
        <f>Tabela10[[#This Row],[DIFERENÇA M²]]/Tabela10[[#This Row],[M² Da chapa]]</f>
        <v/>
      </c>
    </row>
    <row r="363" hidden="1">
      <c r="A363" s="6" t="inlineStr">
        <is>
          <t>-</t>
        </is>
      </c>
      <c r="B363" s="8" t="inlineStr">
        <is>
          <t>M25050</t>
        </is>
      </c>
      <c r="C363" s="56">
        <f>VLOOKUP(LEFT(B363,1),Tabela5[],2,0)</f>
        <v/>
      </c>
      <c r="D363" s="57" t="inlineStr">
        <is>
          <t>MDF - 9MM</t>
        </is>
      </c>
      <c r="E363" s="170">
        <f>VLOOKUP(Tabela10[[#This Row],[Tipo de Chapa]],Tabela11[],2,FALSE)</f>
        <v/>
      </c>
      <c r="F363" s="169" t="n">
        <v>151</v>
      </c>
      <c r="G363" s="152" t="n">
        <v>0.04</v>
      </c>
      <c r="H363" s="170">
        <f>Tabela10[[#This Row],[M² Da chapa]]*Tabela10[[#This Row],[Qtde Chapas
Liberadas]]</f>
        <v/>
      </c>
      <c r="I363" s="59" t="n">
        <v>766.6204</v>
      </c>
      <c r="J363" s="59">
        <f>Tabela10[[#This Row],[ERP]]/Tabela10[[#This Row],[M² Da chapa]]</f>
        <v/>
      </c>
      <c r="K363" s="170">
        <f>Tabela10[[#This Row],[M² CHAPAS]]-Tabela10[[#This Row],[ERP]]</f>
        <v/>
      </c>
      <c r="L363" s="170">
        <f>Tabela10[[#This Row],[DIFERENÇA M²]]/Tabela10[[#This Row],[M² Da chapa]]</f>
        <v/>
      </c>
    </row>
    <row r="364" hidden="1" ht="28.8" customHeight="1">
      <c r="A364" s="6" t="inlineStr">
        <is>
          <t>-</t>
        </is>
      </c>
      <c r="B364" s="90" t="inlineStr">
        <is>
          <t>V2517102, V2517502, V2518002, V2518102 - APOIO DE TAMPO DE MESA</t>
        </is>
      </c>
      <c r="C364" s="56">
        <f>VLOOKUP(LEFT(B364,1),Tabela5[],2,0)</f>
        <v/>
      </c>
      <c r="D364" s="57" t="inlineStr">
        <is>
          <t>CAPA MDF - 15MM</t>
        </is>
      </c>
      <c r="E364" s="170">
        <f>VLOOKUP(Tabela10[[#This Row],[Tipo de Chapa]],Tabela11[],2,FALSE)</f>
        <v/>
      </c>
      <c r="F364" s="169" t="n">
        <v>5</v>
      </c>
      <c r="G364" s="152" t="n">
        <v>0.036</v>
      </c>
      <c r="H364" s="170">
        <f>Tabela10[[#This Row],[M² Da chapa]]*Tabela10[[#This Row],[Qtde Chapas
Liberadas]]</f>
        <v/>
      </c>
      <c r="I364" s="170" t="inlineStr">
        <is>
          <t>-</t>
        </is>
      </c>
      <c r="J364" s="170" t="inlineStr">
        <is>
          <t>-</t>
        </is>
      </c>
      <c r="K364" s="170" t="inlineStr">
        <is>
          <t>-</t>
        </is>
      </c>
      <c r="L364" s="170" t="inlineStr">
        <is>
          <t>-</t>
        </is>
      </c>
    </row>
    <row r="365" hidden="1" ht="28.8" customHeight="1">
      <c r="A365" s="6" t="inlineStr">
        <is>
          <t>-</t>
        </is>
      </c>
      <c r="B365" s="90" t="inlineStr">
        <is>
          <t>V2517102, V2517502, V2518002, V2518102 - APOIO DE TAMPO DE MESA</t>
        </is>
      </c>
      <c r="C365" s="56">
        <f>VLOOKUP(LEFT(B365,1),Tabela5[],2,0)</f>
        <v/>
      </c>
      <c r="D365" s="57" t="inlineStr">
        <is>
          <t>CAPA MDF - 12MM</t>
        </is>
      </c>
      <c r="E365" s="170">
        <f>VLOOKUP(Tabela10[[#This Row],[Tipo de Chapa]],Tabela11[],2,FALSE)</f>
        <v/>
      </c>
      <c r="F365" s="169" t="n">
        <v>3</v>
      </c>
      <c r="G365" s="152" t="n">
        <v>0.036</v>
      </c>
      <c r="H365" s="170">
        <f>Tabela10[[#This Row],[M² Da chapa]]*Tabela10[[#This Row],[Qtde Chapas
Liberadas]]</f>
        <v/>
      </c>
      <c r="I365" s="170" t="inlineStr">
        <is>
          <t>-</t>
        </is>
      </c>
      <c r="J365" s="170" t="inlineStr">
        <is>
          <t>-</t>
        </is>
      </c>
      <c r="K365" s="170" t="inlineStr">
        <is>
          <t>-</t>
        </is>
      </c>
      <c r="L365" s="170" t="inlineStr">
        <is>
          <t>-</t>
        </is>
      </c>
    </row>
    <row r="366" hidden="1">
      <c r="A366" s="6" t="inlineStr">
        <is>
          <t>-</t>
        </is>
      </c>
      <c r="B366" s="8" t="inlineStr">
        <is>
          <t>V2517003 | V2517103 PAINEL ENCOSTO</t>
        </is>
      </c>
      <c r="C366" s="56">
        <f>VLOOKUP(LEFT(B366,1),Tabela5[],2,0)</f>
        <v/>
      </c>
      <c r="D366" s="57" t="inlineStr">
        <is>
          <t>CAPA DURATREE -2,5MM</t>
        </is>
      </c>
      <c r="E366" s="170">
        <f>VLOOKUP(Tabela10[[#This Row],[Tipo de Chapa]],Tabela11[],2,FALSE)</f>
        <v/>
      </c>
      <c r="F366" s="76" t="n">
        <v>0</v>
      </c>
      <c r="G366" s="152" t="inlineStr">
        <is>
          <t>-</t>
        </is>
      </c>
      <c r="H366" s="170">
        <f>Tabela10[[#This Row],[M² Da chapa]]*Tabela10[[#This Row],[Qtde Chapas
Liberadas]]</f>
        <v/>
      </c>
      <c r="I366" s="170" t="inlineStr">
        <is>
          <t>-</t>
        </is>
      </c>
      <c r="J366" s="170" t="inlineStr">
        <is>
          <t>-</t>
        </is>
      </c>
      <c r="K366" s="170" t="inlineStr">
        <is>
          <t>-</t>
        </is>
      </c>
      <c r="L366" s="170" t="inlineStr">
        <is>
          <t>-</t>
        </is>
      </c>
    </row>
    <row r="367" hidden="1">
      <c r="A367" s="6" t="inlineStr">
        <is>
          <t>-</t>
        </is>
      </c>
      <c r="B367" s="8" t="inlineStr">
        <is>
          <t>V-RECALL DANGLASS - TAMPO 160</t>
        </is>
      </c>
      <c r="C367" s="56">
        <f>VLOOKUP(LEFT(B367,1),Tabela5[],2,0)</f>
        <v/>
      </c>
      <c r="D367" s="57" t="inlineStr">
        <is>
          <t>MDF - 25MM 2750x2100</t>
        </is>
      </c>
      <c r="E367" s="170">
        <f>VLOOKUP(Tabela10[[#This Row],[Tipo de Chapa]],Tabela11[],2,FALSE)</f>
        <v/>
      </c>
      <c r="F367" s="169" t="n">
        <v>73</v>
      </c>
      <c r="G367" s="152" t="n">
        <v>0.042</v>
      </c>
      <c r="H367" s="75">
        <f>Tabela10[[#This Row],[M² Da chapa]]*Tabela10[[#This Row],[Qtde Chapas
Liberadas]]</f>
        <v/>
      </c>
      <c r="J367" s="59">
        <f>Tabela10[[#This Row],[ERP]]/Tabela10[[#This Row],[M² Da chapa]]</f>
        <v/>
      </c>
      <c r="K367" s="170">
        <f>Tabela10[[#This Row],[M² CHAPAS]]-Tabela10[[#This Row],[ERP]]</f>
        <v/>
      </c>
      <c r="L367" s="170">
        <f>Tabela10[[#This Row],[DIFERENÇA M²]]/Tabela10[[#This Row],[M² Da chapa]]</f>
        <v/>
      </c>
    </row>
    <row r="368" hidden="1">
      <c r="A368" s="6" t="inlineStr">
        <is>
          <t>-</t>
        </is>
      </c>
      <c r="B368" s="8" t="inlineStr">
        <is>
          <t>V-RECALL DANGLASS - TAMPO 120</t>
        </is>
      </c>
      <c r="C368" s="56">
        <f>VLOOKUP(LEFT(B368,1),Tabela5[],2,0)</f>
        <v/>
      </c>
      <c r="D368" s="57" t="inlineStr">
        <is>
          <t>MDF - 25MM 2750x2200</t>
        </is>
      </c>
      <c r="E368" s="170">
        <f>VLOOKUP(Tabela10[[#This Row],[Tipo de Chapa]],Tabela11[],2,FALSE)</f>
        <v/>
      </c>
      <c r="F368" s="169" t="n">
        <v>9</v>
      </c>
      <c r="G368" s="152" t="n">
        <v>0.0659</v>
      </c>
      <c r="H368" s="75">
        <f>Tabela10[[#This Row],[M² Da chapa]]*Tabela10[[#This Row],[Qtde Chapas
Liberadas]]</f>
        <v/>
      </c>
      <c r="J368" s="59">
        <f>Tabela10[[#This Row],[ERP]]/Tabela10[[#This Row],[M² Da chapa]]</f>
        <v/>
      </c>
      <c r="K368" s="170">
        <f>Tabela10[[#This Row],[M² CHAPAS]]-Tabela10[[#This Row],[ERP]]</f>
        <v/>
      </c>
      <c r="L368" s="170">
        <f>Tabela10[[#This Row],[DIFERENÇA M²]]/Tabela10[[#This Row],[M² Da chapa]]</f>
        <v/>
      </c>
    </row>
    <row r="369" hidden="1">
      <c r="A369" s="6" t="inlineStr">
        <is>
          <t>-</t>
        </is>
      </c>
      <c r="B369" s="8" t="inlineStr">
        <is>
          <t>M25050</t>
        </is>
      </c>
      <c r="C369" s="56">
        <f>VLOOKUP(LEFT(B369,1),Tabela5[],2,0)</f>
        <v/>
      </c>
      <c r="D369" s="57" t="inlineStr">
        <is>
          <t>EUCADUR NT - 2,5MM</t>
        </is>
      </c>
      <c r="E369" s="170">
        <f>VLOOKUP(Tabela10[[#This Row],[Tipo de Chapa]],Tabela11[],2,FALSE)</f>
        <v/>
      </c>
      <c r="F369" s="169" t="n">
        <v>225</v>
      </c>
      <c r="G369" s="152" t="n">
        <v>0.0577</v>
      </c>
      <c r="H369" s="170">
        <f>Tabela10[[#This Row],[M² Da chapa]]*Tabela10[[#This Row],[Qtde Chapas
Liberadas]]</f>
        <v/>
      </c>
      <c r="I369" s="59" t="n">
        <v>877.7334</v>
      </c>
      <c r="J369" s="59">
        <f>Tabela10[[#This Row],[ERP]]/Tabela10[[#This Row],[M² Da chapa]]</f>
        <v/>
      </c>
      <c r="K369" s="170">
        <f>Tabela10[[#This Row],[M² CHAPAS]]-Tabela10[[#This Row],[ERP]]</f>
        <v/>
      </c>
      <c r="L369" s="170">
        <f>Tabela10[[#This Row],[DIFERENÇA M²]]/Tabela10[[#This Row],[M² Da chapa]]</f>
        <v/>
      </c>
    </row>
    <row r="370" hidden="1">
      <c r="A370" s="6" t="inlineStr">
        <is>
          <t>-</t>
        </is>
      </c>
      <c r="B370" s="8" t="inlineStr">
        <is>
          <t>M25050</t>
        </is>
      </c>
      <c r="C370" s="56">
        <f>VLOOKUP(LEFT(B370,1),Tabela5[],2,0)</f>
        <v/>
      </c>
      <c r="D370" s="57" t="inlineStr">
        <is>
          <t>EUCADUR BR - 2,5MM</t>
        </is>
      </c>
      <c r="E370" s="170">
        <f>VLOOKUP(Tabela10[[#This Row],[Tipo de Chapa]],Tabela11[],2,FALSE)</f>
        <v/>
      </c>
      <c r="F370" s="169" t="n">
        <v>145</v>
      </c>
      <c r="G370" s="152" t="n">
        <v>0.0645</v>
      </c>
      <c r="H370" s="170">
        <f>Tabela10[[#This Row],[M² Da chapa]]*Tabela10[[#This Row],[Qtde Chapas
Liberadas]]</f>
        <v/>
      </c>
      <c r="I370" s="59" t="n">
        <v>830.3498</v>
      </c>
      <c r="J370" s="59">
        <f>Tabela10[[#This Row],[ERP]]/Tabela10[[#This Row],[M² Da chapa]]</f>
        <v/>
      </c>
      <c r="K370" s="170">
        <f>Tabela10[[#This Row],[M² CHAPAS]]-Tabela10[[#This Row],[ERP]]</f>
        <v/>
      </c>
      <c r="L370" s="170">
        <f>Tabela10[[#This Row],[DIFERENÇA M²]]/Tabela10[[#This Row],[M² Da chapa]]</f>
        <v/>
      </c>
    </row>
    <row r="371" hidden="1">
      <c r="A371" s="6" t="inlineStr">
        <is>
          <t>-</t>
        </is>
      </c>
      <c r="B371" s="8" t="inlineStr">
        <is>
          <t>I25051</t>
        </is>
      </c>
      <c r="C371" s="56">
        <f>VLOOKUP(LEFT(B371,1),Tabela5[],2,0)</f>
        <v/>
      </c>
      <c r="D371" s="57" t="inlineStr">
        <is>
          <t>MDF - 15MM</t>
        </is>
      </c>
      <c r="E371" s="170">
        <f>VLOOKUP(Tabela10[[#This Row],[Tipo de Chapa]],Tabela11[],2,FALSE)</f>
        <v/>
      </c>
      <c r="F371" s="169" t="n">
        <v>1249</v>
      </c>
      <c r="G371" s="152" t="n">
        <v>0.06</v>
      </c>
      <c r="H371" s="170">
        <f>Tabela10[[#This Row],[M² Da chapa]]*Tabela10[[#This Row],[Qtde Chapas
Liberadas]]</f>
        <v/>
      </c>
      <c r="I371" s="170" t="n">
        <v>7608.5286</v>
      </c>
      <c r="J371" s="59">
        <f>Tabela10[[#This Row],[ERP]]/Tabela10[[#This Row],[M² Da chapa]]</f>
        <v/>
      </c>
      <c r="K371" s="170">
        <f>Tabela10[[#This Row],[M² CHAPAS]]-Tabela10[[#This Row],[ERP]]</f>
        <v/>
      </c>
      <c r="L371" s="170">
        <f>Tabela10[[#This Row],[DIFERENÇA M²]]/Tabela10[[#This Row],[M² Da chapa]]</f>
        <v/>
      </c>
    </row>
    <row r="372" hidden="1">
      <c r="A372" s="6" t="inlineStr">
        <is>
          <t>-</t>
        </is>
      </c>
      <c r="B372" s="8" t="inlineStr">
        <is>
          <t>I25051</t>
        </is>
      </c>
      <c r="C372" s="56">
        <f>VLOOKUP(LEFT(B372,1),Tabela5[],2,0)</f>
        <v/>
      </c>
      <c r="D372" s="57" t="inlineStr">
        <is>
          <t>MDF - 9MM</t>
        </is>
      </c>
      <c r="E372" s="170">
        <f>VLOOKUP(Tabela10[[#This Row],[Tipo de Chapa]],Tabela11[],2,FALSE)</f>
        <v/>
      </c>
      <c r="F372" s="169" t="n">
        <v>107</v>
      </c>
      <c r="G372" s="152" t="n">
        <v>0.0455</v>
      </c>
      <c r="H372" s="170">
        <f>Tabela10[[#This Row],[M² Da chapa]]*Tabela10[[#This Row],[Qtde Chapas
Liberadas]]</f>
        <v/>
      </c>
      <c r="I372" s="170" t="n">
        <v>514.3779</v>
      </c>
      <c r="J372" s="59">
        <f>Tabela10[[#This Row],[ERP]]/Tabela10[[#This Row],[M² Da chapa]]</f>
        <v/>
      </c>
      <c r="K372" s="170">
        <f>Tabela10[[#This Row],[M² CHAPAS]]-Tabela10[[#This Row],[ERP]]</f>
        <v/>
      </c>
      <c r="L372" s="170">
        <f>Tabela10[[#This Row],[DIFERENÇA M²]]/Tabela10[[#This Row],[M² Da chapa]]</f>
        <v/>
      </c>
    </row>
    <row r="373" hidden="1">
      <c r="A373" s="6" t="inlineStr">
        <is>
          <t>-</t>
        </is>
      </c>
      <c r="B373" s="8" t="inlineStr">
        <is>
          <t>I25051</t>
        </is>
      </c>
      <c r="C373" s="56">
        <f>VLOOKUP(LEFT(B373,1),Tabela5[],2,0)</f>
        <v/>
      </c>
      <c r="D373" s="57" t="inlineStr">
        <is>
          <t>EUCADUR NT - 2,5MM</t>
        </is>
      </c>
      <c r="E373" s="170">
        <f>VLOOKUP(Tabela10[[#This Row],[Tipo de Chapa]],Tabela11[],2,FALSE)</f>
        <v/>
      </c>
      <c r="F373" s="169" t="n">
        <v>187</v>
      </c>
      <c r="G373" s="152" t="n">
        <v>0.0523</v>
      </c>
      <c r="H373" s="170">
        <f>Tabela10[[#This Row],[M² Da chapa]]*Tabela10[[#This Row],[Qtde Chapas
Liberadas]]</f>
        <v/>
      </c>
      <c r="I373" s="170" t="n">
        <v>1166.2086</v>
      </c>
      <c r="J373" s="59">
        <f>Tabela10[[#This Row],[ERP]]/Tabela10[[#This Row],[M² Da chapa]]</f>
        <v/>
      </c>
      <c r="K373" s="170">
        <f>Tabela10[[#This Row],[M² CHAPAS]]-Tabela10[[#This Row],[ERP]]</f>
        <v/>
      </c>
      <c r="L373" s="170">
        <f>Tabela10[[#This Row],[DIFERENÇA M²]]/Tabela10[[#This Row],[M² Da chapa]]</f>
        <v/>
      </c>
    </row>
    <row r="374" hidden="1">
      <c r="A374" s="6" t="inlineStr">
        <is>
          <t>-</t>
        </is>
      </c>
      <c r="B374" s="8" t="inlineStr">
        <is>
          <t>I25051</t>
        </is>
      </c>
      <c r="C374" s="56">
        <f>VLOOKUP(LEFT(B374,1),Tabela5[],2,0)</f>
        <v/>
      </c>
      <c r="D374" s="57" t="inlineStr">
        <is>
          <t>EUCADUR FRJ - 2,5MM</t>
        </is>
      </c>
      <c r="E374" s="170">
        <f>VLOOKUP(Tabela10[[#This Row],[Tipo de Chapa]],Tabela11[],2,FALSE)</f>
        <v/>
      </c>
      <c r="F374" s="169" t="n">
        <v>239</v>
      </c>
      <c r="G374" s="152" t="n">
        <v>0.0437</v>
      </c>
      <c r="H374" s="170">
        <f>Tabela10[[#This Row],[M² Da chapa]]*Tabela10[[#This Row],[Qtde Chapas
Liberadas]]</f>
        <v/>
      </c>
      <c r="I374" s="170" t="n">
        <v>1410.2753</v>
      </c>
      <c r="J374" s="59">
        <f>Tabela10[[#This Row],[ERP]]/Tabela10[[#This Row],[M² Da chapa]]</f>
        <v/>
      </c>
      <c r="K374" s="170">
        <f>Tabela10[[#This Row],[M² CHAPAS]]-Tabela10[[#This Row],[ERP]]</f>
        <v/>
      </c>
      <c r="L374" s="170">
        <f>Tabela10[[#This Row],[DIFERENÇA M²]]/Tabela10[[#This Row],[M² Da chapa]]</f>
        <v/>
      </c>
    </row>
    <row r="375" hidden="1">
      <c r="A375" s="6" t="inlineStr">
        <is>
          <t>-</t>
        </is>
      </c>
      <c r="B375" s="8" t="inlineStr">
        <is>
          <t>I25052</t>
        </is>
      </c>
      <c r="C375" s="56">
        <f>VLOOKUP(LEFT(B375,1),Tabela5[],2,0)</f>
        <v/>
      </c>
      <c r="D375" s="57" t="inlineStr">
        <is>
          <t>MDF - 15MM</t>
        </is>
      </c>
      <c r="E375" s="170">
        <f>VLOOKUP(Tabela10[[#This Row],[Tipo de Chapa]],Tabela11[],2,FALSE)</f>
        <v/>
      </c>
      <c r="F375" s="169" t="n">
        <v>940</v>
      </c>
      <c r="G375" s="152" t="n">
        <v>0.0576</v>
      </c>
      <c r="H375" s="170">
        <f>Tabela10[[#This Row],[M² Da chapa]]*Tabela10[[#This Row],[Qtde Chapas
Liberadas]]</f>
        <v/>
      </c>
      <c r="I375" s="170" t="n">
        <v>5807.588</v>
      </c>
      <c r="J375" s="59">
        <f>Tabela10[[#This Row],[ERP]]/Tabela10[[#This Row],[M² Da chapa]]</f>
        <v/>
      </c>
      <c r="K375" s="170">
        <f>Tabela10[[#This Row],[M² CHAPAS]]-Tabela10[[#This Row],[ERP]]</f>
        <v/>
      </c>
      <c r="L375" s="170">
        <f>Tabela10[[#This Row],[DIFERENÇA M²]]/Tabela10[[#This Row],[M² Da chapa]]</f>
        <v/>
      </c>
    </row>
    <row r="376" hidden="1">
      <c r="A376" s="6" t="inlineStr">
        <is>
          <t>-</t>
        </is>
      </c>
      <c r="B376" s="8" t="inlineStr">
        <is>
          <t>I25052</t>
        </is>
      </c>
      <c r="C376" s="56">
        <f>VLOOKUP(LEFT(B376,1),Tabela5[],2,0)</f>
        <v/>
      </c>
      <c r="D376" s="57" t="inlineStr">
        <is>
          <t>MDF - 9MM</t>
        </is>
      </c>
      <c r="E376" s="170">
        <f>VLOOKUP(Tabela10[[#This Row],[Tipo de Chapa]],Tabela11[],2,FALSE)</f>
        <v/>
      </c>
      <c r="F376" s="169" t="n">
        <v>88</v>
      </c>
      <c r="G376" s="152" t="n">
        <v>0.028</v>
      </c>
      <c r="H376" s="170">
        <f>Tabela10[[#This Row],[M² Da chapa]]*Tabela10[[#This Row],[Qtde Chapas
Liberadas]]</f>
        <v/>
      </c>
      <c r="I376" s="170" t="n">
        <v>445.1311</v>
      </c>
      <c r="J376" s="59">
        <f>Tabela10[[#This Row],[ERP]]/Tabela10[[#This Row],[M² Da chapa]]</f>
        <v/>
      </c>
      <c r="K376" s="170">
        <f>Tabela10[[#This Row],[M² CHAPAS]]-Tabela10[[#This Row],[ERP]]</f>
        <v/>
      </c>
      <c r="L376" s="170">
        <f>Tabela10[[#This Row],[DIFERENÇA M²]]/Tabela10[[#This Row],[M² Da chapa]]</f>
        <v/>
      </c>
    </row>
    <row r="377" hidden="1">
      <c r="A377" s="6" t="inlineStr">
        <is>
          <t>-</t>
        </is>
      </c>
      <c r="B377" s="8" t="inlineStr">
        <is>
          <t>I25052</t>
        </is>
      </c>
      <c r="C377" s="56">
        <f>VLOOKUP(LEFT(B377,1),Tabela5[],2,0)</f>
        <v/>
      </c>
      <c r="D377" s="57" t="inlineStr">
        <is>
          <t>EUCADUR NT - 2,5MM</t>
        </is>
      </c>
      <c r="E377" s="170">
        <f>VLOOKUP(Tabela10[[#This Row],[Tipo de Chapa]],Tabela11[],2,FALSE)</f>
        <v/>
      </c>
      <c r="F377" s="169" t="n">
        <v>456</v>
      </c>
      <c r="G377" s="152" t="n">
        <v>0.0556</v>
      </c>
      <c r="H377" s="170">
        <f>Tabela10[[#This Row],[M² Da chapa]]*Tabela10[[#This Row],[Qtde Chapas
Liberadas]]</f>
        <v/>
      </c>
      <c r="I377" s="170" t="n">
        <v>2026.6333</v>
      </c>
      <c r="J377" s="59">
        <f>Tabela10[[#This Row],[ERP]]/Tabela10[[#This Row],[M² Da chapa]]</f>
        <v/>
      </c>
      <c r="K377" s="170">
        <f>Tabela10[[#This Row],[M² CHAPAS]]-Tabela10[[#This Row],[ERP]]</f>
        <v/>
      </c>
      <c r="L377" s="170">
        <f>Tabela10[[#This Row],[DIFERENÇA M²]]/Tabela10[[#This Row],[M² Da chapa]]</f>
        <v/>
      </c>
    </row>
    <row r="378" hidden="1">
      <c r="A378" s="6" t="inlineStr">
        <is>
          <t>-</t>
        </is>
      </c>
      <c r="B378" s="8" t="inlineStr">
        <is>
          <t>I25053</t>
        </is>
      </c>
      <c r="C378" s="56">
        <f>VLOOKUP(LEFT(B378,1),Tabela5[],2,0)</f>
        <v/>
      </c>
      <c r="D378" s="57" t="inlineStr">
        <is>
          <t>MDF - 15MM</t>
        </is>
      </c>
      <c r="E378" s="170">
        <f>VLOOKUP(Tabela10[[#This Row],[Tipo de Chapa]],Tabela11[],2,FALSE)</f>
        <v/>
      </c>
      <c r="F378" s="77" t="n">
        <v>1036</v>
      </c>
      <c r="G378" s="152" t="n">
        <v>0.0646</v>
      </c>
      <c r="H378" s="170">
        <f>Tabela10[[#This Row],[M² Da chapa]]*Tabela10[[#This Row],[Qtde Chapas
Liberadas]]</f>
        <v/>
      </c>
      <c r="I378" s="170" t="n">
        <v>6402.8952</v>
      </c>
      <c r="J378" s="59">
        <f>Tabela10[[#This Row],[ERP]]/Tabela10[[#This Row],[M² Da chapa]]</f>
        <v/>
      </c>
      <c r="K378" s="170">
        <f>Tabela10[[#This Row],[M² CHAPAS]]-Tabela10[[#This Row],[ERP]]</f>
        <v/>
      </c>
      <c r="L378" s="170">
        <f>Tabela10[[#This Row],[DIFERENÇA M²]]/Tabela10[[#This Row],[M² Da chapa]]</f>
        <v/>
      </c>
    </row>
    <row r="379" hidden="1">
      <c r="A379" s="6" t="inlineStr">
        <is>
          <t>-</t>
        </is>
      </c>
      <c r="B379" s="8" t="inlineStr">
        <is>
          <t>I25053</t>
        </is>
      </c>
      <c r="C379" s="56">
        <f>VLOOKUP(LEFT(B379,1),Tabela5[],2,0)</f>
        <v/>
      </c>
      <c r="D379" s="57" t="inlineStr">
        <is>
          <t>MDF - 9MM</t>
        </is>
      </c>
      <c r="E379" s="170">
        <f>VLOOKUP(Tabela10[[#This Row],[Tipo de Chapa]],Tabela11[],2,FALSE)</f>
        <v/>
      </c>
      <c r="F379" s="169" t="n">
        <v>44</v>
      </c>
      <c r="G379" s="152" t="n">
        <v>0.028</v>
      </c>
      <c r="H379" s="170">
        <f>Tabela10[[#This Row],[M² Da chapa]]*Tabela10[[#This Row],[Qtde Chapas
Liberadas]]</f>
        <v/>
      </c>
      <c r="I379" s="170" t="n">
        <v>222.5655</v>
      </c>
      <c r="J379" s="59">
        <f>Tabela10[[#This Row],[ERP]]/Tabela10[[#This Row],[M² Da chapa]]</f>
        <v/>
      </c>
      <c r="K379" s="170">
        <f>Tabela10[[#This Row],[M² CHAPAS]]-Tabela10[[#This Row],[ERP]]</f>
        <v/>
      </c>
      <c r="L379" s="170">
        <f>Tabela10[[#This Row],[DIFERENÇA M²]]/Tabela10[[#This Row],[M² Da chapa]]</f>
        <v/>
      </c>
    </row>
    <row r="380" hidden="1">
      <c r="A380" s="6" t="inlineStr">
        <is>
          <t>-</t>
        </is>
      </c>
      <c r="B380" s="8" t="inlineStr">
        <is>
          <t>I25053</t>
        </is>
      </c>
      <c r="C380" s="56">
        <f>VLOOKUP(LEFT(B380,1),Tabela5[],2,0)</f>
        <v/>
      </c>
      <c r="D380" s="57" t="inlineStr">
        <is>
          <t>EUCADUR NT - 2,5MM</t>
        </is>
      </c>
      <c r="E380" s="170">
        <f>VLOOKUP(Tabela10[[#This Row],[Tipo de Chapa]],Tabela11[],2,FALSE)</f>
        <v/>
      </c>
      <c r="F380" s="169" t="n">
        <v>316</v>
      </c>
      <c r="G380" s="152" t="n">
        <v>0.0612</v>
      </c>
      <c r="H380" s="170">
        <f>Tabela10[[#This Row],[M² Da chapa]]*Tabela10[[#This Row],[Qtde Chapas
Liberadas]]</f>
        <v/>
      </c>
      <c r="I380" s="170" t="n">
        <v>2124.4022</v>
      </c>
      <c r="J380" s="59">
        <f>Tabela10[[#This Row],[ERP]]/Tabela10[[#This Row],[M² Da chapa]]</f>
        <v/>
      </c>
      <c r="K380" s="170">
        <f>Tabela10[[#This Row],[M² CHAPAS]]-Tabela10[[#This Row],[ERP]]</f>
        <v/>
      </c>
      <c r="L380" s="170">
        <f>Tabela10[[#This Row],[DIFERENÇA M²]]/Tabela10[[#This Row],[M² Da chapa]]</f>
        <v/>
      </c>
    </row>
    <row r="381" hidden="1">
      <c r="A381" s="6" t="inlineStr">
        <is>
          <t>-</t>
        </is>
      </c>
      <c r="B381" s="8" t="inlineStr">
        <is>
          <t>L2600101 | L2600102 | L2600103 | L2600104</t>
        </is>
      </c>
      <c r="C381" s="56">
        <f>VLOOKUP(LEFT(B381,1),Tabela5[],2,0)</f>
        <v/>
      </c>
      <c r="D381" s="57" t="inlineStr">
        <is>
          <t>MDF - 15MM</t>
        </is>
      </c>
      <c r="E381" s="170">
        <f>VLOOKUP(Tabela10[[#This Row],[Tipo de Chapa]],Tabela11[],2,FALSE)</f>
        <v/>
      </c>
      <c r="F381" s="169" t="n">
        <v>462</v>
      </c>
      <c r="G381" s="152" t="n">
        <v>0.058</v>
      </c>
      <c r="H381" s="170">
        <f>Tabela10[[#This Row],[M² Da chapa]]*Tabela10[[#This Row],[Qtde Chapas
Liberadas]]</f>
        <v/>
      </c>
      <c r="J381" s="59">
        <f>Tabela10[[#This Row],[ERP]]/Tabela10[[#This Row],[M² Da chapa]]</f>
        <v/>
      </c>
      <c r="K381" s="170">
        <f>Tabela10[[#This Row],[M² CHAPAS]]-Tabela10[[#This Row],[ERP]]</f>
        <v/>
      </c>
      <c r="L381" s="170">
        <f>Tabela10[[#This Row],[DIFERENÇA M²]]/Tabela10[[#This Row],[M² Da chapa]]</f>
        <v/>
      </c>
    </row>
    <row r="382" hidden="1">
      <c r="A382" s="6" t="inlineStr">
        <is>
          <t>-</t>
        </is>
      </c>
      <c r="B382" s="8" t="inlineStr">
        <is>
          <t>L2600101 | L2600102 | L2600103 | L2600104</t>
        </is>
      </c>
      <c r="C382" s="56">
        <f>VLOOKUP(LEFT(B382,1),Tabela5[],2,0)</f>
        <v/>
      </c>
      <c r="D382" s="57" t="inlineStr">
        <is>
          <t>SOBRAS MDF "CRÉDITO"</t>
        </is>
      </c>
      <c r="E382" s="170">
        <f>VLOOKUP(Tabela10[[#This Row],[Tipo de Chapa]],Tabela11[],2,FALSE)</f>
        <v/>
      </c>
      <c r="F382" s="169" t="inlineStr">
        <is>
          <t>-</t>
        </is>
      </c>
      <c r="G382" s="169" t="inlineStr">
        <is>
          <t>-</t>
        </is>
      </c>
      <c r="H382" s="170">
        <f>0.4*0.09*113</f>
        <v/>
      </c>
      <c r="I382" s="170" t="inlineStr">
        <is>
          <t>-</t>
        </is>
      </c>
      <c r="J382" s="170" t="inlineStr">
        <is>
          <t>-</t>
        </is>
      </c>
      <c r="K382" s="170" t="inlineStr">
        <is>
          <t>-</t>
        </is>
      </c>
      <c r="L382" s="170" t="inlineStr">
        <is>
          <t>-</t>
        </is>
      </c>
    </row>
    <row r="383" hidden="1">
      <c r="A383" s="6" t="inlineStr">
        <is>
          <t>-</t>
        </is>
      </c>
      <c r="B383" s="8" t="inlineStr">
        <is>
          <t>L2600101</t>
        </is>
      </c>
      <c r="C383" s="56">
        <f>VLOOKUP(LEFT(B383,1),Tabela5[],2,0)</f>
        <v/>
      </c>
      <c r="D383" s="57" t="inlineStr">
        <is>
          <t>MDF - 25MM 2750x2100</t>
        </is>
      </c>
      <c r="E383" s="170">
        <f>VLOOKUP(Tabela10[[#This Row],[Tipo de Chapa]],Tabela11[],2,FALSE)</f>
        <v/>
      </c>
      <c r="F383" s="169" t="n">
        <v>50</v>
      </c>
      <c r="G383" s="152" t="n">
        <v>0.045</v>
      </c>
      <c r="H383" s="170">
        <f>Tabela10[[#This Row],[M² Da chapa]]*Tabela10[[#This Row],[Qtde Chapas
Liberadas]]</f>
        <v/>
      </c>
      <c r="J383" s="59">
        <f>Tabela10[[#This Row],[ERP]]/Tabela10[[#This Row],[M² Da chapa]]</f>
        <v/>
      </c>
      <c r="K383" s="170">
        <f>Tabela10[[#This Row],[M² CHAPAS]]-Tabela10[[#This Row],[ERP]]</f>
        <v/>
      </c>
      <c r="L383" s="170">
        <f>Tabela10[[#This Row],[DIFERENÇA M²]]/Tabela10[[#This Row],[M² Da chapa]]</f>
        <v/>
      </c>
    </row>
    <row r="384" hidden="1">
      <c r="A384" s="6" t="inlineStr">
        <is>
          <t>-</t>
        </is>
      </c>
      <c r="B384" s="8" t="inlineStr">
        <is>
          <t>M25049</t>
        </is>
      </c>
      <c r="C384" s="56">
        <f>VLOOKUP(LEFT(B384,1),Tabela5[],2,0)</f>
        <v/>
      </c>
      <c r="D384" s="57" t="inlineStr">
        <is>
          <t>MDF - 9MM</t>
        </is>
      </c>
      <c r="E384" s="170">
        <f>VLOOKUP(Tabela10[[#This Row],[Tipo de Chapa]],Tabela11[],2,FALSE)</f>
        <v/>
      </c>
      <c r="F384" s="169" t="n">
        <v>43</v>
      </c>
      <c r="G384" s="152" t="n">
        <v>0.0524</v>
      </c>
      <c r="H384" s="170">
        <f>Tabela10[[#This Row],[M² Da chapa]]*Tabela10[[#This Row],[Qtde Chapas
Liberadas]]</f>
        <v/>
      </c>
      <c r="I384" s="170" t="n">
        <v>190.1412</v>
      </c>
      <c r="J384" s="59">
        <f>Tabela10[[#This Row],[ERP]]/Tabela10[[#This Row],[M² Da chapa]]</f>
        <v/>
      </c>
      <c r="K384" s="170">
        <f>Tabela10[[#This Row],[M² CHAPAS]]-Tabela10[[#This Row],[ERP]]</f>
        <v/>
      </c>
      <c r="L384" s="170">
        <f>Tabela10[[#This Row],[DIFERENÇA M²]]/Tabela10[[#This Row],[M² Da chapa]]</f>
        <v/>
      </c>
    </row>
    <row r="385" hidden="1">
      <c r="A385" s="6" t="inlineStr">
        <is>
          <t>-</t>
        </is>
      </c>
      <c r="B385" s="8" t="inlineStr">
        <is>
          <t>M25049</t>
        </is>
      </c>
      <c r="C385" s="56">
        <f>VLOOKUP(LEFT(B385,1),Tabela5[],2,0)</f>
        <v/>
      </c>
      <c r="D385" s="57" t="inlineStr">
        <is>
          <t>MDF - 18MM 2750X1850</t>
        </is>
      </c>
      <c r="E385" s="170">
        <f>VLOOKUP(Tabela10[[#This Row],[Tipo de Chapa]],Tabela11[],2,FALSE)</f>
        <v/>
      </c>
      <c r="F385" s="169" t="n">
        <v>6</v>
      </c>
      <c r="G385" s="152" t="n">
        <v>0.1357</v>
      </c>
      <c r="H385" s="170">
        <f>Tabela10[[#This Row],[M² Da chapa]]*Tabela10[[#This Row],[Qtde Chapas
Liberadas]]</f>
        <v/>
      </c>
      <c r="I385" s="170" t="n">
        <v>30.967</v>
      </c>
      <c r="J385" s="59">
        <f>Tabela10[[#This Row],[ERP]]/Tabela10[[#This Row],[M² Da chapa]]</f>
        <v/>
      </c>
      <c r="K385" s="170">
        <f>Tabela10[[#This Row],[M² CHAPAS]]-Tabela10[[#This Row],[ERP]]</f>
        <v/>
      </c>
      <c r="L385" s="170">
        <f>Tabela10[[#This Row],[DIFERENÇA M²]]/Tabela10[[#This Row],[M² Da chapa]]</f>
        <v/>
      </c>
    </row>
    <row r="386" hidden="1">
      <c r="A386" s="6" t="inlineStr">
        <is>
          <t>-</t>
        </is>
      </c>
      <c r="B386" s="8" t="inlineStr">
        <is>
          <t>V2521701 - TAMPO 120</t>
        </is>
      </c>
      <c r="C386" s="56">
        <f>VLOOKUP(LEFT(B386,1),Tabela5[],2,0)</f>
        <v/>
      </c>
      <c r="D386" s="57" t="inlineStr">
        <is>
          <t>MDF - 25MM 2750x2200</t>
        </is>
      </c>
      <c r="E386" s="170">
        <f>VLOOKUP(Tabela10[[#This Row],[Tipo de Chapa]],Tabela11[],2,FALSE)</f>
        <v/>
      </c>
      <c r="F386" s="169" t="n">
        <v>9</v>
      </c>
      <c r="G386" s="152" t="n">
        <v>0.104</v>
      </c>
      <c r="H386" s="170">
        <f>Tabela10[[#This Row],[M² Da chapa]]*Tabela10[[#This Row],[Qtde Chapas
Liberadas]]</f>
        <v/>
      </c>
      <c r="J386" s="59">
        <f>Tabela10[[#This Row],[ERP]]/Tabela10[[#This Row],[M² Da chapa]]</f>
        <v/>
      </c>
      <c r="K386" s="170">
        <f>Tabela10[[#This Row],[M² CHAPAS]]-Tabela10[[#This Row],[ERP]]</f>
        <v/>
      </c>
      <c r="L386" s="170">
        <f>Tabela10[[#This Row],[DIFERENÇA M²]]/Tabela10[[#This Row],[M² Da chapa]]</f>
        <v/>
      </c>
    </row>
    <row r="387" hidden="1" ht="43.2" customHeight="1">
      <c r="A387" s="6" t="inlineStr">
        <is>
          <t>-</t>
        </is>
      </c>
      <c r="B387" s="8" t="inlineStr">
        <is>
          <t>V2519803-V2519903-V2520003-V2520103-V2520203-V2520303-V2520403-V2520503-V2520603 | ASSENTO RAINHA</t>
        </is>
      </c>
      <c r="C387" s="56">
        <f>VLOOKUP(LEFT(B387,1),Tabela5[],2,0)</f>
        <v/>
      </c>
      <c r="D387" s="57" t="inlineStr">
        <is>
          <t>CAPA MDF - 15MM</t>
        </is>
      </c>
      <c r="E387" s="170">
        <f>VLOOKUP(Tabela10[[#This Row],[Tipo de Chapa]],Tabela11[],2,FALSE)</f>
        <v/>
      </c>
      <c r="F387" s="57" t="n">
        <v>66</v>
      </c>
      <c r="G387" s="152" t="n">
        <v>0.1067</v>
      </c>
      <c r="H387" s="170">
        <f>Tabela10[[#This Row],[M² Da chapa]]*Tabela10[[#This Row],[Qtde Chapas
Liberadas]]</f>
        <v/>
      </c>
      <c r="I387" s="170" t="n">
        <v>397.9451</v>
      </c>
      <c r="J387" s="59">
        <f>Tabela10[[#This Row],[ERP]]/Tabela10[[#This Row],[M² Da chapa]]</f>
        <v/>
      </c>
      <c r="K387" s="170">
        <f>Tabela10[[#This Row],[M² CHAPAS]]-Tabela10[[#This Row],[ERP]]</f>
        <v/>
      </c>
      <c r="L387" s="170">
        <f>Tabela10[[#This Row],[DIFERENÇA M²]]/Tabela10[[#This Row],[M² Da chapa]]</f>
        <v/>
      </c>
    </row>
    <row r="388" hidden="1">
      <c r="A388" s="6" t="inlineStr">
        <is>
          <t>-</t>
        </is>
      </c>
      <c r="B388" s="8" t="inlineStr">
        <is>
          <t>V2517103-V2517503 | ASSENTO LADY</t>
        </is>
      </c>
      <c r="C388" s="56">
        <f>VLOOKUP(LEFT(B388,1),Tabela5[],2,0)</f>
        <v/>
      </c>
      <c r="D388" s="57" t="inlineStr">
        <is>
          <t>CAPA MDF - 15MM</t>
        </is>
      </c>
      <c r="E388" s="170">
        <f>VLOOKUP(Tabela10[[#This Row],[Tipo de Chapa]],Tabela11[],2,FALSE)</f>
        <v/>
      </c>
      <c r="F388" s="57" t="n">
        <v>11</v>
      </c>
      <c r="G388" s="152" t="n">
        <v>0.0902</v>
      </c>
      <c r="H388" s="170">
        <f>Tabela10[[#This Row],[M² Da chapa]]*Tabela10[[#This Row],[Qtde Chapas
Liberadas]]</f>
        <v/>
      </c>
      <c r="I388" s="170" t="n">
        <v>64.5064</v>
      </c>
      <c r="J388" s="59">
        <f>Tabela10[[#This Row],[ERP]]/Tabela10[[#This Row],[M² Da chapa]]</f>
        <v/>
      </c>
      <c r="K388" s="170">
        <f>Tabela10[[#This Row],[M² CHAPAS]]-Tabela10[[#This Row],[ERP]]</f>
        <v/>
      </c>
      <c r="L388" s="170">
        <f>Tabela10[[#This Row],[DIFERENÇA M²]]/Tabela10[[#This Row],[M² Da chapa]]</f>
        <v/>
      </c>
    </row>
    <row r="389">
      <c r="A389" s="6" t="n">
        <v>46027</v>
      </c>
      <c r="B389" s="8" t="inlineStr">
        <is>
          <t>N25095</t>
        </is>
      </c>
      <c r="C389" s="168">
        <f>VLOOKUP(LEFT(B389,1),Tabela5[],2,0)</f>
        <v/>
      </c>
      <c r="D389" s="57" t="inlineStr">
        <is>
          <t>EUCADUR NT - 2,5MM</t>
        </is>
      </c>
      <c r="E389" s="169">
        <f>VLOOKUP(Tabela10[[#This Row],[Tipo de Chapa]],Tabela11[],2,FALSE)</f>
        <v/>
      </c>
      <c r="F389" s="151" t="n">
        <v>163</v>
      </c>
      <c r="G389" s="152" t="n">
        <v>0.0683</v>
      </c>
      <c r="H389" s="170">
        <f>Tabela10[[#This Row],[M² Da chapa]]*Tabela10[[#This Row],[Qtde Chapas
Liberadas]]</f>
        <v/>
      </c>
      <c r="I389" s="170" t="n">
        <v>1564.1453</v>
      </c>
      <c r="J389" s="59">
        <f>Tabela10[[#This Row],[ERP]]/Tabela10[[#This Row],[M² Da chapa]]</f>
        <v/>
      </c>
      <c r="K389" s="170">
        <f>Tabela10[[#This Row],[M² CHAPAS]]-Tabela10[[#This Row],[ERP]]</f>
        <v/>
      </c>
      <c r="L389" s="170">
        <f>Tabela10[[#This Row],[DIFERENÇA M²]]/Tabela10[[#This Row],[M² Da chapa]]</f>
        <v/>
      </c>
    </row>
    <row r="390">
      <c r="A390" s="6" t="n">
        <v>46027</v>
      </c>
      <c r="B390" s="8" t="inlineStr">
        <is>
          <t>N25095</t>
        </is>
      </c>
      <c r="C390" s="168">
        <f>VLOOKUP(LEFT(B390,1),Tabela5[],2,0)</f>
        <v/>
      </c>
      <c r="D390" s="57" t="inlineStr">
        <is>
          <t>SOBRAS DE TERCEIROS NT</t>
        </is>
      </c>
      <c r="E390" s="169">
        <f>VLOOKUP(Tabela10[[#This Row],[Tipo de Chapa]],Tabela11[],2,FALSE)</f>
        <v/>
      </c>
      <c r="F390" s="151" t="inlineStr">
        <is>
          <t>-</t>
        </is>
      </c>
      <c r="G390" s="152" t="inlineStr">
        <is>
          <t>-</t>
        </is>
      </c>
      <c r="H390" s="170" t="n">
        <v>126.779765</v>
      </c>
      <c r="I390" s="151" t="inlineStr">
        <is>
          <t>-</t>
        </is>
      </c>
      <c r="J390" s="151" t="inlineStr">
        <is>
          <t>-</t>
        </is>
      </c>
      <c r="K390" s="151" t="inlineStr">
        <is>
          <t>-</t>
        </is>
      </c>
      <c r="L390" s="151" t="inlineStr">
        <is>
          <t>-</t>
        </is>
      </c>
    </row>
    <row r="391">
      <c r="A391" s="6" t="n">
        <v>46028</v>
      </c>
      <c r="B391" s="8" t="inlineStr">
        <is>
          <t>N25095</t>
        </is>
      </c>
      <c r="C391" s="168">
        <f>VLOOKUP(LEFT(B391,1),Tabela5[],2,0)</f>
        <v/>
      </c>
      <c r="D391" s="57" t="inlineStr">
        <is>
          <t>MDF - 15MM</t>
        </is>
      </c>
      <c r="E391" s="169">
        <f>VLOOKUP(Tabela10[[#This Row],[Tipo de Chapa]],Tabela11[],2,FALSE)</f>
        <v/>
      </c>
      <c r="F391" s="151">
        <f>802+2</f>
        <v/>
      </c>
      <c r="G391" s="152" t="n">
        <v>0.0575</v>
      </c>
      <c r="H391" s="170">
        <f>Tabela10[[#This Row],[M² Da chapa]]*Tabela10[[#This Row],[Qtde Chapas
Liberadas]]</f>
        <v/>
      </c>
      <c r="I391" s="170" t="n">
        <v>4992.6166</v>
      </c>
      <c r="J391" s="59">
        <f>Tabela10[[#This Row],[ERP]]/Tabela10[[#This Row],[M² Da chapa]]</f>
        <v/>
      </c>
      <c r="K391" s="170">
        <f>Tabela10[[#This Row],[M² CHAPAS]]-Tabela10[[#This Row],[ERP]]</f>
        <v/>
      </c>
      <c r="L391" s="170">
        <f>Tabela10[[#This Row],[DIFERENÇA M²]]/Tabela10[[#This Row],[M² Da chapa]]</f>
        <v/>
      </c>
    </row>
    <row r="392" hidden="1">
      <c r="A392" s="6" t="n">
        <v>46028</v>
      </c>
      <c r="B392" s="8" t="inlineStr">
        <is>
          <t>L2600201 | L2600202</t>
        </is>
      </c>
      <c r="C392" s="168">
        <f>VLOOKUP(LEFT(B392,1),Tabela5[],2,0)</f>
        <v/>
      </c>
      <c r="D392" s="57" t="inlineStr">
        <is>
          <t>MDF - 15MM</t>
        </is>
      </c>
      <c r="E392" s="169">
        <f>VLOOKUP(Tabela10[[#This Row],[Tipo de Chapa]],Tabela11[],2,FALSE)</f>
        <v/>
      </c>
      <c r="F392" s="151">
        <f>174+156</f>
        <v/>
      </c>
      <c r="G392" s="152" t="n">
        <v>0.0517</v>
      </c>
      <c r="H392" s="170">
        <f>Tabela10[[#This Row],[M² Da chapa]]*Tabela10[[#This Row],[Qtde Chapas
Liberadas]]</f>
        <v/>
      </c>
      <c r="I392" s="170" t="n">
        <v>2021.388</v>
      </c>
      <c r="J392" s="59">
        <f>Tabela10[[#This Row],[ERP]]/Tabela10[[#This Row],[M² Da chapa]]</f>
        <v/>
      </c>
      <c r="K392" s="170">
        <f>Tabela10[[#This Row],[M² CHAPAS]]-Tabela10[[#This Row],[ERP]]</f>
        <v/>
      </c>
      <c r="L392" s="170">
        <f>Tabela10[[#This Row],[DIFERENÇA M²]]/Tabela10[[#This Row],[M² Da chapa]]</f>
        <v/>
      </c>
    </row>
    <row r="393" hidden="1">
      <c r="A393" s="6" t="n">
        <v>46029</v>
      </c>
      <c r="B393" s="8" t="inlineStr">
        <is>
          <t>I25054</t>
        </is>
      </c>
      <c r="C393" s="168">
        <f>VLOOKUP(LEFT(B393,1),Tabela5[],2,0)</f>
        <v/>
      </c>
      <c r="D393" s="57" t="inlineStr">
        <is>
          <t>MDF - 15MM</t>
        </is>
      </c>
      <c r="E393" s="169">
        <f>VLOOKUP(Tabela10[[#This Row],[Tipo de Chapa]],Tabela11[],2,FALSE)</f>
        <v/>
      </c>
      <c r="F393" s="151" t="n">
        <v>812</v>
      </c>
      <c r="G393" s="152" t="n">
        <v>0.0617</v>
      </c>
      <c r="H393" s="170">
        <f>Tabela10[[#This Row],[M² Da chapa]]*Tabela10[[#This Row],[Qtde Chapas
Liberadas]]</f>
        <v/>
      </c>
      <c r="I393" s="170" t="n">
        <v>4681.4812</v>
      </c>
      <c r="J393" s="59">
        <f>Tabela10[[#This Row],[ERP]]/Tabela10[[#This Row],[M² Da chapa]]</f>
        <v/>
      </c>
      <c r="K393" s="170">
        <f>Tabela10[[#This Row],[M² CHAPAS]]-Tabela10[[#This Row],[ERP]]</f>
        <v/>
      </c>
      <c r="L393" s="170">
        <f>Tabela10[[#This Row],[DIFERENÇA M²]]/Tabela10[[#This Row],[M² Da chapa]]</f>
        <v/>
      </c>
    </row>
    <row r="394" hidden="1">
      <c r="A394" s="6" t="n">
        <v>46029</v>
      </c>
      <c r="B394" s="8" t="inlineStr">
        <is>
          <t>I25054</t>
        </is>
      </c>
      <c r="C394" s="168">
        <f>VLOOKUP(LEFT(B394,1),Tabela5[],2,0)</f>
        <v/>
      </c>
      <c r="D394" s="57" t="inlineStr">
        <is>
          <t>MDF - 9MM</t>
        </is>
      </c>
      <c r="E394" s="169">
        <f>VLOOKUP(Tabela10[[#This Row],[Tipo de Chapa]],Tabela11[],2,FALSE)</f>
        <v/>
      </c>
      <c r="F394" s="151" t="n">
        <v>87</v>
      </c>
      <c r="G394" s="152" t="n">
        <v>0.0488</v>
      </c>
      <c r="H394" s="170">
        <f>Tabela10[[#This Row],[M² Da chapa]]*Tabela10[[#This Row],[Qtde Chapas
Liberadas]]</f>
        <v/>
      </c>
      <c r="I394" s="170" t="n">
        <v>594.5700000000001</v>
      </c>
      <c r="J394" s="59">
        <f>Tabela10[[#This Row],[ERP]]/Tabela10[[#This Row],[M² Da chapa]]</f>
        <v/>
      </c>
      <c r="K394" s="170">
        <f>Tabela10[[#This Row],[M² CHAPAS]]-Tabela10[[#This Row],[ERP]]</f>
        <v/>
      </c>
      <c r="L394" s="170">
        <f>Tabela10[[#This Row],[DIFERENÇA M²]]/Tabela10[[#This Row],[M² Da chapa]]</f>
        <v/>
      </c>
    </row>
    <row r="395" hidden="1">
      <c r="A395" s="6" t="n">
        <v>46030</v>
      </c>
      <c r="B395" s="8" t="inlineStr">
        <is>
          <t>I25054</t>
        </is>
      </c>
      <c r="C395" s="168">
        <f>VLOOKUP(LEFT(B395,1),Tabela5[],2,0)</f>
        <v/>
      </c>
      <c r="D395" s="57" t="inlineStr">
        <is>
          <t>EUCADUR FRJ - 2,5MM</t>
        </is>
      </c>
      <c r="E395" s="169">
        <f>VLOOKUP(Tabela10[[#This Row],[Tipo de Chapa]],Tabela11[],2,FALSE)</f>
        <v/>
      </c>
      <c r="F395" s="151" t="n">
        <v>134</v>
      </c>
      <c r="G395" s="152" t="n">
        <v>0.06660000000000001</v>
      </c>
      <c r="H395" s="170">
        <f>Tabela10[[#This Row],[M² Da chapa]]*Tabela10[[#This Row],[Qtde Chapas
Liberadas]]</f>
        <v/>
      </c>
      <c r="I395" s="170" t="n">
        <v>731.4891</v>
      </c>
      <c r="J395" s="59">
        <f>Tabela10[[#This Row],[ERP]]/Tabela10[[#This Row],[M² Da chapa]]</f>
        <v/>
      </c>
      <c r="K395" s="170">
        <f>Tabela10[[#This Row],[M² CHAPAS]]-Tabela10[[#This Row],[ERP]]</f>
        <v/>
      </c>
      <c r="L395" s="170">
        <f>Tabela10[[#This Row],[DIFERENÇA M²]]/Tabela10[[#This Row],[M² Da chapa]]</f>
        <v/>
      </c>
    </row>
    <row r="396" hidden="1">
      <c r="A396" s="6" t="n">
        <v>46030</v>
      </c>
      <c r="B396" s="8" t="inlineStr">
        <is>
          <t>I25054</t>
        </is>
      </c>
      <c r="C396" s="168">
        <f>VLOOKUP(LEFT(B396,1),Tabela5[],2,0)</f>
        <v/>
      </c>
      <c r="D396" s="57" t="inlineStr">
        <is>
          <t>EUCADUR NT - 2,5MM</t>
        </is>
      </c>
      <c r="E396" s="169">
        <f>VLOOKUP(Tabela10[[#This Row],[Tipo de Chapa]],Tabela11[],2,FALSE)</f>
        <v/>
      </c>
      <c r="F396" s="151" t="n">
        <v>140</v>
      </c>
      <c r="G396" s="152" t="n">
        <v>0.06320000000000001</v>
      </c>
      <c r="H396" s="170">
        <f>Tabela10[[#This Row],[M² Da chapa]]*Tabela10[[#This Row],[Qtde Chapas
Liberadas]]</f>
        <v/>
      </c>
      <c r="I396" s="170" t="n">
        <v>937.2989</v>
      </c>
      <c r="J396" s="59">
        <f>Tabela10[[#This Row],[ERP]]/Tabela10[[#This Row],[M² Da chapa]]</f>
        <v/>
      </c>
      <c r="K396" s="170">
        <f>Tabela10[[#This Row],[M² CHAPAS]]-Tabela10[[#This Row],[ERP]]</f>
        <v/>
      </c>
      <c r="L396" s="170">
        <f>Tabela10[[#This Row],[DIFERENÇA M²]]/Tabela10[[#This Row],[M² Da chapa]]</f>
        <v/>
      </c>
    </row>
    <row r="397" hidden="1">
      <c r="A397" s="6" t="n">
        <v>46029</v>
      </c>
      <c r="B397" s="8" t="inlineStr">
        <is>
          <t>L2600201</t>
        </is>
      </c>
      <c r="C397" s="168">
        <f>VLOOKUP(LEFT(B397,1),Tabela5[],2,0)</f>
        <v/>
      </c>
      <c r="D397" s="57" t="inlineStr">
        <is>
          <t>MDF - 25MM 2750x2100</t>
        </is>
      </c>
      <c r="E397" s="169">
        <f>VLOOKUP(Tabela10[[#This Row],[Tipo de Chapa]],Tabela11[],2,FALSE)</f>
        <v/>
      </c>
      <c r="F397" s="151" t="n">
        <v>50</v>
      </c>
      <c r="G397" s="152" t="n">
        <v>0.0185</v>
      </c>
      <c r="H397" s="170">
        <f>Tabela10[[#This Row],[M² Da chapa]]*Tabela10[[#This Row],[Qtde Chapas
Liberadas]]</f>
        <v/>
      </c>
      <c r="I397" s="170" t="n">
        <v>288.1965</v>
      </c>
      <c r="J397" s="59">
        <f>Tabela10[[#This Row],[ERP]]/Tabela10[[#This Row],[M² Da chapa]]</f>
        <v/>
      </c>
      <c r="K397" s="170">
        <f>Tabela10[[#This Row],[M² CHAPAS]]-Tabela10[[#This Row],[ERP]]</f>
        <v/>
      </c>
      <c r="L397" s="170">
        <f>Tabela10[[#This Row],[DIFERENÇA M²]]/Tabela10[[#This Row],[M² Da chapa]]</f>
        <v/>
      </c>
    </row>
    <row r="398" hidden="1">
      <c r="A398" s="6" t="n">
        <v>45664</v>
      </c>
      <c r="B398" s="8" t="inlineStr">
        <is>
          <t>L2600101 | L2600103 | L2600104</t>
        </is>
      </c>
      <c r="C398" s="168">
        <f>VLOOKUP(LEFT(B398,1),Tabela5[],2,0)</f>
        <v/>
      </c>
      <c r="D398" s="57" t="inlineStr">
        <is>
          <t>EUCADUR NT - 2,5MM</t>
        </is>
      </c>
      <c r="E398" s="169">
        <f>VLOOKUP(Tabela10[[#This Row],[Tipo de Chapa]],Tabela11[],2,FALSE)</f>
        <v/>
      </c>
      <c r="F398" s="151" t="n">
        <v>252</v>
      </c>
      <c r="G398" s="152" t="n">
        <v>0.0675</v>
      </c>
      <c r="H398" s="170">
        <f>Tabela10[[#This Row],[M² Da chapa]]*Tabela10[[#This Row],[Qtde Chapas
Liberadas]]</f>
        <v/>
      </c>
      <c r="I398" s="170" t="n">
        <v>1622.1419</v>
      </c>
      <c r="J398" s="59">
        <f>Tabela10[[#This Row],[ERP]]/Tabela10[[#This Row],[M² Da chapa]]</f>
        <v/>
      </c>
      <c r="K398" s="170">
        <f>Tabela10[[#This Row],[M² CHAPAS]]-Tabela10[[#This Row],[ERP]]</f>
        <v/>
      </c>
      <c r="L398" s="170">
        <f>Tabela10[[#This Row],[DIFERENÇA M²]]/Tabela10[[#This Row],[M² Da chapa]]</f>
        <v/>
      </c>
    </row>
    <row r="399" hidden="1">
      <c r="A399" s="6" t="n">
        <v>45664</v>
      </c>
      <c r="B399" s="8" t="inlineStr">
        <is>
          <t>L2600101 | L2600103 | L2600104</t>
        </is>
      </c>
      <c r="C399" s="168">
        <f>VLOOKUP(LEFT(B399,1),Tabela5[],2,0)</f>
        <v/>
      </c>
      <c r="D399" s="57" t="inlineStr">
        <is>
          <t>SOBRAS NT "CRÉDITO"</t>
        </is>
      </c>
      <c r="E399" s="169">
        <f>VLOOKUP(Tabela10[[#This Row],[Tipo de Chapa]],Tabela11[],2,FALSE)</f>
        <v/>
      </c>
      <c r="F399" s="151" t="inlineStr">
        <is>
          <t>-</t>
        </is>
      </c>
      <c r="G399" s="152" t="inlineStr">
        <is>
          <t>-</t>
        </is>
      </c>
      <c r="H399" s="170">
        <f>1.593*0.329*342</f>
        <v/>
      </c>
      <c r="I399" s="170" t="inlineStr">
        <is>
          <t>-</t>
        </is>
      </c>
      <c r="J399" s="170" t="inlineStr">
        <is>
          <t>-</t>
        </is>
      </c>
      <c r="K399" s="170" t="inlineStr">
        <is>
          <t>-</t>
        </is>
      </c>
      <c r="L399" s="170" t="inlineStr">
        <is>
          <t>-</t>
        </is>
      </c>
    </row>
    <row r="400">
      <c r="A400" s="6" t="n">
        <v>46030</v>
      </c>
      <c r="B400" s="8" t="inlineStr">
        <is>
          <t>N26001</t>
        </is>
      </c>
      <c r="C400" s="168">
        <f>VLOOKUP(LEFT(B400,1),Tabela5[],2,0)</f>
        <v/>
      </c>
      <c r="D400" s="57" t="inlineStr">
        <is>
          <t>MDF - 15MM</t>
        </is>
      </c>
      <c r="E400" s="169">
        <f>VLOOKUP(Tabela10[[#This Row],[Tipo de Chapa]],Tabela11[],2,FALSE)</f>
        <v/>
      </c>
      <c r="F400" s="151" t="n">
        <v>14</v>
      </c>
      <c r="G400" s="152" t="n">
        <v>0.0974</v>
      </c>
      <c r="H400" s="170">
        <f>Tabela10[[#This Row],[M² Da chapa]]*Tabela10[[#This Row],[Qtde Chapas
Liberadas]]</f>
        <v/>
      </c>
      <c r="I400" s="170" t="n">
        <v>75.387</v>
      </c>
      <c r="J400" s="59">
        <f>Tabela10[[#This Row],[ERP]]/Tabela10[[#This Row],[M² Da chapa]]</f>
        <v/>
      </c>
      <c r="K400" s="170">
        <f>Tabela10[[#This Row],[M² CHAPAS]]-Tabela10[[#This Row],[ERP]]</f>
        <v/>
      </c>
      <c r="L400" s="170">
        <f>Tabela10[[#This Row],[DIFERENÇA M²]]/Tabela10[[#This Row],[M² Da chapa]]</f>
        <v/>
      </c>
    </row>
    <row r="401">
      <c r="A401" s="6" t="n">
        <v>46031</v>
      </c>
      <c r="B401" s="8" t="inlineStr">
        <is>
          <t>N26004</t>
        </is>
      </c>
      <c r="C401" s="168">
        <f>VLOOKUP(LEFT(B401,1),Tabela5[],2,0)</f>
        <v/>
      </c>
      <c r="D401" s="57" t="inlineStr">
        <is>
          <t>MDF - 15MM</t>
        </is>
      </c>
      <c r="E401" s="169">
        <f>VLOOKUP(Tabela10[[#This Row],[Tipo de Chapa]],Tabela11[],2,FALSE)</f>
        <v/>
      </c>
      <c r="F401" s="151">
        <f>255+48</f>
        <v/>
      </c>
      <c r="G401" s="152" t="n">
        <v>0.057</v>
      </c>
      <c r="H401" s="170">
        <f>Tabela10[[#This Row],[M² Da chapa]]*Tabela10[[#This Row],[Qtde Chapas
Liberadas]]</f>
        <v/>
      </c>
      <c r="I401" s="170" t="n">
        <v>1527.7884</v>
      </c>
      <c r="J401" s="59">
        <f>Tabela10[[#This Row],[ERP]]/Tabela10[[#This Row],[M² Da chapa]]</f>
        <v/>
      </c>
      <c r="K401" s="170">
        <f>Tabela10[[#This Row],[M² CHAPAS]]-Tabela10[[#This Row],[ERP]]</f>
        <v/>
      </c>
      <c r="L401" s="170">
        <f>Tabela10[[#This Row],[DIFERENÇA M²]]/Tabela10[[#This Row],[M² Da chapa]]</f>
        <v/>
      </c>
    </row>
    <row r="402" hidden="1">
      <c r="A402" s="6" t="n">
        <v>46030</v>
      </c>
      <c r="B402" s="8" t="inlineStr">
        <is>
          <t>L2600204 | L2600205</t>
        </is>
      </c>
      <c r="C402" s="168">
        <f>VLOOKUP(LEFT(B402,1),Tabela5[],2,0)</f>
        <v/>
      </c>
      <c r="D402" s="57" t="inlineStr">
        <is>
          <t>MDF - 15MM</t>
        </is>
      </c>
      <c r="E402" s="169">
        <f>VLOOKUP(Tabela10[[#This Row],[Tipo de Chapa]],Tabela11[],2,FALSE)</f>
        <v/>
      </c>
      <c r="F402" s="151">
        <f>120+126</f>
        <v/>
      </c>
      <c r="G402" s="152" t="n">
        <v>0.057</v>
      </c>
      <c r="H402" s="170">
        <f>Tabela10[[#This Row],[M² Da chapa]]*Tabela10[[#This Row],[Qtde Chapas
Liberadas]]</f>
        <v/>
      </c>
      <c r="I402" s="170" t="n">
        <v>1443.4474</v>
      </c>
      <c r="J402" s="59">
        <f>Tabela10[[#This Row],[ERP]]/Tabela10[[#This Row],[M² Da chapa]]</f>
        <v/>
      </c>
      <c r="K402" s="170">
        <f>Tabela10[[#This Row],[M² CHAPAS]]-Tabela10[[#This Row],[ERP]]</f>
        <v/>
      </c>
      <c r="L402" s="170">
        <f>Tabela10[[#This Row],[DIFERENÇA M²]]/Tabela10[[#This Row],[M² Da chapa]]</f>
        <v/>
      </c>
    </row>
    <row r="403" hidden="1">
      <c r="A403" s="6" t="n">
        <v>46030</v>
      </c>
      <c r="B403" s="8" t="inlineStr">
        <is>
          <t xml:space="preserve">L2600204 </t>
        </is>
      </c>
      <c r="C403" s="168">
        <f>VLOOKUP(LEFT(B403,1),Tabela5[],2,0)</f>
        <v/>
      </c>
      <c r="D403" s="57" t="inlineStr">
        <is>
          <t>MDF - 25MM 2750x2100</t>
        </is>
      </c>
      <c r="E403" s="169">
        <f>VLOOKUP(Tabela10[[#This Row],[Tipo de Chapa]],Tabela11[],2,FALSE)</f>
        <v/>
      </c>
      <c r="F403" s="151" t="n">
        <v>50</v>
      </c>
      <c r="G403" s="152" t="n">
        <v>0.045</v>
      </c>
      <c r="H403" s="170">
        <f>Tabela10[[#This Row],[M² Da chapa]]*Tabela10[[#This Row],[Qtde Chapas
Liberadas]]</f>
        <v/>
      </c>
      <c r="I403" s="170" t="n">
        <v>234.6387</v>
      </c>
      <c r="J403" s="59">
        <f>Tabela10[[#This Row],[ERP]]/Tabela10[[#This Row],[M² Da chapa]]</f>
        <v/>
      </c>
      <c r="K403" s="170">
        <f>Tabela10[[#This Row],[M² CHAPAS]]-Tabela10[[#This Row],[ERP]]</f>
        <v/>
      </c>
      <c r="L403" s="170">
        <f>Tabela10[[#This Row],[DIFERENÇA M²]]/Tabela10[[#This Row],[M² Da chapa]]</f>
        <v/>
      </c>
    </row>
    <row r="404">
      <c r="A404" s="6" t="n">
        <v>46031</v>
      </c>
      <c r="B404" s="8" t="inlineStr">
        <is>
          <t>N26004</t>
        </is>
      </c>
      <c r="C404" s="168">
        <f>VLOOKUP(LEFT(B404,1),Tabela5[],2,0)</f>
        <v/>
      </c>
      <c r="D404" s="57" t="inlineStr">
        <is>
          <t>MDF - 18MM 2750X1850</t>
        </is>
      </c>
      <c r="E404" s="169">
        <f>VLOOKUP(Tabela10[[#This Row],[Tipo de Chapa]],Tabela11[],2,FALSE)</f>
        <v/>
      </c>
      <c r="F404" s="151" t="n">
        <v>1</v>
      </c>
      <c r="G404" s="152" t="n">
        <v>0.101</v>
      </c>
      <c r="H404" s="170">
        <f>Tabela10[[#This Row],[M² Da chapa]]*Tabela10[[#This Row],[Qtde Chapas
Liberadas]]</f>
        <v/>
      </c>
      <c r="I404" s="170" t="n">
        <v>4.54</v>
      </c>
      <c r="J404" s="59">
        <f>Tabela10[[#This Row],[ERP]]/Tabela10[[#This Row],[M² Da chapa]]</f>
        <v/>
      </c>
      <c r="K404" s="170">
        <f>Tabela10[[#This Row],[M² CHAPAS]]-Tabela10[[#This Row],[ERP]]</f>
        <v/>
      </c>
      <c r="L404" s="170">
        <f>Tabela10[[#This Row],[DIFERENÇA M²]]/Tabela10[[#This Row],[M² Da chapa]]</f>
        <v/>
      </c>
    </row>
    <row r="405">
      <c r="A405" s="6" t="n">
        <v>46031</v>
      </c>
      <c r="B405" s="8" t="inlineStr">
        <is>
          <t>N26004</t>
        </is>
      </c>
      <c r="C405" s="168">
        <f>VLOOKUP(LEFT(B405,1),Tabela5[],2,0)</f>
        <v/>
      </c>
      <c r="D405" s="57" t="inlineStr">
        <is>
          <t>EUCADUR NT - 2,5MM</t>
        </is>
      </c>
      <c r="E405" s="169">
        <f>VLOOKUP(Tabela10[[#This Row],[Tipo de Chapa]],Tabela11[],2,FALSE)</f>
        <v/>
      </c>
      <c r="F405" s="151" t="n">
        <v>91</v>
      </c>
      <c r="G405" s="152" t="n">
        <v>0.0604</v>
      </c>
      <c r="H405" s="170">
        <f>Tabela10[[#This Row],[M² Da chapa]]*Tabela10[[#This Row],[Qtde Chapas
Liberadas]]</f>
        <v/>
      </c>
      <c r="I405" s="170" t="n">
        <v>528.6324</v>
      </c>
      <c r="J405" s="59">
        <f>Tabela10[[#This Row],[ERP]]/Tabela10[[#This Row],[M² Da chapa]]</f>
        <v/>
      </c>
      <c r="K405" s="170">
        <f>Tabela10[[#This Row],[M² CHAPAS]]-Tabela10[[#This Row],[ERP]]</f>
        <v/>
      </c>
      <c r="L405" s="170">
        <f>Tabela10[[#This Row],[DIFERENÇA M²]]/Tabela10[[#This Row],[M² Da chapa]]</f>
        <v/>
      </c>
    </row>
    <row r="406" hidden="1">
      <c r="A406" s="6" t="n">
        <v>46031</v>
      </c>
      <c r="B406" s="8" t="inlineStr">
        <is>
          <t>L2600203</t>
        </is>
      </c>
      <c r="C406" s="168">
        <f>VLOOKUP(LEFT(B406,1),Tabela5[],2,0)</f>
        <v/>
      </c>
      <c r="D406" s="57" t="inlineStr">
        <is>
          <t>MDF - 15MM</t>
        </is>
      </c>
      <c r="E406" s="169">
        <f>VLOOKUP(Tabela10[[#This Row],[Tipo de Chapa]],Tabela11[],2,FALSE)</f>
        <v/>
      </c>
      <c r="F406" s="151" t="n">
        <v>140</v>
      </c>
      <c r="G406" s="152" t="n">
        <v>0.06</v>
      </c>
      <c r="H406" s="170">
        <f>Tabela10[[#This Row],[M² Da chapa]]*Tabela10[[#This Row],[Qtde Chapas
Liberadas]]</f>
        <v/>
      </c>
      <c r="I406" s="170" t="n">
        <v>861.1023</v>
      </c>
      <c r="J406" s="59">
        <f>Tabela10[[#This Row],[ERP]]/Tabela10[[#This Row],[M² Da chapa]]</f>
        <v/>
      </c>
      <c r="K406" s="170">
        <f>Tabela10[[#This Row],[M² CHAPAS]]-Tabela10[[#This Row],[ERP]]</f>
        <v/>
      </c>
      <c r="L406" s="170">
        <f>Tabela10[[#This Row],[DIFERENÇA M²]]/Tabela10[[#This Row],[M² Da chapa]]</f>
        <v/>
      </c>
    </row>
    <row r="407">
      <c r="A407" s="6" t="n">
        <v>46031</v>
      </c>
      <c r="B407" s="8" t="inlineStr">
        <is>
          <t>N26005</t>
        </is>
      </c>
      <c r="C407" s="168">
        <f>VLOOKUP(LEFT(B407,1),Tabela5[],2,0)</f>
        <v/>
      </c>
      <c r="D407" s="57" t="inlineStr">
        <is>
          <t>MDF - 15MM</t>
        </is>
      </c>
      <c r="E407" s="169">
        <f>VLOOKUP(Tabela10[[#This Row],[Tipo de Chapa]],Tabela11[],2,FALSE)</f>
        <v/>
      </c>
      <c r="F407" s="151">
        <f>349-25</f>
        <v/>
      </c>
      <c r="G407" s="152" t="n">
        <v>0.053</v>
      </c>
      <c r="H407" s="170">
        <f>Tabela10[[#This Row],[M² Da chapa]]*Tabela10[[#This Row],[Qtde Chapas
Liberadas]]</f>
        <v/>
      </c>
      <c r="I407" s="170" t="n">
        <v>2092.7898</v>
      </c>
      <c r="J407" s="59">
        <f>Tabela10[[#This Row],[ERP]]/Tabela10[[#This Row],[M² Da chapa]]</f>
        <v/>
      </c>
      <c r="K407" s="170">
        <f>Tabela10[[#This Row],[M² CHAPAS]]-Tabela10[[#This Row],[ERP]]</f>
        <v/>
      </c>
      <c r="L407" s="170">
        <f>Tabela10[[#This Row],[DIFERENÇA M²]]/Tabela10[[#This Row],[M² Da chapa]]</f>
        <v/>
      </c>
    </row>
    <row r="408" hidden="1" ht="28.8" customHeight="1">
      <c r="A408" s="6" t="n">
        <v>46031</v>
      </c>
      <c r="B408" s="8" t="inlineStr">
        <is>
          <t>V2521501 | V2521601 | V2600301 | V2600401 | V2600501 (TAMPO 160)</t>
        </is>
      </c>
      <c r="C408" s="168">
        <f>VLOOKUP(LEFT(B408,1),Tabela5[],2,0)</f>
        <v/>
      </c>
      <c r="D408" s="57" t="inlineStr">
        <is>
          <t>MDF - 25MM 2750x2100</t>
        </is>
      </c>
      <c r="E408" s="169">
        <f>VLOOKUP(Tabela10[[#This Row],[Tipo de Chapa]],Tabela11[],2,FALSE)</f>
        <v/>
      </c>
      <c r="F408" s="151" t="n">
        <v>80</v>
      </c>
      <c r="G408" s="152" t="n">
        <v>0.042</v>
      </c>
      <c r="H408" s="170">
        <f>Tabela10[[#This Row],[M² Da chapa]]*Tabela10[[#This Row],[Qtde Chapas
Liberadas]]</f>
        <v/>
      </c>
      <c r="I408" s="170" t="n">
        <v>397.4767</v>
      </c>
      <c r="J408" s="59">
        <f>Tabela10[[#This Row],[ERP]]/Tabela10[[#This Row],[M² Da chapa]]</f>
        <v/>
      </c>
      <c r="K408" s="170">
        <f>Tabela10[[#This Row],[M² CHAPAS]]-Tabela10[[#This Row],[ERP]]</f>
        <v/>
      </c>
      <c r="L408" s="170">
        <f>Tabela10[[#This Row],[DIFERENÇA M²]]/Tabela10[[#This Row],[M² Da chapa]]</f>
        <v/>
      </c>
    </row>
    <row r="409" hidden="1" ht="43.2" customHeight="1">
      <c r="A409" s="6" t="n">
        <v>46031</v>
      </c>
      <c r="B409" s="8" t="inlineStr">
        <is>
          <t>V2521801 | V2521901 | V2522001 | V2522101 | V2522201 | V2600101 | V2600201 | V2600601 (TAMPO 120)</t>
        </is>
      </c>
      <c r="C409" s="168">
        <f>VLOOKUP(LEFT(B409,1),Tabela5[],2,0)</f>
        <v/>
      </c>
      <c r="D409" s="57" t="inlineStr">
        <is>
          <t>MDF - 25MM 2750x2200</t>
        </is>
      </c>
      <c r="E409" s="169">
        <f>VLOOKUP(Tabela10[[#This Row],[Tipo de Chapa]],Tabela11[],2,FALSE)</f>
        <v/>
      </c>
      <c r="F409" s="151">
        <f>145+6</f>
        <v/>
      </c>
      <c r="G409" s="152" t="n">
        <v>0.066</v>
      </c>
      <c r="H409" s="170">
        <f>Tabela10[[#This Row],[M² Da chapa]]*Tabela10[[#This Row],[Qtde Chapas
Liberadas]]</f>
        <v/>
      </c>
      <c r="I409" s="170" t="n">
        <v>544.5221</v>
      </c>
      <c r="J409" s="59">
        <f>Tabela10[[#This Row],[ERP]]/Tabela10[[#This Row],[M² Da chapa]]</f>
        <v/>
      </c>
      <c r="K409" s="170">
        <f>Tabela10[[#This Row],[M² CHAPAS]]-Tabela10[[#This Row],[ERP]]</f>
        <v/>
      </c>
      <c r="L409" s="170">
        <f>Tabela10[[#This Row],[DIFERENÇA M²]]/Tabela10[[#This Row],[M² Da chapa]]</f>
        <v/>
      </c>
    </row>
    <row r="410">
      <c r="A410" s="6" t="n">
        <v>46056</v>
      </c>
      <c r="B410" s="8" t="inlineStr">
        <is>
          <t>N26005</t>
        </is>
      </c>
      <c r="C410" s="168">
        <f>VLOOKUP(LEFT(B410,1),Tabela5[],2,0)</f>
        <v/>
      </c>
      <c r="D410" s="57" t="inlineStr">
        <is>
          <t>EUCADUR NT - 2,5MM</t>
        </is>
      </c>
      <c r="E410" s="169">
        <f>VLOOKUP(Tabela10[[#This Row],[Tipo de Chapa]],Tabela11[],2,FALSE)</f>
        <v/>
      </c>
      <c r="F410" s="151" t="n">
        <v>73</v>
      </c>
      <c r="G410" s="152" t="n">
        <v>0.0482</v>
      </c>
      <c r="H410" s="170">
        <f>Tabela10[[#This Row],[M² Da chapa]]*Tabela10[[#This Row],[Qtde Chapas
Liberadas]]</f>
        <v/>
      </c>
      <c r="I410" s="170" t="n">
        <v>404.9374</v>
      </c>
      <c r="J410" s="59">
        <f>Tabela10[[#This Row],[ERP]]/Tabela10[[#This Row],[M² Da chapa]]</f>
        <v/>
      </c>
      <c r="K410" s="170">
        <f>Tabela10[[#This Row],[M² CHAPAS]]-Tabela10[[#This Row],[ERP]]</f>
        <v/>
      </c>
      <c r="L410" s="170">
        <f>Tabela10[[#This Row],[DIFERENÇA M²]]/Tabela10[[#This Row],[M² Da chapa]]</f>
        <v/>
      </c>
    </row>
    <row r="411">
      <c r="A411" s="6" t="n">
        <v>46056</v>
      </c>
      <c r="B411" s="8" t="inlineStr">
        <is>
          <t>N26005</t>
        </is>
      </c>
      <c r="C411" s="168">
        <f>VLOOKUP(LEFT(B411,1),Tabela5[],2,0)</f>
        <v/>
      </c>
      <c r="D411" s="57" t="inlineStr">
        <is>
          <t>EUCADUR BR - 2,5MM</t>
        </is>
      </c>
      <c r="E411" s="169">
        <f>VLOOKUP(Tabela10[[#This Row],[Tipo de Chapa]],Tabela11[],2,FALSE)</f>
        <v/>
      </c>
      <c r="F411" s="151" t="n">
        <v>35</v>
      </c>
      <c r="G411" s="152" t="n">
        <v>0.0498</v>
      </c>
      <c r="H411" s="170">
        <f>Tabela10[[#This Row],[M² Da chapa]]*Tabela10[[#This Row],[Qtde Chapas
Liberadas]]</f>
        <v/>
      </c>
      <c r="I411" s="170" t="n">
        <v>202.4687</v>
      </c>
      <c r="J411" s="59">
        <f>Tabela10[[#This Row],[ERP]]/Tabela10[[#This Row],[M² Da chapa]]</f>
        <v/>
      </c>
      <c r="K411" s="170">
        <f>Tabela10[[#This Row],[M² CHAPAS]]-Tabela10[[#This Row],[ERP]]</f>
        <v/>
      </c>
      <c r="L411" s="170">
        <f>Tabela10[[#This Row],[DIFERENÇA M²]]/Tabela10[[#This Row],[M² Da chapa]]</f>
        <v/>
      </c>
    </row>
    <row r="412">
      <c r="A412" s="6" t="n">
        <v>46034</v>
      </c>
      <c r="B412" s="8" t="inlineStr">
        <is>
          <t>N2600902</t>
        </is>
      </c>
      <c r="C412" s="168">
        <f>VLOOKUP(LEFT(B412,1),Tabela5[],2,0)</f>
        <v/>
      </c>
      <c r="D412" s="57" t="inlineStr">
        <is>
          <t>MDF - 15MM</t>
        </is>
      </c>
      <c r="E412" s="169">
        <f>VLOOKUP(Tabela10[[#This Row],[Tipo de Chapa]],Tabela11[],2,FALSE)</f>
        <v/>
      </c>
      <c r="F412" s="151" t="n">
        <v>146</v>
      </c>
      <c r="G412" s="152" t="n">
        <v>0.063</v>
      </c>
      <c r="H412" s="170">
        <f>Tabela10[[#This Row],[M² Da chapa]]*Tabela10[[#This Row],[Qtde Chapas
Liberadas]]</f>
        <v/>
      </c>
      <c r="I412" s="170" t="n">
        <v>861.1023</v>
      </c>
      <c r="J412" s="59">
        <f>Tabela10[[#This Row],[ERP]]/Tabela10[[#This Row],[M² Da chapa]]</f>
        <v/>
      </c>
      <c r="K412" s="170">
        <f>Tabela10[[#This Row],[M² CHAPAS]]-Tabela10[[#This Row],[ERP]]</f>
        <v/>
      </c>
      <c r="L412" s="170">
        <f>Tabela10[[#This Row],[DIFERENÇA M²]]/Tabela10[[#This Row],[M² Da chapa]]</f>
        <v/>
      </c>
    </row>
    <row r="413">
      <c r="A413" s="6" t="n">
        <v>46034</v>
      </c>
      <c r="B413" s="8" t="inlineStr">
        <is>
          <t>N2600901</t>
        </is>
      </c>
      <c r="C413" s="168">
        <f>VLOOKUP(LEFT(B413,1),Tabela5[],2,0)</f>
        <v/>
      </c>
      <c r="D413" s="57" t="inlineStr">
        <is>
          <t>MDF - 15MM</t>
        </is>
      </c>
      <c r="E413" s="169">
        <f>VLOOKUP(Tabela10[[#This Row],[Tipo de Chapa]],Tabela11[],2,FALSE)</f>
        <v/>
      </c>
      <c r="F413" s="151" t="n">
        <v>132</v>
      </c>
      <c r="G413" s="152" t="n">
        <v>0.0655</v>
      </c>
      <c r="H413" s="170">
        <f>Tabela10[[#This Row],[M² Da chapa]]*Tabela10[[#This Row],[Qtde Chapas
Liberadas]]</f>
        <v/>
      </c>
      <c r="I413" s="170" t="n">
        <v>819.4166</v>
      </c>
      <c r="J413" s="59">
        <f>Tabela10[[#This Row],[ERP]]/Tabela10[[#This Row],[M² Da chapa]]</f>
        <v/>
      </c>
      <c r="K413" s="170">
        <f>Tabela10[[#This Row],[M² CHAPAS]]-Tabela10[[#This Row],[ERP]]</f>
        <v/>
      </c>
      <c r="L413" s="170">
        <f>Tabela10[[#This Row],[DIFERENÇA M²]]/Tabela10[[#This Row],[M² Da chapa]]</f>
        <v/>
      </c>
    </row>
    <row r="414">
      <c r="A414" s="6" t="n">
        <v>46036</v>
      </c>
      <c r="B414" s="8" t="inlineStr">
        <is>
          <t>N26009</t>
        </is>
      </c>
      <c r="C414" s="168">
        <f>VLOOKUP(LEFT(B414,1),Tabela5[],2,0)</f>
        <v/>
      </c>
      <c r="D414" s="57" t="inlineStr">
        <is>
          <t>EUCADUR NT - 2,5MM</t>
        </is>
      </c>
      <c r="E414" s="169">
        <f>VLOOKUP(Tabela10[[#This Row],[Tipo de Chapa]],Tabela11[],2,FALSE)</f>
        <v/>
      </c>
      <c r="F414" s="151" t="n">
        <v>307</v>
      </c>
      <c r="G414" s="152" t="n">
        <v>0.06279999999999999</v>
      </c>
      <c r="H414" s="170">
        <f>Tabela10[[#This Row],[M² Da chapa]]*Tabela10[[#This Row],[Qtde Chapas
Liberadas]]</f>
        <v/>
      </c>
      <c r="I414" s="170" t="n">
        <v>1634.3025</v>
      </c>
      <c r="J414" s="59">
        <f>Tabela10[[#This Row],[ERP]]/Tabela10[[#This Row],[M² Da chapa]]</f>
        <v/>
      </c>
      <c r="K414" s="170">
        <f>Tabela10[[#This Row],[M² CHAPAS]]-Tabela10[[#This Row],[ERP]]</f>
        <v/>
      </c>
      <c r="L414" s="170">
        <f>Tabela10[[#This Row],[DIFERENÇA M²]]/Tabela10[[#This Row],[M² Da chapa]]</f>
        <v/>
      </c>
    </row>
    <row r="415" hidden="1">
      <c r="A415" s="122" t="n">
        <v>46031</v>
      </c>
      <c r="B415" s="123" t="inlineStr">
        <is>
          <t>V2521801</t>
        </is>
      </c>
      <c r="C415" s="124">
        <f>VLOOKUP(LEFT(B415,1),Tabela5[],2,0)</f>
        <v/>
      </c>
      <c r="D415" s="125" t="inlineStr">
        <is>
          <t>SOBRAS MDF "CRÉDITO"</t>
        </is>
      </c>
      <c r="E415" s="169">
        <f>VLOOKUP(Tabela10[[#This Row],[Tipo de Chapa]],Tabela11[],2,FALSE)</f>
        <v/>
      </c>
      <c r="F415" s="126" t="inlineStr">
        <is>
          <t>-</t>
        </is>
      </c>
      <c r="G415" s="126" t="inlineStr">
        <is>
          <t>-</t>
        </is>
      </c>
      <c r="H415" s="178">
        <f>1.202*0.902*14</f>
        <v/>
      </c>
      <c r="I415" s="126" t="inlineStr">
        <is>
          <t>-</t>
        </is>
      </c>
      <c r="J415" s="126" t="inlineStr">
        <is>
          <t>-</t>
        </is>
      </c>
      <c r="K415" s="126" t="inlineStr">
        <is>
          <t>-</t>
        </is>
      </c>
      <c r="L415" s="126" t="inlineStr">
        <is>
          <t>-</t>
        </is>
      </c>
    </row>
    <row r="416" hidden="1" ht="57.6" customHeight="1">
      <c r="A416" s="6" t="n">
        <v>46034</v>
      </c>
      <c r="B416" s="8" t="inlineStr">
        <is>
          <t>V2518003 | V2518103 | V2521703 | V2521803 | V2521903 | V2522003 | V2522103 | V2522203 | V2600103 | V2600203 | V2600603 (ASSENTO LADY)</t>
        </is>
      </c>
      <c r="C416" s="168">
        <f>VLOOKUP(LEFT(B416,1),Tabela5[],2,0)</f>
        <v/>
      </c>
      <c r="D416" s="57" t="inlineStr">
        <is>
          <t>CAPA MDF - 15MM</t>
        </is>
      </c>
      <c r="E416" s="169">
        <f>VLOOKUP(Tabela10[[#This Row],[Tipo de Chapa]],Tabela11[],2,FALSE)</f>
        <v/>
      </c>
      <c r="F416" s="151" t="n">
        <v>81</v>
      </c>
      <c r="G416" s="152" t="n">
        <v>0.0626</v>
      </c>
      <c r="H416" s="170">
        <f>Tabela10[[#This Row],[M² Da chapa]]*Tabela10[[#This Row],[Qtde Chapas
Liberadas]]</f>
        <v/>
      </c>
      <c r="I416" s="170" t="n">
        <v>463.6402</v>
      </c>
      <c r="J416" s="59">
        <f>Tabela10[[#This Row],[ERP]]/Tabela10[[#This Row],[M² Da chapa]]</f>
        <v/>
      </c>
      <c r="K416" s="170">
        <f>Tabela10[[#This Row],[M² CHAPAS]]-Tabela10[[#This Row],[ERP]]</f>
        <v/>
      </c>
      <c r="L416" s="170">
        <f>Tabela10[[#This Row],[DIFERENÇA M²]]/Tabela10[[#This Row],[M² Da chapa]]</f>
        <v/>
      </c>
    </row>
    <row r="417" hidden="1" ht="57.6" customHeight="1">
      <c r="A417" s="6" t="n">
        <v>46034</v>
      </c>
      <c r="B417" s="8" t="inlineStr">
        <is>
          <t>V2520703 | V2520803 | V2520903 | V2521003 | V2521103 | V2521203 | V2521303 | V2521403 | V2521503 | V2521603 | V2600303 | V2600403 | V2600503 (ASSENTO RAINHA)</t>
        </is>
      </c>
      <c r="C417" s="168">
        <f>VLOOKUP(LEFT(B417,1),Tabela5[],2,0)</f>
        <v/>
      </c>
      <c r="D417" s="57" t="inlineStr">
        <is>
          <t>CAPA MDF - 15MM</t>
        </is>
      </c>
      <c r="E417" s="169">
        <f>VLOOKUP(Tabela10[[#This Row],[Tipo de Chapa]],Tabela11[],2,FALSE)</f>
        <v/>
      </c>
      <c r="F417" s="57" t="n">
        <v>77</v>
      </c>
      <c r="G417" s="152" t="n">
        <v>0.1067</v>
      </c>
      <c r="H417" s="170">
        <f>Tabela10[[#This Row],[M² Da chapa]]*Tabela10[[#This Row],[Qtde Chapas
Liberadas]]</f>
        <v/>
      </c>
      <c r="I417" s="170">
        <f>645.316+80.6645</f>
        <v/>
      </c>
      <c r="J417" s="59">
        <f>Tabela10[[#This Row],[ERP]]/Tabela10[[#This Row],[M² Da chapa]]</f>
        <v/>
      </c>
      <c r="K417" s="170">
        <f>Tabela10[[#This Row],[M² CHAPAS]]-Tabela10[[#This Row],[ERP]]</f>
        <v/>
      </c>
      <c r="L417" s="170">
        <f>Tabela10[[#This Row],[DIFERENÇA M²]]/Tabela10[[#This Row],[M² Da chapa]]</f>
        <v/>
      </c>
    </row>
    <row r="418" hidden="1">
      <c r="A418" s="6" t="n">
        <v>46034</v>
      </c>
      <c r="B418" s="8" t="inlineStr">
        <is>
          <t>L2600201 | L2600204 | L2600203</t>
        </is>
      </c>
      <c r="C418" s="168">
        <f>VLOOKUP(LEFT(B418,1),Tabela5[],2,0)</f>
        <v/>
      </c>
      <c r="D418" s="57" t="inlineStr">
        <is>
          <t>EUCADUR NT - 2,5MM</t>
        </is>
      </c>
      <c r="E418" s="169">
        <f>VLOOKUP(Tabela10[[#This Row],[Tipo de Chapa]],Tabela11[],2,FALSE)</f>
        <v/>
      </c>
      <c r="F418" s="151" t="n">
        <v>294</v>
      </c>
      <c r="G418" s="152" t="n">
        <v>0.0607</v>
      </c>
      <c r="H418" s="170">
        <f>Tabela10[[#This Row],[M² Da chapa]]*Tabela10[[#This Row],[Qtde Chapas
Liberadas]]</f>
        <v/>
      </c>
      <c r="I418" s="170" t="n">
        <v>1579.6562</v>
      </c>
      <c r="J418" s="59">
        <f>Tabela10[[#This Row],[ERP]]/Tabela10[[#This Row],[M² Da chapa]]</f>
        <v/>
      </c>
      <c r="K418" s="170">
        <f>Tabela10[[#This Row],[M² CHAPAS]]-Tabela10[[#This Row],[ERP]]</f>
        <v/>
      </c>
      <c r="L418" s="170">
        <f>Tabela10[[#This Row],[DIFERENÇA M²]]/Tabela10[[#This Row],[M² Da chapa]]</f>
        <v/>
      </c>
    </row>
    <row r="419" hidden="1">
      <c r="A419" s="6" t="n">
        <v>46034</v>
      </c>
      <c r="B419" s="8" t="inlineStr">
        <is>
          <t>L2600201 | L2600204 | L2600203</t>
        </is>
      </c>
      <c r="C419" s="168">
        <f>VLOOKUP(LEFT(B419,1),Tabela5[],2,0)</f>
        <v/>
      </c>
      <c r="D419" s="57" t="inlineStr">
        <is>
          <t>SOBRAS NT "CRÉDITO"</t>
        </is>
      </c>
      <c r="E419" s="169">
        <f>VLOOKUP(Tabela10[[#This Row],[Tipo de Chapa]],Tabela11[],2,FALSE)</f>
        <v/>
      </c>
      <c r="F419" s="151" t="inlineStr">
        <is>
          <t>-</t>
        </is>
      </c>
      <c r="G419" s="152" t="inlineStr">
        <is>
          <t>-</t>
        </is>
      </c>
      <c r="H419" s="170">
        <f>120*0.5*0.79</f>
        <v/>
      </c>
      <c r="I419" s="152" t="inlineStr">
        <is>
          <t>-</t>
        </is>
      </c>
      <c r="J419" s="152" t="inlineStr">
        <is>
          <t>-</t>
        </is>
      </c>
      <c r="K419" s="152" t="inlineStr">
        <is>
          <t>-</t>
        </is>
      </c>
      <c r="L419" s="152" t="inlineStr">
        <is>
          <t>-</t>
        </is>
      </c>
    </row>
    <row r="420" hidden="1" ht="57.6" customHeight="1">
      <c r="A420" s="122" t="n">
        <v>46058</v>
      </c>
      <c r="B420" s="123" t="inlineStr">
        <is>
          <t>V2520703 | V2520803 | V2520903 | V2521003 | V2521103 | V2521203 | V2521303 | V2521403 | V2521503 | V2521603 | V2600303 | V2600403 | V2600503 (ASSENTO RAINHA)</t>
        </is>
      </c>
      <c r="C420" s="124">
        <f>VLOOKUP(LEFT(B420,1),Tabela5[],2,0)</f>
        <v/>
      </c>
      <c r="D420" s="125" t="inlineStr">
        <is>
          <t>SOBRAS CAPA "CRÉDITO"</t>
        </is>
      </c>
      <c r="E420" s="169">
        <f>VLOOKUP(Tabela10[[#This Row],[Tipo de Chapa]],Tabela11[],2,FALSE)</f>
        <v/>
      </c>
      <c r="F420" s="126" t="inlineStr">
        <is>
          <t>-</t>
        </is>
      </c>
      <c r="G420" s="128" t="inlineStr">
        <is>
          <t>-</t>
        </is>
      </c>
      <c r="H420" s="129">
        <f>0.48*0.417*229</f>
        <v/>
      </c>
      <c r="I420" s="128" t="inlineStr">
        <is>
          <t>-</t>
        </is>
      </c>
      <c r="J420" s="128" t="inlineStr">
        <is>
          <t>-</t>
        </is>
      </c>
      <c r="K420" s="128" t="inlineStr">
        <is>
          <t>-</t>
        </is>
      </c>
      <c r="L420" s="128" t="inlineStr">
        <is>
          <t>-</t>
        </is>
      </c>
    </row>
    <row r="421" hidden="1" ht="57.6" customHeight="1">
      <c r="A421" s="6" t="n">
        <v>46034</v>
      </c>
      <c r="B421" s="8" t="inlineStr">
        <is>
          <t>V2517503 | V2518003 | V2518103 | V2521703 | V2521803 | V2521903 | V2522003 | V2522103 | V2522203 | V2600103 | V2600203 | V2600603 (ENCOSTO LADY)</t>
        </is>
      </c>
      <c r="C421" s="168">
        <f>VLOOKUP(LEFT(B421,1),Tabela5[],2,0)</f>
        <v/>
      </c>
      <c r="D421" s="57" t="inlineStr">
        <is>
          <t>CAPA DURATREE -2,5MM</t>
        </is>
      </c>
      <c r="E421" s="169">
        <f>VLOOKUP(Tabela10[[#This Row],[Tipo de Chapa]],Tabela11[],2,FALSE)</f>
        <v/>
      </c>
      <c r="F421" s="151" t="n">
        <v>75</v>
      </c>
      <c r="G421" s="152" t="n">
        <v>0.08699999999999999</v>
      </c>
      <c r="H421" s="170">
        <f>Tabela10[[#This Row],[M² Da chapa]]*Tabela10[[#This Row],[Qtde Chapas
Liberadas]]</f>
        <v/>
      </c>
      <c r="I421" s="170">
        <f>314.469+181.4244</f>
        <v/>
      </c>
      <c r="J421" s="59">
        <f>Tabela10[[#This Row],[ERP]]/Tabela10[[#This Row],[M² Da chapa]]</f>
        <v/>
      </c>
      <c r="K421" s="170">
        <f>Tabela10[[#This Row],[M² CHAPAS]]-Tabela10[[#This Row],[ERP]]</f>
        <v/>
      </c>
      <c r="L421" s="170">
        <f>Tabela10[[#This Row],[DIFERENÇA M²]]/Tabela10[[#This Row],[M² Da chapa]]</f>
        <v/>
      </c>
    </row>
    <row r="422">
      <c r="A422" s="6" t="n">
        <v>46035</v>
      </c>
      <c r="B422" s="8" t="inlineStr">
        <is>
          <t>N26006</t>
        </is>
      </c>
      <c r="C422" s="168">
        <f>VLOOKUP(LEFT(B422,1),Tabela5[],2,0)</f>
        <v/>
      </c>
      <c r="D422" s="57" t="inlineStr">
        <is>
          <t>MDF - 15MM</t>
        </is>
      </c>
      <c r="E422" s="169">
        <f>VLOOKUP(Tabela10[[#This Row],[Tipo de Chapa]],Tabela11[],2,FALSE)</f>
        <v/>
      </c>
      <c r="F422" s="151">
        <f>753+23</f>
        <v/>
      </c>
      <c r="G422" s="152" t="n">
        <v>0.0575</v>
      </c>
      <c r="H422" s="170">
        <f>Tabela10[[#This Row],[M² Da chapa]]*Tabela10[[#This Row],[Qtde Chapas
Liberadas]]</f>
        <v/>
      </c>
      <c r="I422" s="170" t="n">
        <v>4884.9903</v>
      </c>
      <c r="J422" s="59">
        <f>Tabela10[[#This Row],[ERP]]/Tabela10[[#This Row],[M² Da chapa]]</f>
        <v/>
      </c>
      <c r="K422" s="170">
        <f>Tabela10[[#This Row],[M² CHAPAS]]-Tabela10[[#This Row],[ERP]]</f>
        <v/>
      </c>
      <c r="L422" s="170">
        <f>Tabela10[[#This Row],[DIFERENÇA M²]]/Tabela10[[#This Row],[M² Da chapa]]</f>
        <v/>
      </c>
    </row>
    <row r="423">
      <c r="A423" s="6" t="n">
        <v>46035</v>
      </c>
      <c r="B423" s="8" t="inlineStr">
        <is>
          <t>N26006</t>
        </is>
      </c>
      <c r="C423" s="168">
        <f>VLOOKUP(LEFT(B423,1),Tabela5[],2,0)</f>
        <v/>
      </c>
      <c r="D423" s="57" t="inlineStr">
        <is>
          <t>MDF - 18MM 2750X1850</t>
        </is>
      </c>
      <c r="E423" s="169">
        <f>VLOOKUP(Tabela10[[#This Row],[Tipo de Chapa]],Tabela11[],2,FALSE)</f>
        <v/>
      </c>
      <c r="F423" s="151" t="n">
        <v>6</v>
      </c>
      <c r="G423" s="152" t="n">
        <v>0.101</v>
      </c>
      <c r="H423" s="170">
        <f>Tabela10[[#This Row],[M² Da chapa]]*Tabela10[[#This Row],[Qtde Chapas
Liberadas]]</f>
        <v/>
      </c>
      <c r="I423" s="170" t="n">
        <v>27.2695</v>
      </c>
      <c r="J423" s="59">
        <f>Tabela10[[#This Row],[ERP]]/Tabela10[[#This Row],[M² Da chapa]]</f>
        <v/>
      </c>
      <c r="K423" s="170">
        <f>Tabela10[[#This Row],[M² CHAPAS]]-Tabela10[[#This Row],[ERP]]</f>
        <v/>
      </c>
      <c r="L423" s="170">
        <f>Tabela10[[#This Row],[DIFERENÇA M²]]/Tabela10[[#This Row],[M² Da chapa]]</f>
        <v/>
      </c>
    </row>
    <row r="424">
      <c r="A424" s="6" t="n">
        <v>46037</v>
      </c>
      <c r="B424" s="8" t="inlineStr">
        <is>
          <t>N2600601</t>
        </is>
      </c>
      <c r="C424" s="168">
        <f>VLOOKUP(LEFT(B424,1),Tabela5[],2,0)</f>
        <v/>
      </c>
      <c r="D424" s="57" t="inlineStr">
        <is>
          <t>EUCADUR NT - 2,5MM</t>
        </is>
      </c>
      <c r="E424" s="169">
        <f>VLOOKUP(Tabela10[[#This Row],[Tipo de Chapa]],Tabela11[],2,FALSE)</f>
        <v/>
      </c>
      <c r="F424" s="151" t="n">
        <v>85</v>
      </c>
      <c r="G424" s="152" t="n">
        <v>0.0617</v>
      </c>
      <c r="H424" s="170">
        <f>Tabela10[[#This Row],[M² Da chapa]]*Tabela10[[#This Row],[Qtde Chapas
Liberadas]]</f>
        <v/>
      </c>
      <c r="I424" s="170" t="n">
        <v>558.8875</v>
      </c>
      <c r="J424" s="59">
        <f>Tabela10[[#This Row],[ERP]]/Tabela10[[#This Row],[M² Da chapa]]</f>
        <v/>
      </c>
      <c r="K424" s="170">
        <f>Tabela10[[#This Row],[M² CHAPAS]]-Tabela10[[#This Row],[ERP]]</f>
        <v/>
      </c>
      <c r="L424" s="170">
        <f>Tabela10[[#This Row],[DIFERENÇA M²]]/Tabela10[[#This Row],[M² Da chapa]]</f>
        <v/>
      </c>
    </row>
    <row r="425" ht="28.8" customHeight="1">
      <c r="A425" s="6" t="n">
        <v>46037</v>
      </c>
      <c r="B425" s="8" t="inlineStr">
        <is>
          <t>N2600602| N2600603 | N2600604| N2600606| N2600605</t>
        </is>
      </c>
      <c r="C425" s="168">
        <f>VLOOKUP(LEFT(B425,1),Tabela5[],2,0)</f>
        <v/>
      </c>
      <c r="D425" s="57" t="inlineStr">
        <is>
          <t>EUCADUR NT - 2,5MM</t>
        </is>
      </c>
      <c r="E425" s="169">
        <f>VLOOKUP(Tabela10[[#This Row],[Tipo de Chapa]],Tabela11[],2,FALSE)</f>
        <v/>
      </c>
      <c r="F425" s="151" t="n">
        <v>141</v>
      </c>
      <c r="G425" s="152" t="n">
        <v>0.0605</v>
      </c>
      <c r="H425" s="170">
        <f>Tabela10[[#This Row],[M² Da chapa]]*Tabela10[[#This Row],[Qtde Chapas
Liberadas]]</f>
        <v/>
      </c>
      <c r="I425" s="170" t="n">
        <v>787.4539</v>
      </c>
      <c r="J425" s="59">
        <f>Tabela10[[#This Row],[ERP]]/Tabela10[[#This Row],[M² Da chapa]]</f>
        <v/>
      </c>
      <c r="K425" s="170">
        <f>Tabela10[[#This Row],[M² CHAPAS]]-Tabela10[[#This Row],[ERP]]</f>
        <v/>
      </c>
      <c r="L425" s="170">
        <f>Tabela10[[#This Row],[DIFERENÇA M²]]/Tabela10[[#This Row],[M² Da chapa]]</f>
        <v/>
      </c>
    </row>
    <row r="426">
      <c r="A426" s="6" t="n">
        <v>46037</v>
      </c>
      <c r="B426" s="8" t="inlineStr">
        <is>
          <t>N2601002</t>
        </is>
      </c>
      <c r="C426" s="168">
        <f>VLOOKUP(LEFT(B426,1),Tabela5[],2,0)</f>
        <v/>
      </c>
      <c r="D426" s="57" t="inlineStr">
        <is>
          <t>MDF - 15MM</t>
        </is>
      </c>
      <c r="E426" s="169">
        <f>VLOOKUP(Tabela10[[#This Row],[Tipo de Chapa]],Tabela11[],2,FALSE)</f>
        <v/>
      </c>
      <c r="F426" s="151" t="n">
        <v>41</v>
      </c>
      <c r="G426" s="152" t="n">
        <v>0.0511</v>
      </c>
      <c r="H426" s="170">
        <f>Tabela10[[#This Row],[M² Da chapa]]*Tabela10[[#This Row],[Qtde Chapas
Liberadas]]</f>
        <v/>
      </c>
      <c r="I426" s="170" t="n">
        <v>245.067</v>
      </c>
      <c r="J426" s="59">
        <f>Tabela10[[#This Row],[ERP]]/Tabela10[[#This Row],[M² Da chapa]]</f>
        <v/>
      </c>
      <c r="K426" s="170">
        <f>Tabela10[[#This Row],[M² CHAPAS]]-Tabela10[[#This Row],[ERP]]</f>
        <v/>
      </c>
      <c r="L426" s="170">
        <f>Tabela10[[#This Row],[DIFERENÇA M²]]/Tabela10[[#This Row],[M² Da chapa]]</f>
        <v/>
      </c>
    </row>
    <row r="427">
      <c r="A427" s="6" t="n">
        <v>46037</v>
      </c>
      <c r="B427" s="8" t="inlineStr">
        <is>
          <t>N2600201 | N2600202 | N2600203 | N2600204</t>
        </is>
      </c>
      <c r="C427" s="168">
        <f>VLOOKUP(LEFT(B427,1),Tabela5[],2,0)</f>
        <v/>
      </c>
      <c r="D427" s="57" t="inlineStr">
        <is>
          <t>MDF - 15MM</t>
        </is>
      </c>
      <c r="E427" s="169">
        <f>VLOOKUP(Tabela10[[#This Row],[Tipo de Chapa]],Tabela11[],2,FALSE)</f>
        <v/>
      </c>
      <c r="F427" s="151">
        <f>643+2</f>
        <v/>
      </c>
      <c r="G427" s="152" t="n">
        <v>0.0585</v>
      </c>
      <c r="H427" s="170">
        <f>Tabela10[[#This Row],[M² Da chapa]]*Tabela10[[#This Row],[Qtde Chapas
Liberadas]]</f>
        <v/>
      </c>
      <c r="I427" s="170" t="n">
        <v>3872.2964</v>
      </c>
      <c r="J427" s="59">
        <f>Tabela10[[#This Row],[ERP]]/Tabela10[[#This Row],[M² Da chapa]]</f>
        <v/>
      </c>
      <c r="K427" s="170">
        <f>Tabela10[[#This Row],[M² CHAPAS]]-Tabela10[[#This Row],[ERP]]</f>
        <v/>
      </c>
      <c r="L427" s="170">
        <f>Tabela10[[#This Row],[DIFERENÇA M²]]/Tabela10[[#This Row],[M² Da chapa]]</f>
        <v/>
      </c>
    </row>
    <row r="428">
      <c r="A428" s="6" t="n">
        <v>46038</v>
      </c>
      <c r="B428" s="90" t="inlineStr">
        <is>
          <t>N2601007 | N2601006</t>
        </is>
      </c>
      <c r="C428" s="168">
        <f>VLOOKUP(LEFT(B428,1),Tabela5[],2,0)</f>
        <v/>
      </c>
      <c r="D428" s="57" t="inlineStr">
        <is>
          <t>MDF - 15MM</t>
        </is>
      </c>
      <c r="E428" s="169">
        <f>VLOOKUP(Tabela10[[#This Row],[Tipo de Chapa]],Tabela11[],2,FALSE)</f>
        <v/>
      </c>
      <c r="F428" s="151">
        <f>1025+2</f>
        <v/>
      </c>
      <c r="G428" s="152" t="n">
        <v>0.0518</v>
      </c>
      <c r="H428" s="170">
        <f>Tabela10[[#This Row],[M² Da chapa]]*Tabela10[[#This Row],[Qtde Chapas
Liberadas]]</f>
        <v/>
      </c>
      <c r="I428" s="170" t="n">
        <v>6363.548</v>
      </c>
      <c r="J428" s="59">
        <f>Tabela10[[#This Row],[ERP]]/Tabela10[[#This Row],[M² Da chapa]]</f>
        <v/>
      </c>
      <c r="K428" s="170">
        <f>Tabela10[[#This Row],[M² CHAPAS]]-Tabela10[[#This Row],[ERP]]</f>
        <v/>
      </c>
      <c r="L428" s="170">
        <f>Tabela10[[#This Row],[DIFERENÇA M²]]/Tabela10[[#This Row],[M² Da chapa]]</f>
        <v/>
      </c>
    </row>
    <row r="429" hidden="1">
      <c r="A429" s="6" t="n">
        <v>46038</v>
      </c>
      <c r="B429" s="8" t="inlineStr">
        <is>
          <t>M26001</t>
        </is>
      </c>
      <c r="C429" s="168">
        <f>VLOOKUP(LEFT(B429,1),Tabela5[],2,0)</f>
        <v/>
      </c>
      <c r="D429" s="57" t="inlineStr">
        <is>
          <t>MDF - 15MM</t>
        </is>
      </c>
      <c r="E429" s="169">
        <f>VLOOKUP(Tabela10[[#This Row],[Tipo de Chapa]],Tabela11[],2,FALSE)</f>
        <v/>
      </c>
      <c r="F429" s="151" t="n">
        <v>407</v>
      </c>
      <c r="G429" s="152" t="n">
        <v>0.07240000000000001</v>
      </c>
      <c r="H429" s="170">
        <f>Tabela10[[#This Row],[M² Da chapa]]*Tabela10[[#This Row],[Qtde Chapas
Liberadas]]</f>
        <v/>
      </c>
      <c r="I429" s="170" t="n">
        <v>2375.9248</v>
      </c>
      <c r="J429" s="59">
        <f>Tabela10[[#This Row],[ERP]]/Tabela10[[#This Row],[M² Da chapa]]</f>
        <v/>
      </c>
      <c r="K429" s="170">
        <f>Tabela10[[#This Row],[M² CHAPAS]]-Tabela10[[#This Row],[ERP]]</f>
        <v/>
      </c>
      <c r="L429" s="170">
        <f>Tabela10[[#This Row],[DIFERENÇA M²]]/Tabela10[[#This Row],[M² Da chapa]]</f>
        <v/>
      </c>
    </row>
    <row r="430" hidden="1">
      <c r="A430" s="6" t="n">
        <v>46038</v>
      </c>
      <c r="B430" s="8" t="inlineStr">
        <is>
          <t>M26001</t>
        </is>
      </c>
      <c r="C430" s="168">
        <f>VLOOKUP(LEFT(B430,1),Tabela5[],2,0)</f>
        <v/>
      </c>
      <c r="D430" s="57" t="inlineStr">
        <is>
          <t>EUCADUR NT - 2,5MM</t>
        </is>
      </c>
      <c r="E430" s="169">
        <f>VLOOKUP(Tabela10[[#This Row],[Tipo de Chapa]],Tabela11[],2,FALSE)</f>
        <v/>
      </c>
      <c r="F430" s="151" t="n">
        <v>51</v>
      </c>
      <c r="G430" s="152" t="n">
        <v>0.075</v>
      </c>
      <c r="H430" s="170">
        <f>Tabela10[[#This Row],[M² Da chapa]]*Tabela10[[#This Row],[Qtde Chapas
Liberadas]]</f>
        <v/>
      </c>
      <c r="I430" s="170" t="n">
        <v>340.769</v>
      </c>
      <c r="J430" s="59">
        <f>Tabela10[[#This Row],[ERP]]/Tabela10[[#This Row],[M² Da chapa]]</f>
        <v/>
      </c>
      <c r="K430" s="170">
        <f>Tabela10[[#This Row],[M² CHAPAS]]-Tabela10[[#This Row],[ERP]]</f>
        <v/>
      </c>
      <c r="L430" s="170">
        <f>Tabela10[[#This Row],[DIFERENÇA M²]]/Tabela10[[#This Row],[M² Da chapa]]</f>
        <v/>
      </c>
    </row>
    <row r="431" hidden="1">
      <c r="A431" s="6" t="n">
        <v>46038</v>
      </c>
      <c r="B431" s="8" t="inlineStr">
        <is>
          <t>M26001</t>
        </is>
      </c>
      <c r="C431" s="168">
        <f>VLOOKUP(LEFT(B431,1),Tabela5[],2,0)</f>
        <v/>
      </c>
      <c r="D431" s="57" t="inlineStr">
        <is>
          <t>EUCADUR BR - 2,5MM</t>
        </is>
      </c>
      <c r="E431" s="169">
        <f>VLOOKUP(Tabela10[[#This Row],[Tipo de Chapa]],Tabela11[],2,FALSE)</f>
        <v/>
      </c>
      <c r="F431" s="151" t="n">
        <v>72</v>
      </c>
      <c r="G431" s="152" t="n">
        <v>0.051</v>
      </c>
      <c r="H431" s="170">
        <f>Tabela10[[#This Row],[M² Da chapa]]*Tabela10[[#This Row],[Qtde Chapas
Liberadas]]</f>
        <v/>
      </c>
      <c r="I431" s="170" t="n">
        <v>340.769</v>
      </c>
      <c r="J431" s="59">
        <f>Tabela10[[#This Row],[ERP]]/Tabela10[[#This Row],[M² Da chapa]]</f>
        <v/>
      </c>
      <c r="K431" s="170">
        <f>Tabela10[[#This Row],[M² CHAPAS]]-Tabela10[[#This Row],[ERP]]</f>
        <v/>
      </c>
      <c r="L431" s="170">
        <f>Tabela10[[#This Row],[DIFERENÇA M²]]/Tabela10[[#This Row],[M² Da chapa]]</f>
        <v/>
      </c>
    </row>
    <row r="432" hidden="1">
      <c r="A432" s="6" t="n">
        <v>46038</v>
      </c>
      <c r="B432" s="8" t="inlineStr">
        <is>
          <t>M26002</t>
        </is>
      </c>
      <c r="C432" s="168">
        <f>VLOOKUP(LEFT(B432,1),Tabela5[],2,0)</f>
        <v/>
      </c>
      <c r="D432" s="57" t="inlineStr">
        <is>
          <t>MDF - 15MM</t>
        </is>
      </c>
      <c r="E432" s="169">
        <f>VLOOKUP(Tabela10[[#This Row],[Tipo de Chapa]],Tabela11[],2,FALSE)</f>
        <v/>
      </c>
      <c r="F432" s="151">
        <f>8318.75/6.05</f>
        <v/>
      </c>
      <c r="G432" s="152" t="n">
        <v>0.064</v>
      </c>
      <c r="H432" s="170">
        <f>Tabela10[[#This Row],[M² Da chapa]]*Tabela10[[#This Row],[Qtde Chapas
Liberadas]]</f>
        <v/>
      </c>
      <c r="I432" s="170" t="n">
        <v>8302.4053</v>
      </c>
      <c r="J432" s="59">
        <f>Tabela10[[#This Row],[ERP]]/Tabela10[[#This Row],[M² Da chapa]]</f>
        <v/>
      </c>
      <c r="K432" s="170">
        <f>Tabela10[[#This Row],[M² CHAPAS]]-Tabela10[[#This Row],[ERP]]</f>
        <v/>
      </c>
      <c r="L432" s="170">
        <f>Tabela10[[#This Row],[DIFERENÇA M²]]/Tabela10[[#This Row],[M² Da chapa]]</f>
        <v/>
      </c>
    </row>
    <row r="433" hidden="1">
      <c r="A433" s="6" t="n">
        <v>46038</v>
      </c>
      <c r="B433" s="8" t="inlineStr">
        <is>
          <t>M26002</t>
        </is>
      </c>
      <c r="C433" s="168">
        <f>VLOOKUP(LEFT(B433,1),Tabela5[],2,0)</f>
        <v/>
      </c>
      <c r="D433" s="57" t="inlineStr">
        <is>
          <t>MDF - 9MM</t>
        </is>
      </c>
      <c r="E433" s="169">
        <f>VLOOKUP(Tabela10[[#This Row],[Tipo de Chapa]],Tabela11[],2,FALSE)</f>
        <v/>
      </c>
      <c r="F433" s="151">
        <f>1188.72/5.08</f>
        <v/>
      </c>
      <c r="G433" s="152" t="n">
        <v>0.0441</v>
      </c>
      <c r="H433" s="170">
        <f>Tabela10[[#This Row],[M² Da chapa]]*Tabela10[[#This Row],[Qtde Chapas
Liberadas]]</f>
        <v/>
      </c>
      <c r="I433" s="170" t="n">
        <v>1157.3926</v>
      </c>
      <c r="J433" s="59">
        <f>Tabela10[[#This Row],[ERP]]/Tabela10[[#This Row],[M² Da chapa]]</f>
        <v/>
      </c>
      <c r="K433" s="170">
        <f>Tabela10[[#This Row],[M² CHAPAS]]-Tabela10[[#This Row],[ERP]]</f>
        <v/>
      </c>
      <c r="L433" s="170">
        <f>Tabela10[[#This Row],[DIFERENÇA M²]]/Tabela10[[#This Row],[M² Da chapa]]</f>
        <v/>
      </c>
    </row>
    <row r="434" hidden="1">
      <c r="A434" s="6" t="n">
        <v>46038</v>
      </c>
      <c r="B434" s="8" t="inlineStr">
        <is>
          <t>M26002</t>
        </is>
      </c>
      <c r="C434" s="168">
        <f>VLOOKUP(LEFT(B434,1),Tabela5[],2,0)</f>
        <v/>
      </c>
      <c r="D434" s="57" t="inlineStr">
        <is>
          <t>EUCADUR NT - 2,5MM</t>
        </is>
      </c>
      <c r="E434" s="169">
        <f>VLOOKUP(Tabela10[[#This Row],[Tipo de Chapa]],Tabela11[],2,FALSE)</f>
        <v/>
      </c>
      <c r="F434" s="151" t="n">
        <v>430</v>
      </c>
      <c r="G434" s="152" t="n">
        <v>0.059</v>
      </c>
      <c r="H434" s="170">
        <f>Tabela10[[#This Row],[M² Da chapa]]*Tabela10[[#This Row],[Qtde Chapas
Liberadas]]</f>
        <v/>
      </c>
      <c r="I434" s="170" t="n">
        <v>2199.7995</v>
      </c>
      <c r="J434" s="59">
        <f>Tabela10[[#This Row],[ERP]]/Tabela10[[#This Row],[M² Da chapa]]</f>
        <v/>
      </c>
      <c r="K434" s="170">
        <f>Tabela10[[#This Row],[M² CHAPAS]]-Tabela10[[#This Row],[ERP]]</f>
        <v/>
      </c>
      <c r="L434" s="170">
        <f>Tabela10[[#This Row],[DIFERENÇA M²]]/Tabela10[[#This Row],[M² Da chapa]]</f>
        <v/>
      </c>
    </row>
    <row r="435" hidden="1">
      <c r="A435" s="6" t="n">
        <v>46038</v>
      </c>
      <c r="B435" s="8" t="inlineStr">
        <is>
          <t>M26002</t>
        </is>
      </c>
      <c r="C435" s="168">
        <f>VLOOKUP(LEFT(B435,1),Tabela5[],2,0)</f>
        <v/>
      </c>
      <c r="D435" s="57" t="inlineStr">
        <is>
          <t>EUCADUR BR - 2,5MM</t>
        </is>
      </c>
      <c r="E435" s="169">
        <f>VLOOKUP(Tabela10[[#This Row],[Tipo de Chapa]],Tabela11[],2,FALSE)</f>
        <v/>
      </c>
      <c r="F435" s="151" t="n">
        <v>168</v>
      </c>
      <c r="G435" s="152" t="n">
        <v>0.054</v>
      </c>
      <c r="H435" s="170">
        <f>Tabela10[[#This Row],[M² Da chapa]]*Tabela10[[#This Row],[Qtde Chapas
Liberadas]]</f>
        <v/>
      </c>
      <c r="I435" s="170" t="n">
        <v>850.6286</v>
      </c>
      <c r="J435" s="59">
        <f>Tabela10[[#This Row],[ERP]]/Tabela10[[#This Row],[M² Da chapa]]</f>
        <v/>
      </c>
      <c r="K435" s="170">
        <f>Tabela10[[#This Row],[M² CHAPAS]]-Tabela10[[#This Row],[ERP]]</f>
        <v/>
      </c>
      <c r="L435" s="170">
        <f>Tabela10[[#This Row],[DIFERENÇA M²]]/Tabela10[[#This Row],[M² Da chapa]]</f>
        <v/>
      </c>
    </row>
    <row r="436" hidden="1">
      <c r="A436" s="6" t="n">
        <v>46038</v>
      </c>
      <c r="B436" s="8" t="inlineStr">
        <is>
          <t>M26003</t>
        </is>
      </c>
      <c r="C436" s="168">
        <f>VLOOKUP(LEFT(B436,1),Tabela5[],2,0)</f>
        <v/>
      </c>
      <c r="D436" s="57" t="inlineStr">
        <is>
          <t>MDF - 15MM</t>
        </is>
      </c>
      <c r="E436" s="169">
        <f>VLOOKUP(Tabela10[[#This Row],[Tipo de Chapa]],Tabela11[],2,FALSE)</f>
        <v/>
      </c>
      <c r="F436" s="101" t="n">
        <v>1392</v>
      </c>
      <c r="G436" s="152" t="n">
        <v>0.06619999999999999</v>
      </c>
      <c r="H436" s="170">
        <f>Tabela10[[#This Row],[M² Da chapa]]*Tabela10[[#This Row],[Qtde Chapas
Liberadas]]</f>
        <v/>
      </c>
      <c r="I436" s="170" t="n">
        <v>7289.72</v>
      </c>
      <c r="J436" s="59">
        <f>Tabela10[[#This Row],[ERP]]/Tabela10[[#This Row],[M² Da chapa]]</f>
        <v/>
      </c>
      <c r="K436" s="170">
        <f>Tabela10[[#This Row],[M² CHAPAS]]-Tabela10[[#This Row],[ERP]]</f>
        <v/>
      </c>
      <c r="L436" s="170">
        <f>Tabela10[[#This Row],[DIFERENÇA M²]]/Tabela10[[#This Row],[M² Da chapa]]</f>
        <v/>
      </c>
    </row>
    <row r="437" hidden="1">
      <c r="A437" s="6" t="n">
        <v>46038</v>
      </c>
      <c r="B437" s="8" t="inlineStr">
        <is>
          <t>M26003</t>
        </is>
      </c>
      <c r="C437" s="168">
        <f>VLOOKUP(LEFT(B437,1),Tabela5[],2,0)</f>
        <v/>
      </c>
      <c r="D437" s="57" t="inlineStr">
        <is>
          <t>MDF - 9MM</t>
        </is>
      </c>
      <c r="E437" s="169">
        <f>VLOOKUP(Tabela10[[#This Row],[Tipo de Chapa]],Tabela11[],2,FALSE)</f>
        <v/>
      </c>
      <c r="F437" s="151" t="n">
        <v>78</v>
      </c>
      <c r="G437" s="152" t="n">
        <v>0.0386</v>
      </c>
      <c r="H437" s="170">
        <f>Tabela10[[#This Row],[M² Da chapa]]*Tabela10[[#This Row],[Qtde Chapas
Liberadas]]</f>
        <v/>
      </c>
      <c r="I437" s="170" t="n">
        <v>395.6726</v>
      </c>
      <c r="J437" s="59">
        <f>Tabela10[[#This Row],[ERP]]/Tabela10[[#This Row],[M² Da chapa]]</f>
        <v/>
      </c>
      <c r="K437" s="170">
        <f>Tabela10[[#This Row],[M² CHAPAS]]-Tabela10[[#This Row],[ERP]]</f>
        <v/>
      </c>
      <c r="L437" s="170">
        <f>Tabela10[[#This Row],[DIFERENÇA M²]]/Tabela10[[#This Row],[M² Da chapa]]</f>
        <v/>
      </c>
    </row>
    <row r="438" hidden="1">
      <c r="A438" s="6" t="n">
        <v>46038</v>
      </c>
      <c r="B438" s="8" t="inlineStr">
        <is>
          <t>M26003</t>
        </is>
      </c>
      <c r="C438" s="168">
        <f>VLOOKUP(LEFT(B438,1),Tabela5[],2,0)</f>
        <v/>
      </c>
      <c r="D438" s="57" t="inlineStr">
        <is>
          <t>EUCADUR NT - 2,5MM</t>
        </is>
      </c>
      <c r="E438" s="169">
        <f>VLOOKUP(Tabela10[[#This Row],[Tipo de Chapa]],Tabela11[],2,FALSE)</f>
        <v/>
      </c>
      <c r="F438" s="151" t="n">
        <v>193</v>
      </c>
      <c r="G438" s="152" t="n">
        <v>0.0589</v>
      </c>
      <c r="H438" s="170">
        <f>Tabela10[[#This Row],[M² Da chapa]]*Tabela10[[#This Row],[Qtde Chapas
Liberadas]]</f>
        <v/>
      </c>
      <c r="I438" s="170" t="n">
        <v>833.1889</v>
      </c>
      <c r="J438" s="59">
        <f>Tabela10[[#This Row],[ERP]]/Tabela10[[#This Row],[M² Da chapa]]</f>
        <v/>
      </c>
      <c r="K438" s="170">
        <f>Tabela10[[#This Row],[M² CHAPAS]]-Tabela10[[#This Row],[ERP]]</f>
        <v/>
      </c>
      <c r="L438" s="170">
        <f>Tabela10[[#This Row],[DIFERENÇA M²]]/Tabela10[[#This Row],[M² Da chapa]]</f>
        <v/>
      </c>
    </row>
    <row r="439" hidden="1">
      <c r="A439" s="6" t="n">
        <v>46038</v>
      </c>
      <c r="B439" s="8" t="inlineStr">
        <is>
          <t>M26003</t>
        </is>
      </c>
      <c r="C439" s="168">
        <f>VLOOKUP(LEFT(B439,1),Tabela5[],2,0)</f>
        <v/>
      </c>
      <c r="D439" s="57" t="inlineStr">
        <is>
          <t>EUCADUR BR - 2,5MM</t>
        </is>
      </c>
      <c r="E439" s="169">
        <f>VLOOKUP(Tabela10[[#This Row],[Tipo de Chapa]],Tabela11[],2,FALSE)</f>
        <v/>
      </c>
      <c r="F439" s="151" t="n">
        <v>261</v>
      </c>
      <c r="G439" s="152" t="n">
        <v>0.079</v>
      </c>
      <c r="H439" s="170">
        <f>Tabela10[[#This Row],[M² Da chapa]]*Tabela10[[#This Row],[Qtde Chapas
Liberadas]]</f>
        <v/>
      </c>
      <c r="I439" s="170" t="n">
        <v>1689.8109</v>
      </c>
      <c r="J439" s="59">
        <f>Tabela10[[#This Row],[ERP]]/Tabela10[[#This Row],[M² Da chapa]]</f>
        <v/>
      </c>
      <c r="K439" s="170">
        <f>Tabela10[[#This Row],[M² CHAPAS]]-Tabela10[[#This Row],[ERP]]</f>
        <v/>
      </c>
      <c r="L439" s="170">
        <f>Tabela10[[#This Row],[DIFERENÇA M²]]/Tabela10[[#This Row],[M² Da chapa]]</f>
        <v/>
      </c>
    </row>
    <row r="440" hidden="1">
      <c r="A440" s="6" t="n">
        <v>46038</v>
      </c>
      <c r="B440" s="8" t="inlineStr">
        <is>
          <t>M26004</t>
        </is>
      </c>
      <c r="C440" s="168">
        <f>VLOOKUP(LEFT(B440,1),Tabela5[],2,0)</f>
        <v/>
      </c>
      <c r="D440" s="57" t="inlineStr">
        <is>
          <t>MDF - 15MM</t>
        </is>
      </c>
      <c r="E440" s="169">
        <f>VLOOKUP(Tabela10[[#This Row],[Tipo de Chapa]],Tabela11[],2,FALSE)</f>
        <v/>
      </c>
      <c r="F440" s="151" t="n">
        <v>1305</v>
      </c>
      <c r="G440" s="152" t="n">
        <v>0.0583</v>
      </c>
      <c r="H440" s="170">
        <f>Tabela10[[#This Row],[M² Da chapa]]*Tabela10[[#This Row],[Qtde Chapas
Liberadas]]</f>
        <v/>
      </c>
      <c r="I440" s="170" t="n">
        <v>7988.5568</v>
      </c>
      <c r="J440" s="59">
        <f>Tabela10[[#This Row],[ERP]]/Tabela10[[#This Row],[M² Da chapa]]</f>
        <v/>
      </c>
      <c r="K440" s="170">
        <f>Tabela10[[#This Row],[M² CHAPAS]]-Tabela10[[#This Row],[ERP]]</f>
        <v/>
      </c>
      <c r="L440" s="170">
        <f>Tabela10[[#This Row],[DIFERENÇA M²]]/Tabela10[[#This Row],[M² Da chapa]]</f>
        <v/>
      </c>
    </row>
    <row r="441" hidden="1">
      <c r="A441" s="6" t="n">
        <v>46038</v>
      </c>
      <c r="B441" s="8" t="inlineStr">
        <is>
          <t>M26004</t>
        </is>
      </c>
      <c r="C441" s="168">
        <f>VLOOKUP(LEFT(B441,1),Tabela5[],2,0)</f>
        <v/>
      </c>
      <c r="D441" s="57" t="inlineStr">
        <is>
          <t>MDF - 9MM</t>
        </is>
      </c>
      <c r="E441" s="169">
        <f>VLOOKUP(Tabela10[[#This Row],[Tipo de Chapa]],Tabela11[],2,FALSE)</f>
        <v/>
      </c>
      <c r="F441" s="151" t="n">
        <v>44</v>
      </c>
      <c r="G441" s="152" t="n">
        <v>0.028</v>
      </c>
      <c r="H441" s="170">
        <f>Tabela10[[#This Row],[M² Da chapa]]*Tabela10[[#This Row],[Qtde Chapas
Liberadas]]</f>
        <v/>
      </c>
      <c r="I441" s="170" t="n">
        <v>222.5655</v>
      </c>
      <c r="J441" s="59">
        <f>Tabela10[[#This Row],[ERP]]/Tabela10[[#This Row],[M² Da chapa]]</f>
        <v/>
      </c>
      <c r="K441" s="170">
        <f>Tabela10[[#This Row],[M² CHAPAS]]-Tabela10[[#This Row],[ERP]]</f>
        <v/>
      </c>
      <c r="L441" s="170">
        <f>Tabela10[[#This Row],[DIFERENÇA M²]]/Tabela10[[#This Row],[M² Da chapa]]</f>
        <v/>
      </c>
    </row>
    <row r="442">
      <c r="A442" s="6" t="n">
        <v>46041</v>
      </c>
      <c r="B442" s="8" t="inlineStr">
        <is>
          <t>N2601007 | N2601006</t>
        </is>
      </c>
      <c r="C442" s="168">
        <f>VLOOKUP(LEFT(B442,1),Tabela5[],2,0)</f>
        <v/>
      </c>
      <c r="D442" s="57" t="inlineStr">
        <is>
          <t>EUCADUR FRJ - 2,5MM</t>
        </is>
      </c>
      <c r="E442" s="169">
        <f>VLOOKUP(Tabela10[[#This Row],[Tipo de Chapa]],Tabela11[],2,FALSE)</f>
        <v/>
      </c>
      <c r="F442" s="151" t="n">
        <v>484</v>
      </c>
      <c r="G442" s="152" t="n">
        <v>0.0644</v>
      </c>
      <c r="H442" s="170">
        <f>Tabela10[[#This Row],[M² Da chapa]]*Tabela10[[#This Row],[Qtde Chapas
Liberadas]]</f>
        <v/>
      </c>
      <c r="I442" s="170" t="n">
        <v>2543.0354</v>
      </c>
      <c r="J442" s="59">
        <f>Tabela10[[#This Row],[ERP]]/Tabela10[[#This Row],[M² Da chapa]]</f>
        <v/>
      </c>
      <c r="K442" s="170">
        <f>Tabela10[[#This Row],[M² CHAPAS]]-Tabela10[[#This Row],[ERP]]</f>
        <v/>
      </c>
      <c r="L442" s="170">
        <f>Tabela10[[#This Row],[DIFERENÇA M²]]/Tabela10[[#This Row],[M² Da chapa]]</f>
        <v/>
      </c>
    </row>
    <row r="443">
      <c r="A443" s="6" t="n">
        <v>46041</v>
      </c>
      <c r="B443" s="8" t="inlineStr">
        <is>
          <t>N2601002</t>
        </is>
      </c>
      <c r="C443" s="168">
        <f>VLOOKUP(LEFT(B443,1),Tabela5[],2,0)</f>
        <v/>
      </c>
      <c r="D443" s="57" t="inlineStr">
        <is>
          <t>EUCADUR NT - 2,5MM</t>
        </is>
      </c>
      <c r="E443" s="169">
        <f>VLOOKUP(Tabela10[[#This Row],[Tipo de Chapa]],Tabela11[],2,FALSE)</f>
        <v/>
      </c>
      <c r="F443" s="151" t="n">
        <v>10</v>
      </c>
      <c r="G443" s="152" t="n">
        <v>0.06510000000000001</v>
      </c>
      <c r="H443" s="170">
        <f>Tabela10[[#This Row],[M² Da chapa]]*Tabela10[[#This Row],[Qtde Chapas
Liberadas]]</f>
        <v/>
      </c>
      <c r="I443" s="170" t="n">
        <v>46.5484</v>
      </c>
      <c r="J443" s="59">
        <f>Tabela10[[#This Row],[ERP]]/Tabela10[[#This Row],[M² Da chapa]]</f>
        <v/>
      </c>
      <c r="K443" s="170">
        <f>Tabela10[[#This Row],[M² CHAPAS]]-Tabela10[[#This Row],[ERP]]</f>
        <v/>
      </c>
      <c r="L443" s="170">
        <f>Tabela10[[#This Row],[DIFERENÇA M²]]/Tabela10[[#This Row],[M² Da chapa]]</f>
        <v/>
      </c>
    </row>
    <row r="444">
      <c r="A444" s="6" t="n">
        <v>46041</v>
      </c>
      <c r="B444" s="8" t="inlineStr">
        <is>
          <t>N2600201 | N2600202 | N2600203 | N2600204</t>
        </is>
      </c>
      <c r="C444" s="168">
        <f>VLOOKUP(LEFT(B444,1),Tabela5[],2,0)</f>
        <v/>
      </c>
      <c r="D444" s="57" t="inlineStr">
        <is>
          <t>EUCADUR NT - 2,5MM</t>
        </is>
      </c>
      <c r="E444" s="169">
        <f>VLOOKUP(Tabela10[[#This Row],[Tipo de Chapa]],Tabela11[],2,FALSE)</f>
        <v/>
      </c>
      <c r="F444" s="151" t="n">
        <v>184</v>
      </c>
      <c r="G444" s="152" t="n">
        <v>0.0605</v>
      </c>
      <c r="H444" s="170">
        <f>Tabela10[[#This Row],[M² Da chapa]]*Tabela10[[#This Row],[Qtde Chapas
Liberadas]]</f>
        <v/>
      </c>
      <c r="I444" s="170" t="n">
        <v>1327.1443</v>
      </c>
      <c r="J444" s="59">
        <f>Tabela10[[#This Row],[ERP]]/Tabela10[[#This Row],[M² Da chapa]]</f>
        <v/>
      </c>
      <c r="K444" s="170">
        <f>Tabela10[[#This Row],[M² CHAPAS]]-Tabela10[[#This Row],[ERP]]</f>
        <v/>
      </c>
      <c r="L444" s="170">
        <f>Tabela10[[#This Row],[DIFERENÇA M²]]/Tabela10[[#This Row],[M² Da chapa]]</f>
        <v/>
      </c>
    </row>
    <row r="445">
      <c r="A445" s="6" t="n">
        <v>46041</v>
      </c>
      <c r="B445" s="8" t="inlineStr">
        <is>
          <t>N2600201 | N2600202 | N2600203 | N2600204</t>
        </is>
      </c>
      <c r="C445" s="168">
        <f>VLOOKUP(LEFT(B445,1),Tabela5[],2,0)</f>
        <v/>
      </c>
      <c r="D445" s="57" t="inlineStr">
        <is>
          <t>SOBRAS DE TERCEIROS NT</t>
        </is>
      </c>
      <c r="E445" s="169">
        <f>VLOOKUP(Tabela10[[#This Row],[Tipo de Chapa]],Tabela11[],2,FALSE)</f>
        <v/>
      </c>
      <c r="F445" s="151" t="inlineStr">
        <is>
          <t>-</t>
        </is>
      </c>
      <c r="G445" s="152" t="inlineStr">
        <is>
          <t>-</t>
        </is>
      </c>
      <c r="H445" s="170" t="n">
        <v>83.2218</v>
      </c>
      <c r="I445" s="170" t="inlineStr">
        <is>
          <t>-</t>
        </is>
      </c>
      <c r="J445" s="170" t="inlineStr">
        <is>
          <t>-</t>
        </is>
      </c>
      <c r="K445" s="170" t="inlineStr">
        <is>
          <t>-</t>
        </is>
      </c>
      <c r="L445" s="170" t="inlineStr">
        <is>
          <t>-</t>
        </is>
      </c>
    </row>
    <row r="446">
      <c r="A446" s="6" t="n">
        <v>46042</v>
      </c>
      <c r="B446" s="8" t="inlineStr">
        <is>
          <t>N2600205 | N2600206 | N2600207</t>
        </is>
      </c>
      <c r="C446" s="168">
        <f>VLOOKUP(LEFT(B446,1),Tabela5[],2,0)</f>
        <v/>
      </c>
      <c r="D446" s="57" t="inlineStr">
        <is>
          <t>MDF - 15MM</t>
        </is>
      </c>
      <c r="E446" s="169">
        <f>VLOOKUP(Tabela10[[#This Row],[Tipo de Chapa]],Tabela11[],2,FALSE)</f>
        <v/>
      </c>
      <c r="F446" s="151" t="n">
        <v>556</v>
      </c>
      <c r="G446" s="152" t="n">
        <v>0.0568</v>
      </c>
      <c r="H446" s="170">
        <f>Tabela10[[#This Row],[M² Da chapa]]*Tabela10[[#This Row],[Qtde Chapas
Liberadas]]</f>
        <v/>
      </c>
      <c r="I446" s="170" t="n">
        <v>2783.1371</v>
      </c>
      <c r="J446" s="59">
        <f>Tabela10[[#This Row],[ERP]]/Tabela10[[#This Row],[M² Da chapa]]</f>
        <v/>
      </c>
      <c r="K446" s="170">
        <f>Tabela10[[#This Row],[M² CHAPAS]]-Tabela10[[#This Row],[ERP]]</f>
        <v/>
      </c>
      <c r="L446" s="170">
        <f>Tabela10[[#This Row],[DIFERENÇA M²]]/Tabela10[[#This Row],[M² Da chapa]]</f>
        <v/>
      </c>
    </row>
    <row r="447">
      <c r="A447" s="6" t="n">
        <v>46042</v>
      </c>
      <c r="B447" s="8" t="inlineStr">
        <is>
          <t>N2600205 | N2600207</t>
        </is>
      </c>
      <c r="C447" s="168">
        <f>VLOOKUP(LEFT(B447,1),Tabela5[],2,0)</f>
        <v/>
      </c>
      <c r="D447" s="57" t="inlineStr">
        <is>
          <t>MDF - 25MM 2750x2200</t>
        </is>
      </c>
      <c r="E447" s="169">
        <f>VLOOKUP(Tabela10[[#This Row],[Tipo de Chapa]],Tabela11[],2,FALSE)</f>
        <v/>
      </c>
      <c r="F447" s="151" t="n">
        <v>44</v>
      </c>
      <c r="G447" s="152" t="n">
        <v>0.0643</v>
      </c>
      <c r="H447" s="170">
        <f>Tabela10[[#This Row],[M² Da chapa]]*Tabela10[[#This Row],[Qtde Chapas
Liberadas]]</f>
        <v/>
      </c>
      <c r="I447" s="170" t="n">
        <v>269.3957</v>
      </c>
      <c r="J447" s="59">
        <f>Tabela10[[#This Row],[ERP]]/Tabela10[[#This Row],[M² Da chapa]]</f>
        <v/>
      </c>
      <c r="K447" s="170">
        <f>Tabela10[[#This Row],[M² CHAPAS]]-Tabela10[[#This Row],[ERP]]</f>
        <v/>
      </c>
      <c r="L447" s="170">
        <f>Tabela10[[#This Row],[DIFERENÇA M²]]/Tabela10[[#This Row],[M² Da chapa]]</f>
        <v/>
      </c>
    </row>
    <row r="448">
      <c r="A448" s="6" t="n">
        <v>46042</v>
      </c>
      <c r="B448" s="8" t="inlineStr">
        <is>
          <t>N2601101</t>
        </is>
      </c>
      <c r="C448" s="168">
        <f>VLOOKUP(LEFT(B448,1),Tabela5[],2,0)</f>
        <v/>
      </c>
      <c r="D448" s="57" t="inlineStr">
        <is>
          <t>MDF - 15MM</t>
        </is>
      </c>
      <c r="E448" s="169">
        <f>VLOOKUP(Tabela10[[#This Row],[Tipo de Chapa]],Tabela11[],2,FALSE)</f>
        <v/>
      </c>
      <c r="F448" s="151" t="n">
        <v>78</v>
      </c>
      <c r="G448" s="152" t="n">
        <v>0.0532</v>
      </c>
      <c r="H448" s="170">
        <f>Tabela10[[#This Row],[M² Da chapa]]*Tabela10[[#This Row],[Qtde Chapas
Liberadas]]</f>
        <v/>
      </c>
      <c r="I448" s="170" t="n">
        <v>706.5309999999999</v>
      </c>
      <c r="J448" s="59">
        <f>Tabela10[[#This Row],[ERP]]/Tabela10[[#This Row],[M² Da chapa]]</f>
        <v/>
      </c>
      <c r="K448" s="170">
        <f>Tabela10[[#This Row],[M² CHAPAS]]-Tabela10[[#This Row],[ERP]]</f>
        <v/>
      </c>
      <c r="L448" s="170">
        <f>Tabela10[[#This Row],[DIFERENÇA M²]]/Tabela10[[#This Row],[M² Da chapa]]</f>
        <v/>
      </c>
    </row>
    <row r="449">
      <c r="A449" s="6" t="n">
        <v>46042</v>
      </c>
      <c r="B449" s="8" t="inlineStr">
        <is>
          <t>N2601101</t>
        </is>
      </c>
      <c r="C449" s="168">
        <f>VLOOKUP(LEFT(B449,1),Tabela5[],2,0)</f>
        <v/>
      </c>
      <c r="D449" s="57" t="inlineStr">
        <is>
          <t>MDF - 25MM 2750x2200</t>
        </is>
      </c>
      <c r="E449" s="169">
        <f>VLOOKUP(Tabela10[[#This Row],[Tipo de Chapa]],Tabela11[],2,FALSE)</f>
        <v/>
      </c>
      <c r="F449" s="151" t="n">
        <v>4</v>
      </c>
      <c r="G449" s="152" t="n">
        <v>0.0461</v>
      </c>
      <c r="H449" s="170">
        <f>Tabela10[[#This Row],[M² Da chapa]]*Tabela10[[#This Row],[Qtde Chapas
Liberadas]]</f>
        <v/>
      </c>
      <c r="I449" s="170" t="n">
        <v>141.64</v>
      </c>
      <c r="J449" s="59">
        <f>Tabela10[[#This Row],[ERP]]/Tabela10[[#This Row],[M² Da chapa]]</f>
        <v/>
      </c>
      <c r="K449" s="170">
        <f>Tabela10[[#This Row],[M² CHAPAS]]-Tabela10[[#This Row],[ERP]]</f>
        <v/>
      </c>
      <c r="L449" s="170">
        <f>Tabela10[[#This Row],[DIFERENÇA M²]]/Tabela10[[#This Row],[M² Da chapa]]</f>
        <v/>
      </c>
    </row>
    <row r="450" hidden="1">
      <c r="A450" s="6" t="n">
        <v>46044</v>
      </c>
      <c r="B450" s="8" t="inlineStr">
        <is>
          <t>M26004</t>
        </is>
      </c>
      <c r="C450" s="168">
        <f>VLOOKUP(LEFT(B450,1),Tabela5[],2,0)</f>
        <v/>
      </c>
      <c r="D450" s="57" t="inlineStr">
        <is>
          <t>EUCADUR NT - 2,5MM</t>
        </is>
      </c>
      <c r="E450" s="169">
        <f>VLOOKUP(Tabela10[[#This Row],[Tipo de Chapa]],Tabela11[],2,FALSE)</f>
        <v/>
      </c>
      <c r="F450" s="151" t="n">
        <v>420</v>
      </c>
      <c r="G450" s="152" t="n">
        <v>0.0597</v>
      </c>
      <c r="H450" s="170">
        <f>Tabela10[[#This Row],[M² Da chapa]]*Tabela10[[#This Row],[Qtde Chapas
Liberadas]]</f>
        <v/>
      </c>
      <c r="I450" s="170" t="n">
        <v>2603.7194</v>
      </c>
      <c r="J450" s="59">
        <f>Tabela10[[#This Row],[ERP]]/Tabela10[[#This Row],[M² Da chapa]]</f>
        <v/>
      </c>
      <c r="K450" s="170">
        <f>Tabela10[[#This Row],[M² CHAPAS]]-Tabela10[[#This Row],[ERP]]</f>
        <v/>
      </c>
      <c r="L450" s="170">
        <f>Tabela10[[#This Row],[DIFERENÇA M²]]/Tabela10[[#This Row],[M² Da chapa]]</f>
        <v/>
      </c>
    </row>
    <row r="451" hidden="1">
      <c r="A451" s="6" t="n">
        <v>46044</v>
      </c>
      <c r="B451" s="8" t="inlineStr">
        <is>
          <t>I26001</t>
        </is>
      </c>
      <c r="C451" s="168">
        <f>VLOOKUP(LEFT(B451,1),Tabela5[],2,0)</f>
        <v/>
      </c>
      <c r="D451" s="57" t="inlineStr">
        <is>
          <t>MDF - 15MM</t>
        </is>
      </c>
      <c r="E451" s="169">
        <f>VLOOKUP(Tabela10[[#This Row],[Tipo de Chapa]],Tabela11[],2,FALSE)</f>
        <v/>
      </c>
      <c r="F451" s="151" t="n">
        <v>1258</v>
      </c>
      <c r="G451" s="152" t="n">
        <v>0.0555</v>
      </c>
      <c r="H451" s="170">
        <f>Tabela10[[#This Row],[M² Da chapa]]*Tabela10[[#This Row],[Qtde Chapas
Liberadas]]</f>
        <v/>
      </c>
      <c r="I451" s="170" t="n">
        <v>7901.1882</v>
      </c>
      <c r="J451" s="59">
        <f>Tabela10[[#This Row],[ERP]]/Tabela10[[#This Row],[M² Da chapa]]</f>
        <v/>
      </c>
      <c r="K451" s="170">
        <f>Tabela10[[#This Row],[M² CHAPAS]]-Tabela10[[#This Row],[ERP]]</f>
        <v/>
      </c>
      <c r="L451" s="170">
        <f>Tabela10[[#This Row],[DIFERENÇA M²]]/Tabela10[[#This Row],[M² Da chapa]]</f>
        <v/>
      </c>
    </row>
    <row r="452" hidden="1">
      <c r="A452" s="6" t="n">
        <v>46044</v>
      </c>
      <c r="B452" s="8" t="inlineStr">
        <is>
          <t>i26001</t>
        </is>
      </c>
      <c r="C452" s="168">
        <f>VLOOKUP(LEFT(B452,1),Tabela5[],2,0)</f>
        <v/>
      </c>
      <c r="D452" s="57" t="inlineStr">
        <is>
          <t>MDF - 9MM</t>
        </is>
      </c>
      <c r="E452" s="169">
        <f>VLOOKUP(Tabela10[[#This Row],[Tipo de Chapa]],Tabela11[],2,FALSE)</f>
        <v/>
      </c>
      <c r="F452" s="151" t="n">
        <v>70</v>
      </c>
      <c r="G452" s="152" t="n">
        <v>0.08119999999999999</v>
      </c>
      <c r="H452" s="170">
        <f>Tabela10[[#This Row],[M² Da chapa]]*Tabela10[[#This Row],[Qtde Chapas
Liberadas]]</f>
        <v/>
      </c>
      <c r="I452" s="170" t="n">
        <v>309.9634</v>
      </c>
      <c r="J452" s="59">
        <f>Tabela10[[#This Row],[ERP]]/Tabela10[[#This Row],[M² Da chapa]]</f>
        <v/>
      </c>
      <c r="K452" s="170">
        <f>Tabela10[[#This Row],[M² CHAPAS]]-Tabela10[[#This Row],[ERP]]</f>
        <v/>
      </c>
      <c r="L452" s="170">
        <f>Tabela10[[#This Row],[DIFERENÇA M²]]/Tabela10[[#This Row],[M² Da chapa]]</f>
        <v/>
      </c>
    </row>
    <row r="453" hidden="1">
      <c r="A453" s="6" t="n">
        <v>46044</v>
      </c>
      <c r="B453" s="8" t="inlineStr">
        <is>
          <t>I26003</t>
        </is>
      </c>
      <c r="C453" s="168">
        <f>VLOOKUP(LEFT(B453,1),Tabela5[],2,0)</f>
        <v/>
      </c>
      <c r="D453" s="57" t="inlineStr">
        <is>
          <t>MDF - 9MM</t>
        </is>
      </c>
      <c r="E453" s="169">
        <f>VLOOKUP(Tabela10[[#This Row],[Tipo de Chapa]],Tabela11[],2,FALSE)</f>
        <v/>
      </c>
      <c r="F453" s="151" t="n">
        <v>34</v>
      </c>
      <c r="G453" s="152" t="n">
        <v>0.0524</v>
      </c>
      <c r="H453" s="170">
        <f>Tabela10[[#This Row],[M² Da chapa]]*Tabela10[[#This Row],[Qtde Chapas
Liberadas]]</f>
        <v/>
      </c>
      <c r="I453" s="170" t="n">
        <v>129.5935</v>
      </c>
      <c r="J453" s="59">
        <f>Tabela10[[#This Row],[ERP]]/Tabela10[[#This Row],[M² Da chapa]]</f>
        <v/>
      </c>
      <c r="K453" s="170">
        <f>Tabela10[[#This Row],[M² CHAPAS]]-Tabela10[[#This Row],[ERP]]</f>
        <v/>
      </c>
      <c r="L453" s="170">
        <f>Tabela10[[#This Row],[DIFERENÇA M²]]/Tabela10[[#This Row],[M² Da chapa]]</f>
        <v/>
      </c>
    </row>
    <row r="454">
      <c r="A454" s="6" t="n">
        <v>46045</v>
      </c>
      <c r="B454" s="8" t="inlineStr">
        <is>
          <t>N26008</t>
        </is>
      </c>
      <c r="C454" s="168">
        <f>VLOOKUP(LEFT(B454,1),Tabela5[],2,0)</f>
        <v/>
      </c>
      <c r="D454" s="57" t="inlineStr">
        <is>
          <t>MDF - 15MM</t>
        </is>
      </c>
      <c r="E454" s="169">
        <f>VLOOKUP(Tabela10[[#This Row],[Tipo de Chapa]],Tabela11[],2,FALSE)</f>
        <v/>
      </c>
      <c r="F454" s="151" t="n">
        <v>727</v>
      </c>
      <c r="G454" s="152" t="n">
        <v>0.0567</v>
      </c>
      <c r="H454" s="170">
        <f>Tabela10[[#This Row],[M² Da chapa]]*Tabela10[[#This Row],[Qtde Chapas
Liberadas]]</f>
        <v/>
      </c>
      <c r="I454" s="170" t="n">
        <v>4520.8648</v>
      </c>
      <c r="J454" s="59">
        <f>Tabela10[[#This Row],[ERP]]/Tabela10[[#This Row],[M² Da chapa]]</f>
        <v/>
      </c>
      <c r="K454" s="170">
        <f>Tabela10[[#This Row],[M² CHAPAS]]-Tabela10[[#This Row],[ERP]]</f>
        <v/>
      </c>
      <c r="L454" s="170">
        <f>Tabela10[[#This Row],[DIFERENÇA M²]]/Tabela10[[#This Row],[M² Da chapa]]</f>
        <v/>
      </c>
    </row>
    <row r="455">
      <c r="A455" s="6" t="n">
        <v>46048</v>
      </c>
      <c r="B455" s="8" t="inlineStr">
        <is>
          <t>N26008</t>
        </is>
      </c>
      <c r="C455" s="168">
        <f>VLOOKUP(LEFT(B455,1),Tabela5[],2,0)</f>
        <v/>
      </c>
      <c r="D455" s="57" t="inlineStr">
        <is>
          <t>MDF - 18MM 2750X1850</t>
        </is>
      </c>
      <c r="E455" s="169">
        <f>VLOOKUP(Tabela10[[#This Row],[Tipo de Chapa]],Tabela11[],2,FALSE)</f>
        <v/>
      </c>
      <c r="F455" s="151" t="n">
        <v>5</v>
      </c>
      <c r="G455" s="152" t="n">
        <v>0.101</v>
      </c>
      <c r="H455" s="170">
        <f>Tabela10[[#This Row],[M² Da chapa]]*Tabela10[[#This Row],[Qtde Chapas
Liberadas]]</f>
        <v/>
      </c>
      <c r="I455" s="170" t="n">
        <v>27.2695</v>
      </c>
      <c r="J455" s="59">
        <f>Tabela10[[#This Row],[ERP]]/Tabela10[[#This Row],[M² Da chapa]]</f>
        <v/>
      </c>
      <c r="K455" s="170">
        <f>Tabela10[[#This Row],[M² CHAPAS]]-Tabela10[[#This Row],[ERP]]</f>
        <v/>
      </c>
      <c r="L455" s="170">
        <f>Tabela10[[#This Row],[DIFERENÇA M²]]/Tabela10[[#This Row],[M² Da chapa]]</f>
        <v/>
      </c>
    </row>
    <row r="456">
      <c r="A456" s="6" t="n">
        <v>46045</v>
      </c>
      <c r="B456" s="8" t="inlineStr">
        <is>
          <t xml:space="preserve">N2600205 | N2600206 | N2600207 </t>
        </is>
      </c>
      <c r="C456" s="168">
        <f>VLOOKUP(LEFT(B456,1),Tabela5[],2,0)</f>
        <v/>
      </c>
      <c r="D456" s="57" t="inlineStr">
        <is>
          <t>EUCADUR NT - 2,5MM</t>
        </is>
      </c>
      <c r="E456" s="169">
        <f>VLOOKUP(Tabela10[[#This Row],[Tipo de Chapa]],Tabela11[],2,FALSE)</f>
        <v/>
      </c>
      <c r="F456" s="151" t="n">
        <v>156</v>
      </c>
      <c r="G456" s="152" t="n">
        <v>0.0597</v>
      </c>
      <c r="H456" s="170">
        <f>Tabela10[[#This Row],[M² Da chapa]]*Tabela10[[#This Row],[Qtde Chapas
Liberadas]]</f>
        <v/>
      </c>
      <c r="I456" s="170" t="n">
        <v>1133.659</v>
      </c>
      <c r="J456" s="59">
        <f>Tabela10[[#This Row],[ERP]]/Tabela10[[#This Row],[M² Da chapa]]</f>
        <v/>
      </c>
      <c r="K456" s="170">
        <f>Tabela10[[#This Row],[M² CHAPAS]]-Tabela10[[#This Row],[ERP]]</f>
        <v/>
      </c>
      <c r="L456" s="170">
        <f>Tabela10[[#This Row],[DIFERENÇA M²]]/Tabela10[[#This Row],[M² Da chapa]]</f>
        <v/>
      </c>
    </row>
    <row r="457">
      <c r="A457" s="6" t="n">
        <v>46045</v>
      </c>
      <c r="B457" s="8" t="inlineStr">
        <is>
          <t>N2601101</t>
        </is>
      </c>
      <c r="C457" s="168">
        <f>VLOOKUP(LEFT(B457,1),Tabela5[],2,0)</f>
        <v/>
      </c>
      <c r="D457" s="57" t="inlineStr">
        <is>
          <t>EUCADUR NT - 2,5MM</t>
        </is>
      </c>
      <c r="E457" s="169">
        <f>VLOOKUP(Tabela10[[#This Row],[Tipo de Chapa]],Tabela11[],2,FALSE)</f>
        <v/>
      </c>
      <c r="F457" s="151" t="n">
        <v>100</v>
      </c>
      <c r="G457" s="152" t="n">
        <v>0.0597</v>
      </c>
      <c r="H457" s="170">
        <f>Tabela10[[#This Row],[M² Da chapa]]*Tabela10[[#This Row],[Qtde Chapas
Liberadas]]</f>
        <v/>
      </c>
      <c r="I457" s="170" t="n">
        <v>297.4732</v>
      </c>
      <c r="J457" s="59">
        <f>Tabela10[[#This Row],[ERP]]/Tabela10[[#This Row],[M² Da chapa]]</f>
        <v/>
      </c>
      <c r="K457" s="170">
        <f>Tabela10[[#This Row],[M² CHAPAS]]-Tabela10[[#This Row],[ERP]]</f>
        <v/>
      </c>
      <c r="L457" s="170">
        <f>Tabela10[[#This Row],[DIFERENÇA M²]]/Tabela10[[#This Row],[M² Da chapa]]</f>
        <v/>
      </c>
    </row>
    <row r="458" hidden="1">
      <c r="A458" s="6" t="n">
        <v>46048</v>
      </c>
      <c r="B458" s="8" t="inlineStr">
        <is>
          <t>I26002</t>
        </is>
      </c>
      <c r="C458" s="168">
        <f>VLOOKUP(LEFT(B458,1),Tabela5[],2,0)</f>
        <v/>
      </c>
      <c r="D458" s="57" t="inlineStr">
        <is>
          <t>MDF - 15MM</t>
        </is>
      </c>
      <c r="E458" s="169">
        <f>VLOOKUP(Tabela10[[#This Row],[Tipo de Chapa]],Tabela11[],2,FALSE)</f>
        <v/>
      </c>
      <c r="F458" s="101" t="n">
        <v>1049</v>
      </c>
      <c r="G458" s="152" t="n">
        <v>0.0606</v>
      </c>
      <c r="H458" s="170">
        <f>Tabela10[[#This Row],[M² Da chapa]]*Tabela10[[#This Row],[Qtde Chapas
Liberadas]]</f>
        <v/>
      </c>
      <c r="I458" s="170" t="n">
        <v>6454.34</v>
      </c>
      <c r="J458" s="59">
        <f>Tabela10[[#This Row],[ERP]]/Tabela10[[#This Row],[M² Da chapa]]</f>
        <v/>
      </c>
      <c r="K458" s="170">
        <f>Tabela10[[#This Row],[M² CHAPAS]]-Tabela10[[#This Row],[ERP]]</f>
        <v/>
      </c>
      <c r="L458" s="170">
        <f>Tabela10[[#This Row],[DIFERENÇA M²]]/Tabela10[[#This Row],[M² Da chapa]]</f>
        <v/>
      </c>
    </row>
    <row r="459" hidden="1">
      <c r="A459" s="6" t="n">
        <v>46048</v>
      </c>
      <c r="B459" s="8" t="inlineStr">
        <is>
          <t>I26002</t>
        </is>
      </c>
      <c r="C459" s="168">
        <f>VLOOKUP(LEFT(B459,1),Tabela5[],2,0)</f>
        <v/>
      </c>
      <c r="D459" s="57" t="inlineStr">
        <is>
          <t>EUCADUR FRJ - 2,5MM</t>
        </is>
      </c>
      <c r="E459" s="169">
        <f>VLOOKUP(Tabela10[[#This Row],[Tipo de Chapa]],Tabela11[],2,FALSE)</f>
        <v/>
      </c>
      <c r="F459" s="151" t="n">
        <v>266</v>
      </c>
      <c r="G459" s="152" t="n">
        <v>0.049</v>
      </c>
      <c r="H459" s="170">
        <f>Tabela10[[#This Row],[M² Da chapa]]*Tabela10[[#This Row],[Qtde Chapas
Liberadas]]</f>
        <v/>
      </c>
      <c r="I459" s="170" t="n">
        <v>1706.1246</v>
      </c>
      <c r="J459" s="59">
        <f>Tabela10[[#This Row],[ERP]]/Tabela10[[#This Row],[M² Da chapa]]</f>
        <v/>
      </c>
      <c r="K459" s="170">
        <f>Tabela10[[#This Row],[M² CHAPAS]]-Tabela10[[#This Row],[ERP]]</f>
        <v/>
      </c>
      <c r="L459" s="170">
        <f>Tabela10[[#This Row],[DIFERENÇA M²]]/Tabela10[[#This Row],[M² Da chapa]]</f>
        <v/>
      </c>
    </row>
    <row r="460" hidden="1">
      <c r="A460" s="6" t="n">
        <v>46048</v>
      </c>
      <c r="B460" s="8" t="inlineStr">
        <is>
          <t>I26001</t>
        </is>
      </c>
      <c r="C460" s="168">
        <f>VLOOKUP(LEFT(B460,1),Tabela5[],2,0)</f>
        <v/>
      </c>
      <c r="D460" s="57" t="inlineStr">
        <is>
          <t>EUCADUR NT - 2,5MM</t>
        </is>
      </c>
      <c r="E460" s="169">
        <f>VLOOKUP(Tabela10[[#This Row],[Tipo de Chapa]],Tabela11[],2,FALSE)</f>
        <v/>
      </c>
      <c r="F460" s="151" t="n">
        <v>137</v>
      </c>
      <c r="G460" s="152" t="n">
        <v>0.0542</v>
      </c>
      <c r="H460" s="170">
        <f>Tabela10[[#This Row],[M² Da chapa]]*Tabela10[[#This Row],[Qtde Chapas
Liberadas]]</f>
        <v/>
      </c>
      <c r="I460" s="170" t="n">
        <v>1188.4837</v>
      </c>
      <c r="J460" s="59">
        <f>Tabela10[[#This Row],[ERP]]/Tabela10[[#This Row],[M² Da chapa]]</f>
        <v/>
      </c>
      <c r="K460" s="170">
        <f>Tabela10[[#This Row],[M² CHAPAS]]-Tabela10[[#This Row],[ERP]]</f>
        <v/>
      </c>
      <c r="L460" s="170">
        <f>Tabela10[[#This Row],[DIFERENÇA M²]]/Tabela10[[#This Row],[M² Da chapa]]</f>
        <v/>
      </c>
    </row>
    <row r="461" hidden="1">
      <c r="A461" s="6" t="n">
        <v>46048</v>
      </c>
      <c r="B461" s="8" t="inlineStr">
        <is>
          <t>I26001</t>
        </is>
      </c>
      <c r="C461" s="168">
        <f>VLOOKUP(LEFT(B461,1),Tabela5[],2,0)</f>
        <v/>
      </c>
      <c r="D461" s="57" t="inlineStr">
        <is>
          <t>EUCADUR FRJ - 2,5MM</t>
        </is>
      </c>
      <c r="E461" s="169">
        <f>VLOOKUP(Tabela10[[#This Row],[Tipo de Chapa]],Tabela11[],2,FALSE)</f>
        <v/>
      </c>
      <c r="F461" s="151" t="n">
        <v>221</v>
      </c>
      <c r="G461" s="152" t="n">
        <v>0.0481</v>
      </c>
      <c r="H461" s="170">
        <f>Tabela10[[#This Row],[M² Da chapa]]*Tabela10[[#This Row],[Qtde Chapas
Liberadas]]</f>
        <v/>
      </c>
      <c r="I461" s="170" t="n">
        <v>1421.0869</v>
      </c>
      <c r="J461" s="59">
        <f>Tabela10[[#This Row],[ERP]]/Tabela10[[#This Row],[M² Da chapa]]</f>
        <v/>
      </c>
      <c r="K461" s="170">
        <f>Tabela10[[#This Row],[M² CHAPAS]]-Tabela10[[#This Row],[ERP]]</f>
        <v/>
      </c>
      <c r="L461" s="170">
        <f>Tabela10[[#This Row],[DIFERENÇA M²]]/Tabela10[[#This Row],[M² Da chapa]]</f>
        <v/>
      </c>
    </row>
    <row r="462" hidden="1">
      <c r="A462" s="6" t="n">
        <v>46048</v>
      </c>
      <c r="B462" s="8" t="inlineStr">
        <is>
          <t>I26003</t>
        </is>
      </c>
      <c r="C462" s="168">
        <f>VLOOKUP(LEFT(B462,1),Tabela5[],2,0)</f>
        <v/>
      </c>
      <c r="D462" s="57" t="inlineStr">
        <is>
          <t>MDF - 15MM</t>
        </is>
      </c>
      <c r="E462" s="169">
        <f>VLOOKUP(Tabela10[[#This Row],[Tipo de Chapa]],Tabela11[],2,FALSE)</f>
        <v/>
      </c>
      <c r="F462" s="151" t="n">
        <v>50</v>
      </c>
      <c r="G462" s="152" t="n">
        <v>0.0737</v>
      </c>
      <c r="H462" s="170">
        <f>Tabela10[[#This Row],[M² Da chapa]]*Tabela10[[#This Row],[Qtde Chapas
Liberadas]]</f>
        <v/>
      </c>
      <c r="J462" s="59">
        <f>Tabela10[[#This Row],[ERP]]/Tabela10[[#This Row],[M² Da chapa]]</f>
        <v/>
      </c>
      <c r="K462" s="170">
        <f>Tabela10[[#This Row],[M² CHAPAS]]-Tabela10[[#This Row],[ERP]]</f>
        <v/>
      </c>
      <c r="L462" s="170">
        <f>Tabela10[[#This Row],[DIFERENÇA M²]]/Tabela10[[#This Row],[M² Da chapa]]</f>
        <v/>
      </c>
    </row>
    <row r="463" hidden="1">
      <c r="A463" s="6" t="n">
        <v>46048</v>
      </c>
      <c r="B463" s="8" t="inlineStr">
        <is>
          <t>I26003</t>
        </is>
      </c>
      <c r="C463" s="168">
        <f>VLOOKUP(LEFT(B463,1),Tabela5[],2,0)</f>
        <v/>
      </c>
      <c r="D463" s="57" t="inlineStr">
        <is>
          <t>EUCADUR NT - 2,5MM</t>
        </is>
      </c>
      <c r="E463" s="169">
        <f>VLOOKUP(Tabela10[[#This Row],[Tipo de Chapa]],Tabela11[],2,FALSE)</f>
        <v/>
      </c>
      <c r="F463" s="151" t="n">
        <v>33</v>
      </c>
      <c r="G463" s="152" t="n">
        <v>0.0422</v>
      </c>
      <c r="H463" s="170">
        <f>Tabela10[[#This Row],[M² Da chapa]]*Tabela10[[#This Row],[Qtde Chapas
Liberadas]]</f>
        <v/>
      </c>
      <c r="I463" s="170" t="n">
        <v>193.29</v>
      </c>
      <c r="J463" s="59">
        <f>Tabela10[[#This Row],[ERP]]/Tabela10[[#This Row],[M² Da chapa]]</f>
        <v/>
      </c>
      <c r="K463" s="170">
        <f>Tabela10[[#This Row],[M² CHAPAS]]-Tabela10[[#This Row],[ERP]]</f>
        <v/>
      </c>
      <c r="L463" s="170">
        <f>Tabela10[[#This Row],[DIFERENÇA M²]]/Tabela10[[#This Row],[M² Da chapa]]</f>
        <v/>
      </c>
    </row>
    <row r="464">
      <c r="A464" s="6" t="n">
        <v>46048</v>
      </c>
      <c r="B464" s="8" t="inlineStr">
        <is>
          <t>N26012</t>
        </is>
      </c>
      <c r="C464" s="168">
        <f>VLOOKUP(LEFT(B464,1),Tabela5[],2,0)</f>
        <v/>
      </c>
      <c r="D464" s="57" t="inlineStr">
        <is>
          <t>MDF - 15MM</t>
        </is>
      </c>
      <c r="E464" s="169">
        <f>VLOOKUP(Tabela10[[#This Row],[Tipo de Chapa]],Tabela11[],2,FALSE)</f>
        <v/>
      </c>
      <c r="F464" s="151" t="n">
        <v>743</v>
      </c>
      <c r="G464" s="152" t="n">
        <v>0.0513</v>
      </c>
      <c r="H464" s="170">
        <f>Tabela10[[#This Row],[M² Da chapa]]*Tabela10[[#This Row],[Qtde Chapas
Liberadas]]</f>
        <v/>
      </c>
      <c r="I464" s="170" t="n">
        <v>4487.3627</v>
      </c>
      <c r="J464" s="59">
        <f>Tabela10[[#This Row],[ERP]]/Tabela10[[#This Row],[M² Da chapa]]</f>
        <v/>
      </c>
      <c r="K464" s="170">
        <f>Tabela10[[#This Row],[M² CHAPAS]]-Tabela10[[#This Row],[ERP]]</f>
        <v/>
      </c>
      <c r="L464" s="170">
        <f>Tabela10[[#This Row],[DIFERENÇA M²]]/Tabela10[[#This Row],[M² Da chapa]]</f>
        <v/>
      </c>
    </row>
    <row r="465">
      <c r="A465" s="6" t="n">
        <v>46048</v>
      </c>
      <c r="B465" s="8" t="inlineStr">
        <is>
          <t>N2601201</t>
        </is>
      </c>
      <c r="C465" s="168">
        <f>VLOOKUP(LEFT(B465,1),Tabela5[],2,0)</f>
        <v/>
      </c>
      <c r="D465" s="57" t="inlineStr">
        <is>
          <t>MDF - 25MM 2750x2200</t>
        </is>
      </c>
      <c r="E465" s="169">
        <f>VLOOKUP(Tabela10[[#This Row],[Tipo de Chapa]],Tabela11[],2,FALSE)</f>
        <v/>
      </c>
      <c r="F465" s="151" t="n">
        <v>50</v>
      </c>
      <c r="G465" s="152" t="n">
        <v>0.0185</v>
      </c>
      <c r="H465" s="170">
        <f>Tabela10[[#This Row],[M² Da chapa]]*Tabela10[[#This Row],[Qtde Chapas
Liberadas]]</f>
        <v/>
      </c>
      <c r="I465" s="170" t="n">
        <v>301.7985</v>
      </c>
      <c r="J465" s="59">
        <f>Tabela10[[#This Row],[ERP]]/Tabela10[[#This Row],[M² Da chapa]]</f>
        <v/>
      </c>
      <c r="K465" s="170">
        <f>Tabela10[[#This Row],[M² CHAPAS]]-Tabela10[[#This Row],[ERP]]</f>
        <v/>
      </c>
      <c r="L465" s="170">
        <f>Tabela10[[#This Row],[DIFERENÇA M²]]/Tabela10[[#This Row],[M² Da chapa]]</f>
        <v/>
      </c>
    </row>
    <row r="466">
      <c r="A466" s="6" t="n">
        <v>46048</v>
      </c>
      <c r="B466" s="8" t="inlineStr">
        <is>
          <t>N2601204</t>
        </is>
      </c>
      <c r="C466" s="168">
        <f>VLOOKUP(LEFT(B466,1),Tabela5[],2,0)</f>
        <v/>
      </c>
      <c r="D466" s="57" t="inlineStr">
        <is>
          <t>MDF - 25MM 2750x2100</t>
        </is>
      </c>
      <c r="E466" s="169">
        <f>VLOOKUP(Tabela10[[#This Row],[Tipo de Chapa]],Tabela11[],2,FALSE)</f>
        <v/>
      </c>
      <c r="F466" s="151" t="n">
        <v>50</v>
      </c>
      <c r="G466" s="152" t="n">
        <v>0.0438</v>
      </c>
      <c r="H466" s="170">
        <f>Tabela10[[#This Row],[M² Da chapa]]*Tabela10[[#This Row],[Qtde Chapas
Liberadas]]</f>
        <v/>
      </c>
      <c r="I466" s="170" t="n">
        <v>234.6387</v>
      </c>
      <c r="J466" s="59">
        <f>Tabela10[[#This Row],[ERP]]/Tabela10[[#This Row],[M² Da chapa]]</f>
        <v/>
      </c>
      <c r="K466" s="170">
        <f>Tabela10[[#This Row],[M² CHAPAS]]-Tabela10[[#This Row],[ERP]]</f>
        <v/>
      </c>
      <c r="L466" s="170">
        <f>Tabela10[[#This Row],[DIFERENÇA M²]]/Tabela10[[#This Row],[M² Da chapa]]</f>
        <v/>
      </c>
    </row>
    <row r="467">
      <c r="A467" s="6" t="n">
        <v>46048</v>
      </c>
      <c r="B467" s="8" t="inlineStr">
        <is>
          <t>N26012</t>
        </is>
      </c>
      <c r="C467" s="168">
        <f>VLOOKUP(LEFT(B467,1),Tabela5[],2,0)</f>
        <v/>
      </c>
      <c r="D467" s="57" t="inlineStr">
        <is>
          <t>EUCADUR NT - 2,5MM</t>
        </is>
      </c>
      <c r="E467" s="169">
        <f>VLOOKUP(Tabela10[[#This Row],[Tipo de Chapa]],Tabela11[],2,FALSE)</f>
        <v/>
      </c>
      <c r="F467" s="151" t="n">
        <v>336</v>
      </c>
      <c r="G467" s="152" t="n">
        <v>0.06660000000000001</v>
      </c>
      <c r="H467" s="170">
        <f>Tabela10[[#This Row],[M² Da chapa]]*Tabela10[[#This Row],[Qtde Chapas
Liberadas]]</f>
        <v/>
      </c>
      <c r="I467" s="170" t="n">
        <v>1814.9304</v>
      </c>
      <c r="J467" s="59">
        <f>Tabela10[[#This Row],[ERP]]/Tabela10[[#This Row],[M² Da chapa]]</f>
        <v/>
      </c>
      <c r="K467" s="170">
        <f>Tabela10[[#This Row],[M² CHAPAS]]-Tabela10[[#This Row],[ERP]]</f>
        <v/>
      </c>
      <c r="L467" s="170">
        <f>Tabela10[[#This Row],[DIFERENÇA M²]]/Tabela10[[#This Row],[M² Da chapa]]</f>
        <v/>
      </c>
    </row>
    <row r="468">
      <c r="A468" s="6" t="n">
        <v>46049</v>
      </c>
      <c r="B468" s="8" t="inlineStr">
        <is>
          <t>N26008</t>
        </is>
      </c>
      <c r="C468" s="168">
        <f>VLOOKUP(LEFT(B468,1),Tabela5[],2,0)</f>
        <v/>
      </c>
      <c r="D468" s="57" t="inlineStr">
        <is>
          <t>EUCADUR NT - 2,5MM</t>
        </is>
      </c>
      <c r="E468" s="169">
        <f>VLOOKUP(Tabela10[[#This Row],[Tipo de Chapa]],Tabela11[],2,FALSE)</f>
        <v/>
      </c>
      <c r="F468" s="151" t="n">
        <v>182</v>
      </c>
      <c r="G468" s="152" t="n">
        <v>0.0694</v>
      </c>
      <c r="H468" s="170">
        <f>Tabela10[[#This Row],[M² Da chapa]]*Tabela10[[#This Row],[Qtde Chapas
Liberadas]]</f>
        <v/>
      </c>
      <c r="I468" s="170" t="n">
        <v>1170.293</v>
      </c>
      <c r="J468" s="59">
        <f>Tabela10[[#This Row],[ERP]]/Tabela10[[#This Row],[M² Da chapa]]</f>
        <v/>
      </c>
      <c r="K468" s="170">
        <f>Tabela10[[#This Row],[M² CHAPAS]]-Tabela10[[#This Row],[ERP]]</f>
        <v/>
      </c>
      <c r="L468" s="170">
        <f>Tabela10[[#This Row],[DIFERENÇA M²]]/Tabela10[[#This Row],[M² Da chapa]]</f>
        <v/>
      </c>
    </row>
    <row r="469">
      <c r="A469" s="6" t="n">
        <v>46050</v>
      </c>
      <c r="B469" s="8" t="inlineStr">
        <is>
          <t>N2601001</t>
        </is>
      </c>
      <c r="C469" s="168">
        <f>VLOOKUP(LEFT(B469,1),Tabela5[],2,0)</f>
        <v/>
      </c>
      <c r="D469" s="57" t="inlineStr">
        <is>
          <t>MDF - 15MM</t>
        </is>
      </c>
      <c r="E469" s="169">
        <f>VLOOKUP(Tabela10[[#This Row],[Tipo de Chapa]],Tabela11[],2,FALSE)</f>
        <v/>
      </c>
      <c r="F469" s="151">
        <f>87+25</f>
        <v/>
      </c>
      <c r="G469" s="152" t="n">
        <v>0.0545</v>
      </c>
      <c r="H469" s="170">
        <f>Tabela10[[#This Row],[M² Da chapa]]*Tabela10[[#This Row],[Qtde Chapas
Liberadas]]</f>
        <v/>
      </c>
      <c r="I469" s="170" t="n">
        <v>487.1218</v>
      </c>
      <c r="J469" s="59">
        <f>Tabela10[[#This Row],[ERP]]/Tabela10[[#This Row],[M² Da chapa]]</f>
        <v/>
      </c>
      <c r="K469" s="170">
        <f>Tabela10[[#This Row],[M² CHAPAS]]-Tabela10[[#This Row],[ERP]]</f>
        <v/>
      </c>
      <c r="L469" s="170">
        <f>Tabela10[[#This Row],[DIFERENÇA M²]]/Tabela10[[#This Row],[M² Da chapa]]</f>
        <v/>
      </c>
    </row>
    <row r="470" hidden="1">
      <c r="A470" s="6" t="n">
        <v>46051</v>
      </c>
      <c r="B470" s="8" t="inlineStr">
        <is>
          <t>M26005</t>
        </is>
      </c>
      <c r="C470" s="168">
        <f>VLOOKUP(LEFT(B470,1),Tabela5[],2,0)</f>
        <v/>
      </c>
      <c r="D470" s="57" t="inlineStr">
        <is>
          <t>MDF - 15MM</t>
        </is>
      </c>
      <c r="E470" s="169">
        <f>VLOOKUP(Tabela10[[#This Row],[Tipo de Chapa]],Tabela11[],2,FALSE)</f>
        <v/>
      </c>
      <c r="F470" s="151" t="n">
        <v>1384</v>
      </c>
      <c r="G470" s="152" t="n">
        <v>0.06469999999999999</v>
      </c>
      <c r="H470" s="170">
        <f>Tabela10[[#This Row],[M² Da chapa]]*Tabela10[[#This Row],[Qtde Chapas
Liberadas]]</f>
        <v/>
      </c>
      <c r="I470" s="170" t="n">
        <v>8138.7615</v>
      </c>
      <c r="J470" s="59">
        <f>Tabela10[[#This Row],[ERP]]/Tabela10[[#This Row],[M² Da chapa]]</f>
        <v/>
      </c>
      <c r="K470" s="170">
        <f>Tabela10[[#This Row],[M² CHAPAS]]-Tabela10[[#This Row],[ERP]]</f>
        <v/>
      </c>
      <c r="L470" s="170">
        <f>Tabela10[[#This Row],[DIFERENÇA M²]]/Tabela10[[#This Row],[M² Da chapa]]</f>
        <v/>
      </c>
    </row>
    <row r="471" hidden="1">
      <c r="A471" s="6" t="n">
        <v>46051</v>
      </c>
      <c r="B471" s="8" t="inlineStr">
        <is>
          <t>M26005</t>
        </is>
      </c>
      <c r="C471" s="168">
        <f>VLOOKUP(LEFT(B471,1),Tabela5[],2,0)</f>
        <v/>
      </c>
      <c r="D471" s="57" t="inlineStr">
        <is>
          <t>MDF - 9MM</t>
        </is>
      </c>
      <c r="E471" s="169">
        <f>VLOOKUP(Tabela10[[#This Row],[Tipo de Chapa]],Tabela11[],2,FALSE)</f>
        <v/>
      </c>
      <c r="F471" s="151" t="n">
        <v>150</v>
      </c>
      <c r="G471" s="152" t="n">
        <v>0.028</v>
      </c>
      <c r="H471" s="170">
        <f>Tabela10[[#This Row],[M² Da chapa]]*Tabela10[[#This Row],[Qtde Chapas
Liberadas]]</f>
        <v/>
      </c>
      <c r="I471" s="170" t="n">
        <v>763.0818</v>
      </c>
      <c r="J471" s="59">
        <f>Tabela10[[#This Row],[ERP]]/Tabela10[[#This Row],[M² Da chapa]]</f>
        <v/>
      </c>
      <c r="K471" s="170">
        <f>Tabela10[[#This Row],[M² CHAPAS]]-Tabela10[[#This Row],[ERP]]</f>
        <v/>
      </c>
      <c r="L471" s="170">
        <f>Tabela10[[#This Row],[DIFERENÇA M²]]/Tabela10[[#This Row],[M² Da chapa]]</f>
        <v/>
      </c>
    </row>
    <row r="472" hidden="1">
      <c r="A472" s="6" t="n">
        <v>46051</v>
      </c>
      <c r="B472" s="8" t="inlineStr">
        <is>
          <t>M26005</t>
        </is>
      </c>
      <c r="C472" s="168">
        <f>VLOOKUP(LEFT(B472,1),Tabela5[],2,0)</f>
        <v/>
      </c>
      <c r="D472" s="57" t="inlineStr">
        <is>
          <t>EUCADUR NT - 2,5MM</t>
        </is>
      </c>
      <c r="E472" s="169">
        <f>VLOOKUP(Tabela10[[#This Row],[Tipo de Chapa]],Tabela11[],2,FALSE)</f>
        <v/>
      </c>
      <c r="F472" s="151" t="n">
        <v>529</v>
      </c>
      <c r="G472" s="152" t="n">
        <v>0.0576</v>
      </c>
      <c r="H472" s="170">
        <f>Tabela10[[#This Row],[M² Da chapa]]*Tabela10[[#This Row],[Qtde Chapas
Liberadas]]</f>
        <v/>
      </c>
      <c r="I472" s="170" t="n">
        <v>2987.2915</v>
      </c>
      <c r="J472" s="59">
        <f>Tabela10[[#This Row],[ERP]]/Tabela10[[#This Row],[M² Da chapa]]</f>
        <v/>
      </c>
      <c r="K472" s="170">
        <f>Tabela10[[#This Row],[M² CHAPAS]]-Tabela10[[#This Row],[ERP]]</f>
        <v/>
      </c>
      <c r="L472" s="170">
        <f>Tabela10[[#This Row],[DIFERENÇA M²]]/Tabela10[[#This Row],[M² Da chapa]]</f>
        <v/>
      </c>
    </row>
    <row r="473">
      <c r="A473" s="6" t="n">
        <v>46051</v>
      </c>
      <c r="B473" s="8" t="inlineStr">
        <is>
          <t>N26013</t>
        </is>
      </c>
      <c r="C473" s="168">
        <f>VLOOKUP(LEFT(B473,1),Tabela5[],2,0)</f>
        <v/>
      </c>
      <c r="D473" s="57" t="inlineStr">
        <is>
          <t>MDF - 15MM</t>
        </is>
      </c>
      <c r="E473" s="169">
        <f>VLOOKUP(Tabela10[[#This Row],[Tipo de Chapa]],Tabela11[],2,FALSE)</f>
        <v/>
      </c>
      <c r="F473" s="151" t="n">
        <v>496</v>
      </c>
      <c r="G473" s="152" t="n">
        <v>0.06</v>
      </c>
      <c r="H473" s="170">
        <f>Tabela10[[#This Row],[M² Da chapa]]*Tabela10[[#This Row],[Qtde Chapas
Liberadas]]</f>
        <v/>
      </c>
      <c r="I473" s="170" t="n">
        <v>2959.7594</v>
      </c>
      <c r="J473" s="59">
        <f>Tabela10[[#This Row],[ERP]]/Tabela10[[#This Row],[M² Da chapa]]</f>
        <v/>
      </c>
      <c r="K473" s="170">
        <f>Tabela10[[#This Row],[M² CHAPAS]]-Tabela10[[#This Row],[ERP]]</f>
        <v/>
      </c>
      <c r="L473" s="170">
        <f>Tabela10[[#This Row],[DIFERENÇA M²]]/Tabela10[[#This Row],[M² Da chapa]]</f>
        <v/>
      </c>
    </row>
    <row r="474">
      <c r="A474" s="6" t="n">
        <v>46051</v>
      </c>
      <c r="B474" s="8" t="inlineStr">
        <is>
          <t>N26014</t>
        </is>
      </c>
      <c r="C474" s="168">
        <f>VLOOKUP(LEFT(B474,1),Tabela5[],2,0)</f>
        <v/>
      </c>
      <c r="D474" s="57" t="inlineStr">
        <is>
          <t>MDF - 15MM</t>
        </is>
      </c>
      <c r="E474" s="169">
        <f>VLOOKUP(Tabela10[[#This Row],[Tipo de Chapa]],Tabela11[],2,FALSE)</f>
        <v/>
      </c>
      <c r="F474" s="151" t="n">
        <v>992</v>
      </c>
      <c r="G474" s="152" t="n">
        <v>0.0607</v>
      </c>
      <c r="H474" s="170">
        <f>Tabela10[[#This Row],[M² Da chapa]]*Tabela10[[#This Row],[Qtde Chapas
Liberadas]]</f>
        <v/>
      </c>
      <c r="I474" s="170" t="n">
        <v>5949.1222</v>
      </c>
      <c r="J474" s="59">
        <f>Tabela10[[#This Row],[ERP]]/Tabela10[[#This Row],[M² Da chapa]]</f>
        <v/>
      </c>
      <c r="K474" s="170">
        <f>Tabela10[[#This Row],[M² CHAPAS]]-Tabela10[[#This Row],[ERP]]</f>
        <v/>
      </c>
      <c r="L474" s="170">
        <f>Tabela10[[#This Row],[DIFERENÇA M²]]/Tabela10[[#This Row],[M² Da chapa]]</f>
        <v/>
      </c>
    </row>
    <row r="475" hidden="1" ht="72" customHeight="1">
      <c r="A475" s="6" t="n">
        <v>46054</v>
      </c>
      <c r="B475" s="8" t="inlineStr">
        <is>
          <t>V2600703 | V2600803 | V2600903 | V2601002 | V2601103 | V2601203 | V2601303 | V2601403 | V2601503 | V2601603 | V2601703 | V2601803 | V2601903
 (ASSENTO RAINHA)</t>
        </is>
      </c>
      <c r="C475" s="168">
        <f>VLOOKUP(LEFT(B475,1),Tabela5[],2,0)</f>
        <v/>
      </c>
      <c r="D475" s="57" t="inlineStr">
        <is>
          <t>CAPA MDF - 15MM</t>
        </is>
      </c>
      <c r="E475" s="169">
        <f>VLOOKUP(Tabela10[[#This Row],[Tipo de Chapa]],Tabela11[],2,FALSE)</f>
        <v/>
      </c>
      <c r="F475" s="151" t="n">
        <v>173</v>
      </c>
      <c r="G475" s="152" t="n">
        <v>0.1067</v>
      </c>
      <c r="H475" s="170">
        <f>Tabela10[[#This Row],[M² Da chapa]]*Tabela10[[#This Row],[Qtde Chapas
Liberadas]]</f>
        <v/>
      </c>
      <c r="I475" s="170">
        <f>967.974+80.6645</f>
        <v/>
      </c>
      <c r="J475" s="59">
        <f>Tabela10[[#This Row],[ERP]]/Tabela10[[#This Row],[M² Da chapa]]</f>
        <v/>
      </c>
      <c r="K475" s="170">
        <f>Tabela10[[#This Row],[M² CHAPAS]]-Tabela10[[#This Row],[ERP]]</f>
        <v/>
      </c>
      <c r="L475" s="170">
        <f>Tabela10[[#This Row],[DIFERENÇA M²]]/Tabela10[[#This Row],[M² Da chapa]]</f>
        <v/>
      </c>
    </row>
    <row r="476" hidden="1" ht="57.6" customHeight="1">
      <c r="A476" s="6" t="n">
        <v>46055</v>
      </c>
      <c r="B476" s="8" t="inlineStr">
        <is>
          <t>V2600701 | V2600801 | V2600901 | V2601001 | V2601101 | V2601201 | V2601301 | V2601401 | V2601501 | V2601601 | V2601701 | V2601801 | V2601901 (TAMPO 160)</t>
        </is>
      </c>
      <c r="C476" s="168">
        <f>VLOOKUP(LEFT(B476,1),Tabela5[],2,0)</f>
        <v/>
      </c>
      <c r="D476" s="57" t="inlineStr">
        <is>
          <t>MDF - 25MM 2750x2100</t>
        </is>
      </c>
      <c r="E476" s="169">
        <f>VLOOKUP(Tabela10[[#This Row],[Tipo de Chapa]],Tabela11[],2,FALSE)</f>
        <v/>
      </c>
      <c r="F476" s="151" t="n">
        <v>282</v>
      </c>
      <c r="G476" s="152" t="n">
        <v>0.042</v>
      </c>
      <c r="H476" s="170">
        <f>Tabela10[[#This Row],[M² Da chapa]]*Tabela10[[#This Row],[Qtde Chapas
Liberadas]]</f>
        <v/>
      </c>
      <c r="I476" s="170">
        <f>1236.5941+94.6373</f>
        <v/>
      </c>
      <c r="J476" s="59">
        <f>Tabela10[[#This Row],[ERP]]/Tabela10[[#This Row],[M² Da chapa]]</f>
        <v/>
      </c>
      <c r="K476" s="170">
        <f>Tabela10[[#This Row],[M² CHAPAS]]-Tabela10[[#This Row],[ERP]]</f>
        <v/>
      </c>
      <c r="L476" s="170">
        <f>Tabela10[[#This Row],[DIFERENÇA M²]]/Tabela10[[#This Row],[M² Da chapa]]</f>
        <v/>
      </c>
    </row>
    <row r="477">
      <c r="A477" s="6" t="n">
        <v>46052</v>
      </c>
      <c r="B477" s="8" t="inlineStr">
        <is>
          <t>N2601001</t>
        </is>
      </c>
      <c r="C477" s="168">
        <f>VLOOKUP(LEFT(B477,1),Tabela5[],2,0)</f>
        <v/>
      </c>
      <c r="D477" s="57" t="inlineStr">
        <is>
          <t>EUCADUR NT - 2,5MM</t>
        </is>
      </c>
      <c r="E477" s="169">
        <f>VLOOKUP(Tabela10[[#This Row],[Tipo de Chapa]],Tabela11[],2,FALSE)</f>
        <v/>
      </c>
      <c r="F477" s="151" t="n">
        <v>90</v>
      </c>
      <c r="G477" s="152" t="n">
        <v>0.0488</v>
      </c>
      <c r="H477" s="170">
        <f>Tabela10[[#This Row],[M² Da chapa]]*Tabela10[[#This Row],[Qtde Chapas
Liberadas]]</f>
        <v/>
      </c>
      <c r="I477" s="170" t="n">
        <v>235.7877</v>
      </c>
      <c r="J477" s="59">
        <f>Tabela10[[#This Row],[ERP]]/Tabela10[[#This Row],[M² Da chapa]]</f>
        <v/>
      </c>
      <c r="K477" s="170">
        <f>Tabela10[[#This Row],[M² CHAPAS]]-Tabela10[[#This Row],[ERP]]</f>
        <v/>
      </c>
      <c r="L477" s="170">
        <f>Tabela10[[#This Row],[DIFERENÇA M²]]/Tabela10[[#This Row],[M² Da chapa]]</f>
        <v/>
      </c>
    </row>
    <row r="478">
      <c r="A478" s="6" t="n">
        <v>46054</v>
      </c>
      <c r="B478" s="8" t="inlineStr">
        <is>
          <t>N26013</t>
        </is>
      </c>
      <c r="C478" s="168">
        <f>VLOOKUP(LEFT(B478,1),Tabela5[],2,0)</f>
        <v/>
      </c>
      <c r="D478" s="57" t="inlineStr">
        <is>
          <t>EUCADUR NT - 2,5MM</t>
        </is>
      </c>
      <c r="E478" s="169">
        <f>VLOOKUP(Tabela10[[#This Row],[Tipo de Chapa]],Tabela11[],2,FALSE)</f>
        <v/>
      </c>
      <c r="F478" s="151" t="n">
        <v>129</v>
      </c>
      <c r="G478" s="152" t="n">
        <v>0.054</v>
      </c>
      <c r="H478" s="170">
        <f>Tabela10[[#This Row],[M² Da chapa]]*Tabela10[[#This Row],[Qtde Chapas
Liberadas]]</f>
        <v/>
      </c>
      <c r="I478" s="170" t="n">
        <v>846.7819</v>
      </c>
      <c r="J478" s="59">
        <f>Tabela10[[#This Row],[ERP]]/Tabela10[[#This Row],[M² Da chapa]]</f>
        <v/>
      </c>
      <c r="K478" s="170">
        <f>Tabela10[[#This Row],[M² CHAPAS]]-Tabela10[[#This Row],[ERP]]</f>
        <v/>
      </c>
      <c r="L478" s="170">
        <f>Tabela10[[#This Row],[DIFERENÇA M²]]/Tabela10[[#This Row],[M² Da chapa]]</f>
        <v/>
      </c>
    </row>
    <row r="479">
      <c r="A479" s="6" t="n">
        <v>46054</v>
      </c>
      <c r="B479" s="8" t="inlineStr">
        <is>
          <t>N26014</t>
        </is>
      </c>
      <c r="C479" s="168">
        <f>VLOOKUP(LEFT(B479,1),Tabela5[],2,0)</f>
        <v/>
      </c>
      <c r="D479" s="57" t="inlineStr">
        <is>
          <t>EUCADUR NT - 2,5MM</t>
        </is>
      </c>
      <c r="E479" s="169">
        <f>VLOOKUP(Tabela10[[#This Row],[Tipo de Chapa]],Tabela11[],2,FALSE)</f>
        <v/>
      </c>
      <c r="F479" s="151" t="n">
        <v>189</v>
      </c>
      <c r="G479" s="152" t="n">
        <v>0.0593</v>
      </c>
      <c r="H479" s="170">
        <f>Tabela10[[#This Row],[M² Da chapa]]*Tabela10[[#This Row],[Qtde Chapas
Liberadas]]</f>
        <v/>
      </c>
      <c r="I479" s="170" t="n">
        <v>863.4734999999999</v>
      </c>
      <c r="J479" s="59">
        <f>Tabela10[[#This Row],[ERP]]/Tabela10[[#This Row],[M² Da chapa]]</f>
        <v/>
      </c>
      <c r="K479" s="170">
        <f>Tabela10[[#This Row],[M² CHAPAS]]-Tabela10[[#This Row],[ERP]]</f>
        <v/>
      </c>
      <c r="L479" s="170">
        <f>Tabela10[[#This Row],[DIFERENÇA M²]]/Tabela10[[#This Row],[M² Da chapa]]</f>
        <v/>
      </c>
    </row>
    <row r="480">
      <c r="A480" s="6" t="n">
        <v>46054</v>
      </c>
      <c r="B480" s="8" t="inlineStr">
        <is>
          <t>N26014</t>
        </is>
      </c>
      <c r="C480" s="168">
        <f>VLOOKUP(LEFT(B480,1),Tabela5[],2,0)</f>
        <v/>
      </c>
      <c r="D480" s="57" t="inlineStr">
        <is>
          <t>EUCADUR FRJ - 2,5MM</t>
        </is>
      </c>
      <c r="E480" s="169">
        <f>VLOOKUP(Tabela10[[#This Row],[Tipo de Chapa]],Tabela11[],2,FALSE)</f>
        <v/>
      </c>
      <c r="F480" s="151" t="n">
        <v>100</v>
      </c>
      <c r="G480" s="152" t="n">
        <v>0.053</v>
      </c>
      <c r="H480" s="170">
        <f>Tabela10[[#This Row],[M² Da chapa]]*Tabela10[[#This Row],[Qtde Chapas
Liberadas]]</f>
        <v/>
      </c>
      <c r="I480" s="170" t="n">
        <v>373.1484</v>
      </c>
      <c r="J480" s="59">
        <f>Tabela10[[#This Row],[ERP]]/Tabela10[[#This Row],[M² Da chapa]]</f>
        <v/>
      </c>
      <c r="K480" s="170">
        <f>Tabela10[[#This Row],[M² CHAPAS]]-Tabela10[[#This Row],[ERP]]</f>
        <v/>
      </c>
      <c r="L480" s="170">
        <f>Tabela10[[#This Row],[DIFERENÇA M²]]/Tabela10[[#This Row],[M² Da chapa]]</f>
        <v/>
      </c>
    </row>
    <row r="481">
      <c r="A481" s="6" t="n">
        <v>46054</v>
      </c>
      <c r="B481" s="8" t="inlineStr">
        <is>
          <t>N26014</t>
        </is>
      </c>
      <c r="C481" s="168">
        <f>VLOOKUP(LEFT(B481,1),Tabela5[],2,0)</f>
        <v/>
      </c>
      <c r="D481" s="57" t="inlineStr">
        <is>
          <t>EUCADUR BR - 2,5MM</t>
        </is>
      </c>
      <c r="E481" s="169">
        <f>VLOOKUP(Tabela10[[#This Row],[Tipo de Chapa]],Tabela11[],2,FALSE)</f>
        <v/>
      </c>
      <c r="F481" s="151" t="n">
        <v>119</v>
      </c>
      <c r="G481" s="152" t="n">
        <v>0.0803</v>
      </c>
      <c r="H481" s="170">
        <f>Tabela10[[#This Row],[M² Da chapa]]*Tabela10[[#This Row],[Qtde Chapas
Liberadas]]</f>
        <v/>
      </c>
      <c r="I481" s="170" t="n">
        <v>582.6968000000001</v>
      </c>
      <c r="J481" s="59">
        <f>Tabela10[[#This Row],[ERP]]/Tabela10[[#This Row],[M² Da chapa]]</f>
        <v/>
      </c>
      <c r="K481" s="170">
        <f>Tabela10[[#This Row],[M² CHAPAS]]-Tabela10[[#This Row],[ERP]]</f>
        <v/>
      </c>
      <c r="L481" s="170">
        <f>Tabela10[[#This Row],[DIFERENÇA M²]]/Tabela10[[#This Row],[M² Da chapa]]</f>
        <v/>
      </c>
    </row>
    <row r="482">
      <c r="A482" s="6" t="n">
        <v>46055</v>
      </c>
      <c r="B482" s="8" t="inlineStr">
        <is>
          <t>N2601004 | N2601003 | N2601005</t>
        </is>
      </c>
      <c r="C482" s="168">
        <f>VLOOKUP(LEFT(B482,1),Tabela5[],2,0)</f>
        <v/>
      </c>
      <c r="D482" s="57" t="inlineStr">
        <is>
          <t>EUCADUR NT - 2,5MM</t>
        </is>
      </c>
      <c r="E482" s="169">
        <f>VLOOKUP(Tabela10[[#This Row],[Tipo de Chapa]],Tabela11[],2,FALSE)</f>
        <v/>
      </c>
      <c r="F482" s="151" t="n">
        <v>52</v>
      </c>
      <c r="G482" s="152" t="n">
        <v>0.0561</v>
      </c>
      <c r="H482" s="170">
        <f>Tabela10[[#This Row],[M² Da chapa]]*Tabela10[[#This Row],[Qtde Chapas
Liberadas]]</f>
        <v/>
      </c>
      <c r="I482" s="170" t="n">
        <v>259.5258</v>
      </c>
      <c r="J482" s="59">
        <f>Tabela10[[#This Row],[ERP]]/Tabela10[[#This Row],[M² Da chapa]]</f>
        <v/>
      </c>
      <c r="K482" s="170">
        <f>Tabela10[[#This Row],[M² CHAPAS]]-Tabela10[[#This Row],[ERP]]</f>
        <v/>
      </c>
      <c r="L482" s="170">
        <f>Tabela10[[#This Row],[DIFERENÇA M²]]/Tabela10[[#This Row],[M² Da chapa]]</f>
        <v/>
      </c>
    </row>
    <row r="483">
      <c r="A483" s="6" t="n">
        <v>46055</v>
      </c>
      <c r="B483" s="8" t="inlineStr">
        <is>
          <t>N2601004 | N2601003 | N2601005</t>
        </is>
      </c>
      <c r="C483" s="168">
        <f>VLOOKUP(LEFT(B483,1),Tabela5[],2,0)</f>
        <v/>
      </c>
      <c r="D483" s="57" t="inlineStr">
        <is>
          <t>MDF - 15MM</t>
        </is>
      </c>
      <c r="E483" s="169">
        <f>VLOOKUP(Tabela10[[#This Row],[Tipo de Chapa]],Tabela11[],2,FALSE)</f>
        <v/>
      </c>
      <c r="F483" s="151" t="n">
        <v>105</v>
      </c>
      <c r="G483" s="152" t="n">
        <v>0.0561</v>
      </c>
      <c r="H483" s="170">
        <f>Tabela10[[#This Row],[M² Da chapa]]*Tabela10[[#This Row],[Qtde Chapas
Liberadas]]</f>
        <v/>
      </c>
      <c r="I483" s="170" t="n">
        <v>662.3357</v>
      </c>
      <c r="J483" s="59">
        <f>Tabela10[[#This Row],[ERP]]/Tabela10[[#This Row],[M² Da chapa]]</f>
        <v/>
      </c>
      <c r="K483" s="170">
        <f>Tabela10[[#This Row],[M² CHAPAS]]-Tabela10[[#This Row],[ERP]]</f>
        <v/>
      </c>
      <c r="L483" s="170">
        <f>Tabela10[[#This Row],[DIFERENÇA M²]]/Tabela10[[#This Row],[M² Da chapa]]</f>
        <v/>
      </c>
    </row>
    <row r="484">
      <c r="A484" s="6" t="n">
        <v>46058</v>
      </c>
      <c r="B484" s="8" t="inlineStr">
        <is>
          <t>N2601004 | N2601003 | N2601005</t>
        </is>
      </c>
      <c r="C484" s="168">
        <f>VLOOKUP(LEFT(B484,1),Tabela5[],2,0)</f>
        <v/>
      </c>
      <c r="D484" s="57" t="inlineStr">
        <is>
          <t>MDF - 15MM</t>
        </is>
      </c>
      <c r="E484" s="169">
        <f>VLOOKUP(Tabela10[[#This Row],[Tipo de Chapa]],Tabela11[],2,FALSE)</f>
        <v/>
      </c>
      <c r="F484" s="151" t="n">
        <v>35</v>
      </c>
      <c r="G484" s="152" t="n">
        <v>0.0526</v>
      </c>
      <c r="H484" s="170">
        <f>Tabela10[[#This Row],[M² Da chapa]]*Tabela10[[#This Row],[Qtde Chapas
Liberadas]]</f>
        <v/>
      </c>
      <c r="I484" s="170" t="inlineStr">
        <is>
          <t>-</t>
        </is>
      </c>
      <c r="J484" s="170" t="inlineStr">
        <is>
          <t>-</t>
        </is>
      </c>
      <c r="K484" s="170" t="inlineStr">
        <is>
          <t>-</t>
        </is>
      </c>
      <c r="L484" s="170" t="inlineStr">
        <is>
          <t>-</t>
        </is>
      </c>
    </row>
    <row r="485">
      <c r="A485" s="6" t="n">
        <v>46057</v>
      </c>
      <c r="B485" s="8" t="inlineStr">
        <is>
          <t>N2601603 | N2601601 | N2601602</t>
        </is>
      </c>
      <c r="C485" s="168">
        <f>VLOOKUP(LEFT(B485,1),Tabela5[],2,0)</f>
        <v/>
      </c>
      <c r="D485" s="57" t="inlineStr">
        <is>
          <t>MDF - 15MM</t>
        </is>
      </c>
      <c r="E485" s="169">
        <f>VLOOKUP(Tabela10[[#This Row],[Tipo de Chapa]],Tabela11[],2,FALSE)</f>
        <v/>
      </c>
      <c r="F485" s="151" t="n">
        <v>480</v>
      </c>
      <c r="G485" s="152" t="n">
        <v>0.062</v>
      </c>
      <c r="H485" s="170">
        <f>Tabela10[[#This Row],[M² Da chapa]]*Tabela10[[#This Row],[Qtde Chapas
Liberadas]]</f>
        <v/>
      </c>
      <c r="I485" s="170" t="n">
        <v>2916.7705</v>
      </c>
      <c r="J485" s="59">
        <f>Tabela10[[#This Row],[ERP]]/Tabela10[[#This Row],[M² Da chapa]]</f>
        <v/>
      </c>
      <c r="K485" s="170">
        <f>Tabela10[[#This Row],[M² CHAPAS]]-Tabela10[[#This Row],[ERP]]</f>
        <v/>
      </c>
      <c r="L485" s="170">
        <f>Tabela10[[#This Row],[DIFERENÇA M²]]/Tabela10[[#This Row],[M² Da chapa]]</f>
        <v/>
      </c>
    </row>
    <row r="486">
      <c r="A486" s="6" t="n">
        <v>46057</v>
      </c>
      <c r="B486" s="8" t="inlineStr">
        <is>
          <t>N2601603</t>
        </is>
      </c>
      <c r="C486" s="168">
        <f>VLOOKUP(LEFT(B486,1),Tabela5[],2,0)</f>
        <v/>
      </c>
      <c r="D486" s="57" t="inlineStr">
        <is>
          <t>EUCADUR NT - 2,5MM</t>
        </is>
      </c>
      <c r="E486" s="169">
        <f>VLOOKUP(Tabela10[[#This Row],[Tipo de Chapa]],Tabela11[],2,FALSE)</f>
        <v/>
      </c>
      <c r="F486" s="151" t="n">
        <v>163</v>
      </c>
      <c r="G486" s="152" t="n">
        <v>0.0677</v>
      </c>
      <c r="H486" s="170">
        <f>Tabela10[[#This Row],[M² Da chapa]]*Tabela10[[#This Row],[Qtde Chapas
Liberadas]]</f>
        <v/>
      </c>
      <c r="I486" s="170" t="n">
        <v>964.0528</v>
      </c>
      <c r="J486" s="59">
        <f>Tabela10[[#This Row],[ERP]]/Tabela10[[#This Row],[M² Da chapa]]</f>
        <v/>
      </c>
      <c r="K486" s="170">
        <f>Tabela10[[#This Row],[M² CHAPAS]]-Tabela10[[#This Row],[ERP]]</f>
        <v/>
      </c>
      <c r="L486" s="170">
        <f>Tabela10[[#This Row],[DIFERENÇA M²]]/Tabela10[[#This Row],[M² Da chapa]]</f>
        <v/>
      </c>
    </row>
    <row r="487">
      <c r="A487" s="6" t="n">
        <v>46057</v>
      </c>
      <c r="B487" s="8" t="inlineStr">
        <is>
          <t>N2601601 | N2601602</t>
        </is>
      </c>
      <c r="C487" s="168">
        <f>VLOOKUP(LEFT(B487,1),Tabela5[],2,0)</f>
        <v/>
      </c>
      <c r="D487" s="57" t="inlineStr">
        <is>
          <t>EUCADUR FRJ - 2,5MM</t>
        </is>
      </c>
      <c r="E487" s="169">
        <f>VLOOKUP(Tabela10[[#This Row],[Tipo de Chapa]],Tabela11[],2,FALSE)</f>
        <v/>
      </c>
      <c r="F487" s="151" t="n">
        <v>123</v>
      </c>
      <c r="G487" s="152" t="n">
        <v>0.0459</v>
      </c>
      <c r="H487" s="169">
        <f>Tabela10[[#This Row],[M² Da chapa]]*Tabela10[[#This Row],[Qtde Chapas
Liberadas]]</f>
        <v/>
      </c>
      <c r="I487" s="170" t="n">
        <v>598.7148999999999</v>
      </c>
      <c r="J487" s="59">
        <f>Tabela10[[#This Row],[ERP]]/Tabela10[[#This Row],[M² Da chapa]]</f>
        <v/>
      </c>
      <c r="K487" s="170">
        <f>Tabela10[[#This Row],[M² CHAPAS]]-Tabela10[[#This Row],[ERP]]</f>
        <v/>
      </c>
      <c r="L487" s="170">
        <f>Tabela10[[#This Row],[DIFERENÇA M²]]/Tabela10[[#This Row],[M² Da chapa]]</f>
        <v/>
      </c>
    </row>
    <row r="488" hidden="1">
      <c r="A488" s="6" t="n">
        <v>46057</v>
      </c>
      <c r="B488" s="8" t="inlineStr">
        <is>
          <t>I26004</t>
        </is>
      </c>
      <c r="C488" s="168">
        <f>VLOOKUP(LEFT(B488,1),Tabela5[],2,0)</f>
        <v/>
      </c>
      <c r="D488" s="57" t="inlineStr">
        <is>
          <t>MDF - 15MM</t>
        </is>
      </c>
      <c r="E488" s="169">
        <f>VLOOKUP(Tabela10[[#This Row],[Tipo de Chapa]],Tabela11[],2,FALSE)</f>
        <v/>
      </c>
      <c r="F488" s="151" t="n">
        <v>315</v>
      </c>
      <c r="G488" s="152" t="n">
        <v>0.0596</v>
      </c>
      <c r="H488" s="170">
        <f>Tabela10[[#This Row],[M² Da chapa]]*Tabela10[[#This Row],[Qtde Chapas
Liberadas]]</f>
        <v/>
      </c>
      <c r="I488" s="170" t="n">
        <v>1838.8255</v>
      </c>
      <c r="J488" s="59">
        <f>Tabela10[[#This Row],[ERP]]/Tabela10[[#This Row],[M² Da chapa]]</f>
        <v/>
      </c>
      <c r="K488" s="170">
        <f>Tabela10[[#This Row],[M² CHAPAS]]-Tabela10[[#This Row],[ERP]]</f>
        <v/>
      </c>
      <c r="L488" s="170">
        <f>Tabela10[[#This Row],[DIFERENÇA M²]]/Tabela10[[#This Row],[M² Da chapa]]</f>
        <v/>
      </c>
    </row>
    <row r="489" hidden="1">
      <c r="A489" s="6" t="n">
        <v>46057</v>
      </c>
      <c r="B489" s="8" t="inlineStr">
        <is>
          <t>I26004</t>
        </is>
      </c>
      <c r="C489" s="168">
        <f>VLOOKUP(LEFT(B489,1),Tabela5[],2,0)</f>
        <v/>
      </c>
      <c r="D489" s="57" t="inlineStr">
        <is>
          <t>EUCADUR NT - 2,5MM</t>
        </is>
      </c>
      <c r="E489" s="169">
        <f>VLOOKUP(Tabela10[[#This Row],[Tipo de Chapa]],Tabela11[],2,FALSE)</f>
        <v/>
      </c>
      <c r="F489" s="151" t="n">
        <v>83</v>
      </c>
      <c r="G489" s="152" t="n">
        <v>0.068</v>
      </c>
      <c r="H489" s="170">
        <f>Tabela10[[#This Row],[M² Da chapa]]*Tabela10[[#This Row],[Qtde Chapas
Liberadas]]</f>
        <v/>
      </c>
      <c r="I489" s="170" t="n">
        <v>555.0937</v>
      </c>
      <c r="J489" s="59">
        <f>Tabela10[[#This Row],[ERP]]/Tabela10[[#This Row],[M² Da chapa]]</f>
        <v/>
      </c>
      <c r="K489" s="170">
        <f>Tabela10[[#This Row],[M² CHAPAS]]-Tabela10[[#This Row],[ERP]]</f>
        <v/>
      </c>
      <c r="L489" s="170">
        <f>Tabela10[[#This Row],[DIFERENÇA M²]]/Tabela10[[#This Row],[M² Da chapa]]</f>
        <v/>
      </c>
    </row>
    <row r="490" hidden="1">
      <c r="A490" s="6" t="n">
        <v>46057</v>
      </c>
      <c r="B490" s="8" t="inlineStr">
        <is>
          <t>M26006</t>
        </is>
      </c>
      <c r="C490" s="168">
        <f>VLOOKUP(LEFT(B490,1),Tabela5[],2,0)</f>
        <v/>
      </c>
      <c r="D490" s="57" t="inlineStr">
        <is>
          <t>MDF - 15MM</t>
        </is>
      </c>
      <c r="E490" s="169">
        <f>VLOOKUP(Tabela10[[#This Row],[Tipo de Chapa]],Tabela11[],2,FALSE)</f>
        <v/>
      </c>
      <c r="F490" s="151" t="n">
        <v>2017</v>
      </c>
      <c r="G490" s="152" t="n">
        <v>0.056</v>
      </c>
      <c r="H490" s="170">
        <f>Tabela10[[#This Row],[M² Da chapa]]*Tabela10[[#This Row],[Qtde Chapas
Liberadas]]</f>
        <v/>
      </c>
      <c r="I490" s="170" t="n">
        <v>12033.38</v>
      </c>
      <c r="J490" s="59">
        <f>Tabela10[[#This Row],[ERP]]/Tabela10[[#This Row],[M² Da chapa]]</f>
        <v/>
      </c>
      <c r="K490" s="170">
        <f>Tabela10[[#This Row],[M² CHAPAS]]-Tabela10[[#This Row],[ERP]]</f>
        <v/>
      </c>
      <c r="L490" s="170">
        <f>Tabela10[[#This Row],[DIFERENÇA M²]]/Tabela10[[#This Row],[M² Da chapa]]</f>
        <v/>
      </c>
    </row>
    <row r="491" hidden="1">
      <c r="A491" s="6" t="n">
        <v>46057</v>
      </c>
      <c r="B491" s="8" t="inlineStr">
        <is>
          <t>M26006</t>
        </is>
      </c>
      <c r="C491" s="168">
        <f>VLOOKUP(LEFT(B491,1),Tabela5[],2,0)</f>
        <v/>
      </c>
      <c r="D491" s="57" t="inlineStr">
        <is>
          <t>MDF - 9MM</t>
        </is>
      </c>
      <c r="E491" s="169">
        <f>VLOOKUP(Tabela10[[#This Row],[Tipo de Chapa]],Tabela11[],2,FALSE)</f>
        <v/>
      </c>
      <c r="F491" s="151" t="n">
        <v>407</v>
      </c>
      <c r="G491" s="152" t="n">
        <v>0.0457</v>
      </c>
      <c r="H491" s="170">
        <f>Tabela10[[#This Row],[M² Da chapa]]*Tabela10[[#This Row],[Qtde Chapas
Liberadas]]</f>
        <v/>
      </c>
      <c r="I491" s="170" t="n">
        <v>2198.8832</v>
      </c>
      <c r="J491" s="59">
        <f>Tabela10[[#This Row],[ERP]]/Tabela10[[#This Row],[M² Da chapa]]</f>
        <v/>
      </c>
      <c r="K491" s="170">
        <f>Tabela10[[#This Row],[M² CHAPAS]]-Tabela10[[#This Row],[ERP]]</f>
        <v/>
      </c>
      <c r="L491" s="170">
        <f>Tabela10[[#This Row],[DIFERENÇA M²]]/Tabela10[[#This Row],[M² Da chapa]]</f>
        <v/>
      </c>
    </row>
    <row r="492" hidden="1">
      <c r="A492" s="6" t="n">
        <v>46057</v>
      </c>
      <c r="B492" s="8" t="inlineStr">
        <is>
          <t>I26006</t>
        </is>
      </c>
      <c r="C492" s="168">
        <f>VLOOKUP(LEFT(B492,1),Tabela5[],2,0)</f>
        <v/>
      </c>
      <c r="D492" s="57" t="inlineStr">
        <is>
          <t>MDF - 9MM</t>
        </is>
      </c>
      <c r="E492" s="169">
        <f>VLOOKUP(Tabela10[[#This Row],[Tipo de Chapa]],Tabela11[],2,FALSE)</f>
        <v/>
      </c>
      <c r="F492" s="151" t="n">
        <v>50</v>
      </c>
      <c r="G492" s="152" t="n">
        <v>0.0281</v>
      </c>
      <c r="H492" s="170">
        <f>Tabela10[[#This Row],[M² Da chapa]]*Tabela10[[#This Row],[Qtde Chapas
Liberadas]]</f>
        <v/>
      </c>
      <c r="I492" s="170" t="n">
        <v>254.3606</v>
      </c>
      <c r="J492" s="59">
        <f>Tabela10[[#This Row],[ERP]]/Tabela10[[#This Row],[M² Da chapa]]</f>
        <v/>
      </c>
      <c r="K492" s="170">
        <f>Tabela10[[#This Row],[M² CHAPAS]]-Tabela10[[#This Row],[ERP]]</f>
        <v/>
      </c>
      <c r="L492" s="170">
        <f>Tabela10[[#This Row],[DIFERENÇA M²]]/Tabela10[[#This Row],[M² Da chapa]]</f>
        <v/>
      </c>
    </row>
    <row r="493" hidden="1">
      <c r="A493" s="6" t="n">
        <v>46057</v>
      </c>
      <c r="B493" s="8" t="inlineStr">
        <is>
          <t>I26007</t>
        </is>
      </c>
      <c r="C493" s="168">
        <f>VLOOKUP(LEFT(B493,1),Tabela5[],2,0)</f>
        <v/>
      </c>
      <c r="D493" s="57" t="inlineStr">
        <is>
          <t>MDF - 9MM</t>
        </is>
      </c>
      <c r="E493" s="169">
        <f>VLOOKUP(Tabela10[[#This Row],[Tipo de Chapa]],Tabela11[],2,FALSE)</f>
        <v/>
      </c>
      <c r="F493" s="151" t="n">
        <v>123</v>
      </c>
      <c r="G493" s="152" t="n">
        <v>0.0424</v>
      </c>
      <c r="H493" s="170">
        <f>Tabela10[[#This Row],[M² Da chapa]]*Tabela10[[#This Row],[Qtde Chapas
Liberadas]]</f>
        <v/>
      </c>
      <c r="I493" s="170" t="n">
        <v>587.8604</v>
      </c>
      <c r="J493" s="59">
        <f>Tabela10[[#This Row],[ERP]]/Tabela10[[#This Row],[M² Da chapa]]</f>
        <v/>
      </c>
      <c r="K493" s="170">
        <f>Tabela10[[#This Row],[M² CHAPAS]]-Tabela10[[#This Row],[ERP]]</f>
        <v/>
      </c>
      <c r="L493" s="170">
        <f>Tabela10[[#This Row],[DIFERENÇA M²]]/Tabela10[[#This Row],[M² Da chapa]]</f>
        <v/>
      </c>
    </row>
    <row r="494">
      <c r="A494" s="6" t="n">
        <v>46057</v>
      </c>
      <c r="B494" s="8" t="inlineStr">
        <is>
          <t>N2601001</t>
        </is>
      </c>
      <c r="C494" s="168">
        <f>VLOOKUP(LEFT(B494,1),Tabela5[],2,0)</f>
        <v/>
      </c>
      <c r="D494" s="57" t="inlineStr">
        <is>
          <t>MDF - 9MM</t>
        </is>
      </c>
      <c r="E494" s="169">
        <f>VLOOKUP(Tabela10[[#This Row],[Tipo de Chapa]],Tabela11[],2,FALSE)</f>
        <v/>
      </c>
      <c r="F494" s="151" t="n">
        <v>8</v>
      </c>
      <c r="G494" s="152" t="n">
        <v>0.1445</v>
      </c>
      <c r="H494" s="170">
        <f>Tabela10[[#This Row],[M² Da chapa]]*Tabela10[[#This Row],[Qtde Chapas
Liberadas]]</f>
        <v/>
      </c>
      <c r="I494" s="170" t="inlineStr">
        <is>
          <t>-</t>
        </is>
      </c>
      <c r="J494" s="170" t="inlineStr">
        <is>
          <t>-</t>
        </is>
      </c>
      <c r="K494" s="170" t="inlineStr">
        <is>
          <t>-</t>
        </is>
      </c>
      <c r="L494" s="170" t="inlineStr">
        <is>
          <t>-</t>
        </is>
      </c>
    </row>
    <row r="495">
      <c r="A495" s="6" t="n">
        <v>46058</v>
      </c>
      <c r="B495" s="8" t="inlineStr">
        <is>
          <t>N2601903 | N2601904</t>
        </is>
      </c>
      <c r="C495" s="168">
        <f>VLOOKUP(LEFT(B495,1),Tabela5[],2,0)</f>
        <v/>
      </c>
      <c r="D495" s="57" t="inlineStr">
        <is>
          <t>MDF - 15MM</t>
        </is>
      </c>
      <c r="E495" s="169">
        <f>VLOOKUP(Tabela10[[#This Row],[Tipo de Chapa]],Tabela11[],2,FALSE)</f>
        <v/>
      </c>
      <c r="F495" s="151" t="n">
        <v>120</v>
      </c>
      <c r="G495" s="152" t="n">
        <v>0.0562</v>
      </c>
      <c r="H495" s="170">
        <f>Tabela10[[#This Row],[M² Da chapa]]*Tabela10[[#This Row],[Qtde Chapas
Liberadas]]</f>
        <v/>
      </c>
      <c r="I495" s="170" t="n">
        <v>726</v>
      </c>
      <c r="J495" s="59">
        <f>Tabela10[[#This Row],[ERP]]/Tabela10[[#This Row],[M² Da chapa]]</f>
        <v/>
      </c>
      <c r="K495" s="170">
        <f>Tabela10[[#This Row],[M² CHAPAS]]-Tabela10[[#This Row],[ERP]]</f>
        <v/>
      </c>
      <c r="L495" s="170">
        <f>Tabela10[[#This Row],[DIFERENÇA M²]]/Tabela10[[#This Row],[M² Da chapa]]</f>
        <v/>
      </c>
    </row>
    <row r="496">
      <c r="A496" s="6" t="n">
        <v>46059</v>
      </c>
      <c r="B496" s="8" t="inlineStr">
        <is>
          <t>N26015</t>
        </is>
      </c>
      <c r="C496" s="168">
        <f>VLOOKUP(LEFT(B496,1),Tabela5[],2,0)</f>
        <v/>
      </c>
      <c r="D496" s="57" t="inlineStr">
        <is>
          <t>MDF - 15MM</t>
        </is>
      </c>
      <c r="E496" s="169">
        <f>VLOOKUP(Tabela10[[#This Row],[Tipo de Chapa]],Tabela11[],2,FALSE)</f>
        <v/>
      </c>
      <c r="F496" s="151">
        <f>863+5</f>
        <v/>
      </c>
      <c r="G496" s="152" t="n">
        <v>0.0566</v>
      </c>
      <c r="H496" s="170">
        <f>Tabela10[[#This Row],[M² Da chapa]]*Tabela10[[#This Row],[Qtde Chapas
Liberadas]]</f>
        <v/>
      </c>
      <c r="I496" s="170" t="n">
        <v>5311.624</v>
      </c>
      <c r="J496" s="59">
        <f>Tabela10[[#This Row],[ERP]]/Tabela10[[#This Row],[M² Da chapa]]</f>
        <v/>
      </c>
      <c r="K496" s="170">
        <f>Tabela10[[#This Row],[M² CHAPAS]]-Tabela10[[#This Row],[ERP]]</f>
        <v/>
      </c>
      <c r="L496" s="170">
        <f>Tabela10[[#This Row],[DIFERENÇA M²]]/Tabela10[[#This Row],[M² Da chapa]]</f>
        <v/>
      </c>
    </row>
    <row r="497">
      <c r="A497" s="6" t="n">
        <v>46059</v>
      </c>
      <c r="B497" s="8" t="inlineStr">
        <is>
          <t>N26015</t>
        </is>
      </c>
      <c r="C497" s="168">
        <f>VLOOKUP(LEFT(B497,1),Tabela5[],2,0)</f>
        <v/>
      </c>
      <c r="D497" s="57" t="inlineStr">
        <is>
          <t>EUCADUR FRJ - 2,5MM</t>
        </is>
      </c>
      <c r="E497" s="169">
        <f>VLOOKUP(Tabela10[[#This Row],[Tipo de Chapa]],Tabela11[],2,FALSE)</f>
        <v/>
      </c>
      <c r="F497" s="151" t="n">
        <v>80</v>
      </c>
      <c r="G497" s="152" t="n">
        <v>0.06909999999999999</v>
      </c>
      <c r="H497" s="170">
        <f>Tabela10[[#This Row],[M² Da chapa]]*Tabela10[[#This Row],[Qtde Chapas
Liberadas]]</f>
        <v/>
      </c>
      <c r="I497" s="170" t="n">
        <v>298.3871</v>
      </c>
      <c r="J497" s="59">
        <f>Tabela10[[#This Row],[ERP]]/Tabela10[[#This Row],[M² Da chapa]]</f>
        <v/>
      </c>
      <c r="K497" s="170">
        <f>Tabela10[[#This Row],[M² CHAPAS]]-Tabela10[[#This Row],[ERP]]</f>
        <v/>
      </c>
      <c r="L497" s="170">
        <f>Tabela10[[#This Row],[DIFERENÇA M²]]/Tabela10[[#This Row],[M² Da chapa]]</f>
        <v/>
      </c>
    </row>
    <row r="498">
      <c r="A498" s="6" t="n">
        <v>46059</v>
      </c>
      <c r="B498" s="8" t="inlineStr">
        <is>
          <t>N26015</t>
        </is>
      </c>
      <c r="C498" s="168">
        <f>VLOOKUP(LEFT(B498,1),Tabela5[],2,0)</f>
        <v/>
      </c>
      <c r="D498" s="57" t="inlineStr">
        <is>
          <t>EUCADUR NT - 2,5MM</t>
        </is>
      </c>
      <c r="E498" s="169">
        <f>VLOOKUP(Tabela10[[#This Row],[Tipo de Chapa]],Tabela11[],2,FALSE)</f>
        <v/>
      </c>
      <c r="F498" s="151" t="n">
        <v>432</v>
      </c>
      <c r="G498" s="152" t="n">
        <v>0.0606</v>
      </c>
      <c r="H498" s="170">
        <f>Tabela10[[#This Row],[M² Da chapa]]*Tabela10[[#This Row],[Qtde Chapas
Liberadas]]</f>
        <v/>
      </c>
      <c r="I498" s="170" t="n">
        <v>2196.1505</v>
      </c>
      <c r="J498" s="59">
        <f>Tabela10[[#This Row],[ERP]]/Tabela10[[#This Row],[M² Da chapa]]</f>
        <v/>
      </c>
      <c r="K498" s="170">
        <f>Tabela10[[#This Row],[M² CHAPAS]]-Tabela10[[#This Row],[ERP]]</f>
        <v/>
      </c>
      <c r="L498" s="170">
        <f>Tabela10[[#This Row],[DIFERENÇA M²]]/Tabela10[[#This Row],[M² Da chapa]]</f>
        <v/>
      </c>
    </row>
    <row r="499">
      <c r="A499" s="6" t="n">
        <v>46059</v>
      </c>
      <c r="B499" s="8" t="inlineStr">
        <is>
          <t>N2601504</t>
        </is>
      </c>
      <c r="C499" s="168">
        <f>VLOOKUP(LEFT(B499,1),Tabela5[],2,0)</f>
        <v/>
      </c>
      <c r="D499" s="57" t="inlineStr">
        <is>
          <t>MDF - 25MM 2750x2100</t>
        </is>
      </c>
      <c r="E499" s="169">
        <f>VLOOKUP(Tabela10[[#This Row],[Tipo de Chapa]],Tabela11[],2,FALSE)</f>
        <v/>
      </c>
      <c r="F499" s="151" t="n">
        <v>50</v>
      </c>
      <c r="G499" s="152" t="n">
        <v>0.0438</v>
      </c>
      <c r="H499" s="170">
        <f>Tabela10[[#This Row],[M² Da chapa]]*Tabela10[[#This Row],[Qtde Chapas
Liberadas]]</f>
        <v/>
      </c>
      <c r="I499" s="170" t="n">
        <v>234.6387</v>
      </c>
      <c r="J499" s="59">
        <f>Tabela10[[#This Row],[ERP]]/Tabela10[[#This Row],[M² Da chapa]]</f>
        <v/>
      </c>
      <c r="K499" s="170">
        <f>Tabela10[[#This Row],[M² CHAPAS]]-Tabela10[[#This Row],[ERP]]</f>
        <v/>
      </c>
      <c r="L499" s="170">
        <f>Tabela10[[#This Row],[DIFERENÇA M²]]/Tabela10[[#This Row],[M² Da chapa]]</f>
        <v/>
      </c>
    </row>
    <row r="500">
      <c r="A500" s="6" t="n">
        <v>46060</v>
      </c>
      <c r="B500" s="8" t="inlineStr">
        <is>
          <t>N2601701</t>
        </is>
      </c>
      <c r="C500" s="168">
        <f>VLOOKUP(LEFT(B500,1),Tabela5[],2,0)</f>
        <v/>
      </c>
      <c r="D500" s="57" t="inlineStr">
        <is>
          <t>MDF - 15MM</t>
        </is>
      </c>
      <c r="E500" s="169">
        <f>VLOOKUP(Tabela10[[#This Row],[Tipo de Chapa]],Tabela11[],2,FALSE)</f>
        <v/>
      </c>
      <c r="F500" s="151" t="n">
        <v>118</v>
      </c>
      <c r="G500" s="152" t="n">
        <v>0.0645</v>
      </c>
      <c r="H500" s="170">
        <f>Tabela10[[#This Row],[M² Da chapa]]*Tabela10[[#This Row],[Qtde Chapas
Liberadas]]</f>
        <v/>
      </c>
      <c r="I500" s="170" t="n">
        <v>633.1564</v>
      </c>
      <c r="J500" s="59">
        <f>Tabela10[[#This Row],[ERP]]/Tabela10[[#This Row],[M² Da chapa]]</f>
        <v/>
      </c>
      <c r="K500" s="170">
        <f>Tabela10[[#This Row],[M² CHAPAS]]-Tabela10[[#This Row],[ERP]]</f>
        <v/>
      </c>
      <c r="L500" s="170">
        <f>Tabela10[[#This Row],[DIFERENÇA M²]]/Tabela10[[#This Row],[M² Da chapa]]</f>
        <v/>
      </c>
    </row>
    <row r="501">
      <c r="A501" s="6" t="n">
        <v>46062</v>
      </c>
      <c r="B501" s="8" t="inlineStr">
        <is>
          <t>N2601903 | N2601904</t>
        </is>
      </c>
      <c r="C501" s="168">
        <f>VLOOKUP(LEFT(B501,1),Tabela5[],2,0)</f>
        <v/>
      </c>
      <c r="D501" s="57" t="inlineStr">
        <is>
          <t>EUCADUR NT - 2,5MM</t>
        </is>
      </c>
      <c r="E501" s="169">
        <f>VLOOKUP(Tabela10[[#This Row],[Tipo de Chapa]],Tabela11[],2,FALSE)</f>
        <v/>
      </c>
      <c r="F501" s="151" t="n">
        <v>215</v>
      </c>
      <c r="G501" s="152" t="n">
        <v>0.0622</v>
      </c>
      <c r="H501" s="170">
        <f>Tabela10[[#This Row],[M² Da chapa]]*Tabela10[[#This Row],[Qtde Chapas
Liberadas]]</f>
        <v/>
      </c>
      <c r="I501" s="170" t="n">
        <v>1141.5462</v>
      </c>
      <c r="J501" s="59">
        <f>Tabela10[[#This Row],[ERP]]/Tabela10[[#This Row],[M² Da chapa]]</f>
        <v/>
      </c>
      <c r="K501" s="170">
        <f>Tabela10[[#This Row],[M² CHAPAS]]-Tabela10[[#This Row],[ERP]]</f>
        <v/>
      </c>
      <c r="L501" s="170">
        <f>Tabela10[[#This Row],[DIFERENÇA M²]]/Tabela10[[#This Row],[M² Da chapa]]</f>
        <v/>
      </c>
    </row>
    <row r="502">
      <c r="A502" s="6" t="n">
        <v>46063</v>
      </c>
      <c r="B502" s="8" t="inlineStr">
        <is>
          <t>N2601903 | N2601904</t>
        </is>
      </c>
      <c r="C502" s="168">
        <f>VLOOKUP(LEFT(B502,1),Tabela5[],2,0)</f>
        <v/>
      </c>
      <c r="D502" s="57" t="inlineStr">
        <is>
          <t>MDF - 15MM</t>
        </is>
      </c>
      <c r="E502" s="169">
        <f>VLOOKUP(Tabela10[[#This Row],[Tipo de Chapa]],Tabela11[],2,FALSE)</f>
        <v/>
      </c>
      <c r="F502" s="151">
        <f>118+235</f>
        <v/>
      </c>
      <c r="G502" s="152" t="n">
        <v>0.0503</v>
      </c>
      <c r="H502" s="170">
        <f>Tabela10[[#This Row],[M² Da chapa]]*Tabela10[[#This Row],[Qtde Chapas
Liberadas]]</f>
        <v/>
      </c>
      <c r="I502" s="170" t="n">
        <v>2290.049</v>
      </c>
      <c r="J502" s="59">
        <f>Tabela10[[#This Row],[ERP]]/Tabela10[[#This Row],[M² Da chapa]]</f>
        <v/>
      </c>
      <c r="K502" s="170">
        <f>Tabela10[[#This Row],[M² CHAPAS]]-Tabela10[[#This Row],[ERP]]</f>
        <v/>
      </c>
      <c r="L502" s="170">
        <f>Tabela10[[#This Row],[DIFERENÇA M²]]/Tabela10[[#This Row],[M² Da chapa]]</f>
        <v/>
      </c>
    </row>
    <row r="503" hidden="1">
      <c r="A503" s="6" t="n">
        <v>46063</v>
      </c>
      <c r="B503" s="8" t="inlineStr">
        <is>
          <t>M26006</t>
        </is>
      </c>
      <c r="C503" s="168">
        <f>VLOOKUP(LEFT(B503,1),Tabela5[],2,0)</f>
        <v/>
      </c>
      <c r="D503" s="57" t="inlineStr">
        <is>
          <t>EUCADUR BR - 2,5MM</t>
        </is>
      </c>
      <c r="E503" s="169">
        <f>VLOOKUP(Tabela10[[#This Row],[Tipo de Chapa]],Tabela11[],2,FALSE)</f>
        <v/>
      </c>
      <c r="F503" s="151" t="n">
        <v>144</v>
      </c>
      <c r="G503" s="152" t="n">
        <v>0.0574</v>
      </c>
      <c r="H503" s="170">
        <f>Tabela10[[#This Row],[M² Da chapa]]*Tabela10[[#This Row],[Qtde Chapas
Liberadas]]</f>
        <v/>
      </c>
      <c r="I503" s="170" t="n">
        <v>842.0856</v>
      </c>
      <c r="J503" s="59">
        <f>Tabela10[[#This Row],[ERP]]/Tabela10[[#This Row],[M² Da chapa]]</f>
        <v/>
      </c>
      <c r="K503" s="170">
        <f>Tabela10[[#This Row],[M² CHAPAS]]-Tabela10[[#This Row],[ERP]]</f>
        <v/>
      </c>
      <c r="L503" s="170">
        <f>Tabela10[[#This Row],[DIFERENÇA M²]]/Tabela10[[#This Row],[M² Da chapa]]</f>
        <v/>
      </c>
    </row>
    <row r="504" hidden="1">
      <c r="A504" s="6" t="n">
        <v>46063</v>
      </c>
      <c r="B504" s="8" t="inlineStr">
        <is>
          <t>M26006</t>
        </is>
      </c>
      <c r="C504" s="168">
        <f>VLOOKUP(LEFT(B504,1),Tabela5[],2,0)</f>
        <v/>
      </c>
      <c r="D504" s="57" t="inlineStr">
        <is>
          <t>EUCADUR NT - 2,5MM</t>
        </is>
      </c>
      <c r="E504" s="169">
        <f>VLOOKUP(Tabela10[[#This Row],[Tipo de Chapa]],Tabela11[],2,FALSE)</f>
        <v/>
      </c>
      <c r="F504" s="151" t="n">
        <v>785</v>
      </c>
      <c r="G504" s="152" t="n">
        <v>0.0585</v>
      </c>
      <c r="H504" s="170">
        <f>Tabela10[[#This Row],[M² Da chapa]]*Tabela10[[#This Row],[Qtde Chapas
Liberadas]]</f>
        <v/>
      </c>
      <c r="I504" s="170" t="n">
        <v>3705.6069</v>
      </c>
      <c r="J504" s="59">
        <f>Tabela10[[#This Row],[ERP]]/Tabela10[[#This Row],[M² Da chapa]]</f>
        <v/>
      </c>
      <c r="K504" s="170">
        <f>Tabela10[[#This Row],[M² CHAPAS]]-Tabela10[[#This Row],[ERP]]</f>
        <v/>
      </c>
      <c r="L504" s="170">
        <f>Tabela10[[#This Row],[DIFERENÇA M²]]/Tabela10[[#This Row],[M² Da chapa]]</f>
        <v/>
      </c>
    </row>
    <row r="505" ht="28.8" customHeight="1">
      <c r="A505" s="6" t="n">
        <v>46064</v>
      </c>
      <c r="B505" s="8" t="inlineStr">
        <is>
          <t>N2601604 | N2601606 | N2601605 | N2601607 | N2601608 | N2601610 | N2601609 | N2601611</t>
        </is>
      </c>
      <c r="C505" s="168">
        <f>VLOOKUP(LEFT(B505,1),Tabela5[],2,0)</f>
        <v/>
      </c>
      <c r="D505" s="57" t="inlineStr">
        <is>
          <t>MDF - 15MM</t>
        </is>
      </c>
      <c r="E505" s="169">
        <f>VLOOKUP(Tabela10[[#This Row],[Tipo de Chapa]],Tabela11[],2,FALSE)</f>
        <v/>
      </c>
      <c r="F505" s="151" t="n">
        <v>1041</v>
      </c>
      <c r="G505" s="152" t="n">
        <v>0.0614</v>
      </c>
      <c r="H505" s="170">
        <f>Tabela10[[#This Row],[M² Da chapa]]*Tabela10[[#This Row],[Qtde Chapas
Liberadas]]</f>
        <v/>
      </c>
      <c r="I505" s="170" t="n">
        <v>6050.5195</v>
      </c>
      <c r="J505" s="59">
        <f>Tabela10[[#This Row],[ERP]]/Tabela10[[#This Row],[M² Da chapa]]</f>
        <v/>
      </c>
      <c r="K505" s="170">
        <f>Tabela10[[#This Row],[M² CHAPAS]]-Tabela10[[#This Row],[ERP]]</f>
        <v/>
      </c>
      <c r="L505" s="170">
        <f>Tabela10[[#This Row],[DIFERENÇA M²]]/Tabela10[[#This Row],[M² Da chapa]]</f>
        <v/>
      </c>
    </row>
    <row r="506">
      <c r="A506" s="6" t="n">
        <v>46064</v>
      </c>
      <c r="B506" s="8" t="inlineStr">
        <is>
          <t>N2601706</t>
        </is>
      </c>
      <c r="C506" s="168">
        <f>VLOOKUP(LEFT(B506,1),Tabela5[],2,0)</f>
        <v/>
      </c>
      <c r="D506" s="57" t="inlineStr">
        <is>
          <t>MDF - 15MM</t>
        </is>
      </c>
      <c r="E506" s="169">
        <f>VLOOKUP(Tabela10[[#This Row],[Tipo de Chapa]],Tabela11[],2,FALSE)</f>
        <v/>
      </c>
      <c r="F506" s="151">
        <f>232+273</f>
        <v/>
      </c>
      <c r="G506" s="152" t="n">
        <v>0.053</v>
      </c>
      <c r="H506" s="170">
        <f>Tabela10[[#This Row],[M² Da chapa]]*Tabela10[[#This Row],[Qtde Chapas
Liberadas]]</f>
        <v/>
      </c>
      <c r="I506" s="170" t="n">
        <v>3181.7738</v>
      </c>
      <c r="J506" s="59">
        <f>Tabela10[[#This Row],[ERP]]/Tabela10[[#This Row],[M² Da chapa]]</f>
        <v/>
      </c>
      <c r="K506" s="170">
        <f>Tabela10[[#This Row],[M² CHAPAS]]-Tabela10[[#This Row],[ERP]]</f>
        <v/>
      </c>
      <c r="L506" s="170">
        <f>Tabela10[[#This Row],[DIFERENÇA M²]]/Tabela10[[#This Row],[M² Da chapa]]</f>
        <v/>
      </c>
    </row>
    <row r="507" hidden="1">
      <c r="A507" s="6" t="n">
        <v>46066</v>
      </c>
      <c r="B507" s="8" t="inlineStr">
        <is>
          <t>I26005</t>
        </is>
      </c>
      <c r="C507" s="168">
        <f>VLOOKUP(LEFT(B507,1),Tabela5[],2,0)</f>
        <v/>
      </c>
      <c r="D507" s="57" t="inlineStr">
        <is>
          <t>EUCADUR NT - 2,5MM</t>
        </is>
      </c>
      <c r="E507" s="169">
        <f>VLOOKUP(Tabela10[[#This Row],[Tipo de Chapa]],Tabela11[],2,FALSE)</f>
        <v/>
      </c>
      <c r="F507" s="151" t="n">
        <v>96</v>
      </c>
      <c r="G507" s="152" t="n">
        <v>0.0501</v>
      </c>
      <c r="H507" s="170">
        <f>Tabela10[[#This Row],[M² Da chapa]]*Tabela10[[#This Row],[Qtde Chapas
Liberadas]]</f>
        <v/>
      </c>
      <c r="I507" s="170" t="n">
        <v>778.0439</v>
      </c>
      <c r="J507" s="59">
        <f>Tabela10[[#This Row],[ERP]]/Tabela10[[#This Row],[M² Da chapa]]</f>
        <v/>
      </c>
      <c r="K507" s="170">
        <f>Tabela10[[#This Row],[M² CHAPAS]]-Tabela10[[#This Row],[ERP]]</f>
        <v/>
      </c>
      <c r="L507" s="170">
        <f>Tabela10[[#This Row],[DIFERENÇA M²]]/Tabela10[[#This Row],[M² Da chapa]]</f>
        <v/>
      </c>
    </row>
    <row r="508" hidden="1">
      <c r="A508" s="6" t="n">
        <v>46066</v>
      </c>
      <c r="B508" s="8" t="inlineStr">
        <is>
          <t>M26007</t>
        </is>
      </c>
      <c r="C508" s="168">
        <f>VLOOKUP(LEFT(B508,1),Tabela5[],2,0)</f>
        <v/>
      </c>
      <c r="D508" s="57" t="inlineStr">
        <is>
          <t>EUCADUR NT - 2,5MM</t>
        </is>
      </c>
      <c r="E508" s="169">
        <f>VLOOKUP(Tabela10[[#This Row],[Tipo de Chapa]],Tabela11[],2,FALSE)</f>
        <v/>
      </c>
      <c r="F508" s="151" t="n">
        <v>33</v>
      </c>
      <c r="G508" s="152" t="n">
        <v>0.0491</v>
      </c>
      <c r="H508" s="170">
        <f>Tabela10[[#This Row],[M² Da chapa]]*Tabela10[[#This Row],[Qtde Chapas
Liberadas]]</f>
        <v/>
      </c>
      <c r="I508" s="170" t="n">
        <v>344.5501</v>
      </c>
      <c r="J508" s="59">
        <f>Tabela10[[#This Row],[ERP]]/Tabela10[[#This Row],[M² Da chapa]]</f>
        <v/>
      </c>
      <c r="K508" s="170">
        <f>Tabela10[[#This Row],[M² CHAPAS]]-Tabela10[[#This Row],[ERP]]</f>
        <v/>
      </c>
      <c r="L508" s="170">
        <f>Tabela10[[#This Row],[DIFERENÇA M²]]/Tabela10[[#This Row],[M² Da chapa]]</f>
        <v/>
      </c>
    </row>
    <row r="509" hidden="1">
      <c r="A509" s="6" t="n">
        <v>46066</v>
      </c>
      <c r="B509" s="8" t="inlineStr">
        <is>
          <t>M26008</t>
        </is>
      </c>
      <c r="C509" s="168">
        <f>VLOOKUP(LEFT(B509,1),Tabela5[],2,0)</f>
        <v/>
      </c>
      <c r="D509" s="57" t="inlineStr">
        <is>
          <t>EUCADUR NT - 2,5MM</t>
        </is>
      </c>
      <c r="E509" s="169">
        <f>VLOOKUP(Tabela10[[#This Row],[Tipo de Chapa]],Tabela11[],2,FALSE)</f>
        <v/>
      </c>
      <c r="F509" s="151" t="n">
        <v>114</v>
      </c>
      <c r="G509" s="152" t="n">
        <v>0.0602</v>
      </c>
      <c r="H509" s="170">
        <f>Tabela10[[#This Row],[M² Da chapa]]*Tabela10[[#This Row],[Qtde Chapas
Liberadas]]</f>
        <v/>
      </c>
      <c r="I509" s="170" t="n">
        <v>262.6064</v>
      </c>
      <c r="J509" s="59">
        <f>Tabela10[[#This Row],[ERP]]/Tabela10[[#This Row],[M² Da chapa]]</f>
        <v/>
      </c>
      <c r="K509" s="170">
        <f>Tabela10[[#This Row],[M² CHAPAS]]-Tabela10[[#This Row],[ERP]]</f>
        <v/>
      </c>
      <c r="L509" s="170">
        <f>Tabela10[[#This Row],[DIFERENÇA M²]]/Tabela10[[#This Row],[M² Da chapa]]</f>
        <v/>
      </c>
    </row>
    <row r="510" hidden="1">
      <c r="A510" s="6" t="n">
        <v>46066</v>
      </c>
      <c r="B510" s="8" t="inlineStr">
        <is>
          <t>I26006</t>
        </is>
      </c>
      <c r="C510" s="168">
        <f>VLOOKUP(LEFT(B510,1),Tabela5[],2,0)</f>
        <v/>
      </c>
      <c r="D510" s="57" t="inlineStr">
        <is>
          <t>EUCADUR NT - 2,5MM</t>
        </is>
      </c>
      <c r="E510" s="169">
        <f>VLOOKUP(Tabela10[[#This Row],[Tipo de Chapa]],Tabela11[],2,FALSE)</f>
        <v/>
      </c>
      <c r="F510" s="151" t="n">
        <v>214</v>
      </c>
      <c r="G510" s="152" t="n">
        <v>0.0562</v>
      </c>
      <c r="H510" s="170">
        <f>Tabela10[[#This Row],[M² Da chapa]]*Tabela10[[#This Row],[Qtde Chapas
Liberadas]]</f>
        <v/>
      </c>
      <c r="I510" s="170" t="n">
        <v>768.6257000000001</v>
      </c>
      <c r="J510" s="59">
        <f>Tabela10[[#This Row],[ERP]]/Tabela10[[#This Row],[M² Da chapa]]</f>
        <v/>
      </c>
      <c r="K510" s="170">
        <f>Tabela10[[#This Row],[M² CHAPAS]]-Tabela10[[#This Row],[ERP]]</f>
        <v/>
      </c>
      <c r="L510" s="170">
        <f>Tabela10[[#This Row],[DIFERENÇA M²]]/Tabela10[[#This Row],[M² Da chapa]]</f>
        <v/>
      </c>
    </row>
    <row r="511" hidden="1">
      <c r="A511" s="6" t="n">
        <v>46066</v>
      </c>
      <c r="B511" s="8" t="inlineStr">
        <is>
          <t>I26006</t>
        </is>
      </c>
      <c r="C511" s="168">
        <f>VLOOKUP(LEFT(B511,1),Tabela5[],2,0)</f>
        <v/>
      </c>
      <c r="D511" s="57" t="inlineStr">
        <is>
          <t>EUCADUR FRJ - 2,5MM</t>
        </is>
      </c>
      <c r="E511" s="169">
        <f>VLOOKUP(Tabela10[[#This Row],[Tipo de Chapa]],Tabela11[],2,FALSE)</f>
        <v/>
      </c>
      <c r="F511" s="151" t="n">
        <v>280</v>
      </c>
      <c r="G511" s="152" t="n">
        <v>0.0561</v>
      </c>
      <c r="H511" s="170">
        <f>Tabela10[[#This Row],[M² Da chapa]]*Tabela10[[#This Row],[Qtde Chapas
Liberadas]]</f>
        <v/>
      </c>
      <c r="I511" s="170" t="n">
        <v>1962.2129</v>
      </c>
      <c r="J511" s="59">
        <f>Tabela10[[#This Row],[ERP]]/Tabela10[[#This Row],[M² Da chapa]]</f>
        <v/>
      </c>
      <c r="K511" s="170">
        <f>Tabela10[[#This Row],[M² CHAPAS]]-Tabela10[[#This Row],[ERP]]</f>
        <v/>
      </c>
      <c r="L511" s="170">
        <f>Tabela10[[#This Row],[DIFERENÇA M²]]/Tabela10[[#This Row],[M² Da chapa]]</f>
        <v/>
      </c>
    </row>
    <row r="512" hidden="1">
      <c r="A512" s="6" t="n">
        <v>46066</v>
      </c>
      <c r="B512" s="8" t="inlineStr">
        <is>
          <t>I26007</t>
        </is>
      </c>
      <c r="C512" s="168">
        <f>VLOOKUP(LEFT(B512,1),Tabela5[],2,0)</f>
        <v/>
      </c>
      <c r="D512" s="57" t="inlineStr">
        <is>
          <t>EUCADUR NT - 2,5MM</t>
        </is>
      </c>
      <c r="E512" s="169">
        <f>VLOOKUP(Tabela10[[#This Row],[Tipo de Chapa]],Tabela11[],2,FALSE)</f>
        <v/>
      </c>
      <c r="F512" s="151" t="n">
        <v>280</v>
      </c>
      <c r="G512" s="152" t="n">
        <v>0.0634</v>
      </c>
      <c r="H512" s="170">
        <f>Tabela10[[#This Row],[M² Da chapa]]*Tabela10[[#This Row],[Qtde Chapas
Liberadas]]</f>
        <v/>
      </c>
      <c r="I512" s="170" t="n">
        <v>2225.4207</v>
      </c>
      <c r="J512" s="59">
        <f>Tabela10[[#This Row],[ERP]]/Tabela10[[#This Row],[M² Da chapa]]</f>
        <v/>
      </c>
      <c r="K512" s="170">
        <f>Tabela10[[#This Row],[M² CHAPAS]]-Tabela10[[#This Row],[ERP]]</f>
        <v/>
      </c>
      <c r="L512" s="170">
        <f>Tabela10[[#This Row],[DIFERENÇA M²]]/Tabela10[[#This Row],[M² Da chapa]]</f>
        <v/>
      </c>
    </row>
    <row r="513">
      <c r="A513" s="6" t="n">
        <v>46072</v>
      </c>
      <c r="B513" s="8" t="inlineStr">
        <is>
          <t>N2601704</t>
        </is>
      </c>
      <c r="C513" s="168">
        <f>VLOOKUP(LEFT(B513,1),Tabela5[],2,0)</f>
        <v/>
      </c>
      <c r="D513" s="57" t="inlineStr">
        <is>
          <t>MDF - 9MM</t>
        </is>
      </c>
      <c r="E513" s="169">
        <f>VLOOKUP(Tabela10[[#This Row],[Tipo de Chapa]],Tabela11[],2,FALSE)</f>
        <v/>
      </c>
      <c r="F513" s="151" t="n">
        <v>11</v>
      </c>
      <c r="G513" s="152" t="n">
        <v>0.07729999999999999</v>
      </c>
      <c r="H513" s="170">
        <f>Tabela10[[#This Row],[M² Da chapa]]*Tabela10[[#This Row],[Qtde Chapas
Liberadas]]</f>
        <v/>
      </c>
      <c r="J513" s="59">
        <f>Tabela10[[#This Row],[ERP]]/Tabela10[[#This Row],[M² Da chapa]]</f>
        <v/>
      </c>
      <c r="K513" s="170">
        <f>Tabela10[[#This Row],[M² CHAPAS]]-Tabela10[[#This Row],[ERP]]</f>
        <v/>
      </c>
      <c r="L513" s="170">
        <f>Tabela10[[#This Row],[DIFERENÇA M²]]/Tabela10[[#This Row],[M² Da chapa]]</f>
        <v/>
      </c>
    </row>
    <row r="514" ht="28.8" customHeight="1">
      <c r="A514" s="6" t="n">
        <v>46072</v>
      </c>
      <c r="B514" s="8" t="inlineStr">
        <is>
          <t>N2601604 | N2601606 | N2601605 | N2601607 | N2601608 | N2601610 | N2601609 | N2601611</t>
        </is>
      </c>
      <c r="C514" s="168">
        <f>VLOOKUP(LEFT(B514,1),Tabela5[],2,0)</f>
        <v/>
      </c>
      <c r="D514" s="57" t="inlineStr">
        <is>
          <t>EUCADUR FRJ - 2,5MM</t>
        </is>
      </c>
      <c r="E514" s="169">
        <f>VLOOKUP(Tabela10[[#This Row],[Tipo de Chapa]],Tabela11[],2,FALSE)</f>
        <v/>
      </c>
      <c r="F514" s="151" t="n">
        <v>251</v>
      </c>
      <c r="G514" s="152" t="n">
        <v>0.0641</v>
      </c>
      <c r="H514" s="169">
        <f>Tabela10[[#This Row],[M² Da chapa]]*Tabela10[[#This Row],[Qtde Chapas
Liberadas]]</f>
        <v/>
      </c>
      <c r="I514" s="170" t="n">
        <v>1951.2765</v>
      </c>
      <c r="J514" s="59">
        <f>Tabela10[[#This Row],[ERP]]/Tabela10[[#This Row],[M² Da chapa]]</f>
        <v/>
      </c>
      <c r="K514" s="170">
        <f>Tabela10[[#This Row],[M² CHAPAS]]-Tabela10[[#This Row],[ERP]]</f>
        <v/>
      </c>
      <c r="L514" s="170">
        <f>Tabela10[[#This Row],[DIFERENÇA M²]]/Tabela10[[#This Row],[M² Da chapa]]</f>
        <v/>
      </c>
    </row>
    <row r="515">
      <c r="A515" s="6" t="n">
        <v>46072</v>
      </c>
      <c r="B515" s="8" t="inlineStr">
        <is>
          <t>N2601706</t>
        </is>
      </c>
      <c r="C515" s="168">
        <f>VLOOKUP(LEFT(B515,1),Tabela5[],2,0)</f>
        <v/>
      </c>
      <c r="D515" s="57" t="inlineStr">
        <is>
          <t>EUCADUR FRJ - 2,5MM</t>
        </is>
      </c>
      <c r="E515" s="169">
        <f>VLOOKUP(Tabela10[[#This Row],[Tipo de Chapa]],Tabela11[],2,FALSE)</f>
        <v/>
      </c>
      <c r="F515" s="151" t="n">
        <v>183</v>
      </c>
      <c r="G515" s="152" t="n">
        <v>0.063</v>
      </c>
      <c r="H515" s="170">
        <f>Tabela10[[#This Row],[M² Da chapa]]*Tabela10[[#This Row],[Qtde Chapas
Liberadas]]</f>
        <v/>
      </c>
      <c r="I515" s="170" t="n">
        <v>1271.5178</v>
      </c>
      <c r="J515" s="59">
        <f>Tabela10[[#This Row],[ERP]]/Tabela10[[#This Row],[M² Da chapa]]</f>
        <v/>
      </c>
      <c r="K515" s="170">
        <f>Tabela10[[#This Row],[M² CHAPAS]]-Tabela10[[#This Row],[ERP]]</f>
        <v/>
      </c>
      <c r="L515" s="170">
        <f>Tabela10[[#This Row],[DIFERENÇA M²]]/Tabela10[[#This Row],[M² Da chapa]]</f>
        <v/>
      </c>
    </row>
    <row r="516" ht="28.8" customHeight="1">
      <c r="A516" s="6" t="n">
        <v>46073</v>
      </c>
      <c r="B516" s="8" t="inlineStr">
        <is>
          <t>N2601702 | N2601703 | N2601705 | N2601704 | N2601707</t>
        </is>
      </c>
      <c r="C516" s="168">
        <f>VLOOKUP(LEFT(B516,1),Tabela5[],2,0)</f>
        <v/>
      </c>
      <c r="D516" s="57" t="inlineStr">
        <is>
          <t>EUCADUR NT - 2,5MM</t>
        </is>
      </c>
      <c r="E516" s="169">
        <f>VLOOKUP(Tabela10[[#This Row],[Tipo de Chapa]],Tabela11[],2,FALSE)</f>
        <v/>
      </c>
      <c r="F516" s="151" t="n">
        <v>353</v>
      </c>
      <c r="G516" s="152" t="n">
        <v>0.0622</v>
      </c>
      <c r="H516" s="170">
        <f>Tabela10[[#This Row],[M² Da chapa]]*Tabela10[[#This Row],[Qtde Chapas
Liberadas]]</f>
        <v/>
      </c>
      <c r="I516" s="170" t="n">
        <v>2125.4771</v>
      </c>
      <c r="J516" s="59">
        <f>Tabela10[[#This Row],[ERP]]/Tabela10[[#This Row],[M² Da chapa]]</f>
        <v/>
      </c>
      <c r="K516" s="170">
        <f>Tabela10[[#This Row],[M² CHAPAS]]-Tabela10[[#This Row],[ERP]]</f>
        <v/>
      </c>
      <c r="L516" s="170">
        <f>Tabela10[[#This Row],[DIFERENÇA M²]]/Tabela10[[#This Row],[M² Da chapa]]</f>
        <v/>
      </c>
    </row>
    <row r="517" ht="28.8" customHeight="1">
      <c r="A517" s="6" t="n">
        <v>46076</v>
      </c>
      <c r="B517" s="8" t="inlineStr">
        <is>
          <t>N2601702 | N2601703 | N2601705 | N2601704 | N2601707</t>
        </is>
      </c>
      <c r="C517" s="168">
        <f>VLOOKUP(LEFT(B517,1),Tabela5[],2,0)</f>
        <v/>
      </c>
      <c r="D517" s="57" t="inlineStr">
        <is>
          <t>MDF - 15MM</t>
        </is>
      </c>
      <c r="E517" s="169">
        <f>VLOOKUP(Tabela10[[#This Row],[Tipo de Chapa]],Tabela11[],2,FALSE)</f>
        <v/>
      </c>
      <c r="F517" s="151">
        <f>1210+54</f>
        <v/>
      </c>
      <c r="G517" s="152" t="n">
        <v>0.0554</v>
      </c>
      <c r="H517" s="170">
        <f>Tabela10[[#This Row],[M² Da chapa]]*Tabela10[[#This Row],[Qtde Chapas
Liberadas]]</f>
        <v/>
      </c>
      <c r="I517" s="170" t="n">
        <v>5688.4475</v>
      </c>
      <c r="J517" s="59">
        <f>Tabela10[[#This Row],[ERP]]/Tabela10[[#This Row],[M² Da chapa]]</f>
        <v/>
      </c>
      <c r="K517" s="170">
        <f>Tabela10[[#This Row],[M² CHAPAS]]-Tabela10[[#This Row],[ERP]]</f>
        <v/>
      </c>
      <c r="L517" s="170">
        <f>Tabela10[[#This Row],[DIFERENÇA M²]]/Tabela10[[#This Row],[M² Da chapa]]</f>
        <v/>
      </c>
    </row>
    <row r="518" ht="28.8" customHeight="1">
      <c r="A518" s="6" t="n">
        <v>46076</v>
      </c>
      <c r="B518" s="8" t="inlineStr">
        <is>
          <t>N2601702 | N2601704</t>
        </is>
      </c>
      <c r="C518" s="168">
        <f>VLOOKUP(LEFT(B518,1),Tabela5[],2,0)</f>
        <v/>
      </c>
      <c r="D518" s="57" t="inlineStr">
        <is>
          <t>MDF - 25MM 2750x2200</t>
        </is>
      </c>
      <c r="E518" s="169">
        <f>VLOOKUP(Tabela10[[#This Row],[Tipo de Chapa]],Tabela11[],2,FALSE)</f>
        <v/>
      </c>
      <c r="F518" s="108" t="inlineStr">
        <is>
          <t>100% APROVEITADO DE SOBRAS</t>
        </is>
      </c>
      <c r="G518" s="152" t="inlineStr">
        <is>
          <t>-</t>
        </is>
      </c>
      <c r="H518" s="170" t="inlineStr">
        <is>
          <t>-</t>
        </is>
      </c>
      <c r="I518" s="170" t="inlineStr">
        <is>
          <t>-</t>
        </is>
      </c>
      <c r="J518" s="170" t="inlineStr">
        <is>
          <t>-</t>
        </is>
      </c>
      <c r="K518" s="170" t="inlineStr">
        <is>
          <t>-</t>
        </is>
      </c>
      <c r="L518" s="170" t="inlineStr">
        <is>
          <t>-</t>
        </is>
      </c>
    </row>
    <row r="519">
      <c r="A519" s="6" t="n">
        <v>46077</v>
      </c>
      <c r="B519" s="8" t="inlineStr">
        <is>
          <t>N2601707</t>
        </is>
      </c>
      <c r="C519" s="168">
        <f>VLOOKUP(LEFT(B519,1),Tabela5[],2,0)</f>
        <v/>
      </c>
      <c r="D519" s="57" t="inlineStr">
        <is>
          <t>MDF - 15MM</t>
        </is>
      </c>
      <c r="E519" s="169">
        <f>VLOOKUP(Tabela10[[#This Row],[Tipo de Chapa]],Tabela11[],2,FALSE)</f>
        <v/>
      </c>
      <c r="F519" s="151" t="n">
        <v>172</v>
      </c>
      <c r="G519" s="152" t="inlineStr">
        <is>
          <t>-</t>
        </is>
      </c>
      <c r="H519" s="170">
        <f>Tabela10[[#This Row],[M² Da chapa]]*Tabela10[[#This Row],[Qtde Chapas
Liberadas]]</f>
        <v/>
      </c>
      <c r="I519" s="170" t="inlineStr">
        <is>
          <t>-</t>
        </is>
      </c>
      <c r="J519" s="170" t="inlineStr">
        <is>
          <t>-</t>
        </is>
      </c>
      <c r="K519" s="170" t="inlineStr">
        <is>
          <t>-</t>
        </is>
      </c>
      <c r="L519" s="170" t="inlineStr">
        <is>
          <t>-</t>
        </is>
      </c>
    </row>
    <row r="520">
      <c r="A520" s="6" t="n">
        <v>46078</v>
      </c>
      <c r="B520" s="8" t="inlineStr">
        <is>
          <t>N26018</t>
        </is>
      </c>
      <c r="C520" s="168">
        <f>VLOOKUP(LEFT(B520,1),Tabela5[],2,0)</f>
        <v/>
      </c>
      <c r="D520" s="57" t="inlineStr">
        <is>
          <t>EUCADUR NT - 2,5MM</t>
        </is>
      </c>
      <c r="E520" s="169">
        <f>VLOOKUP(Tabela10[[#This Row],[Tipo de Chapa]],Tabela11[],2,FALSE)</f>
        <v/>
      </c>
      <c r="F520" s="151" t="n">
        <v>618</v>
      </c>
      <c r="G520" s="152" t="n">
        <v>0.06519999999999999</v>
      </c>
      <c r="H520" s="170">
        <f>Tabela10[[#This Row],[M² Da chapa]]*Tabela10[[#This Row],[Qtde Chapas
Liberadas]]</f>
        <v/>
      </c>
      <c r="I520" s="170" t="n">
        <v>3905.7095</v>
      </c>
      <c r="J520" s="59">
        <f>Tabela10[[#This Row],[ERP]]/Tabela10[[#This Row],[M² Da chapa]]</f>
        <v/>
      </c>
      <c r="K520" s="170">
        <f>Tabela10[[#This Row],[M² CHAPAS]]-Tabela10[[#This Row],[ERP]]</f>
        <v/>
      </c>
      <c r="L520" s="170">
        <f>Tabela10[[#This Row],[DIFERENÇA M²]]/Tabela10[[#This Row],[M² Da chapa]]</f>
        <v/>
      </c>
    </row>
    <row r="521" hidden="1">
      <c r="A521" s="6" t="n">
        <v>46079</v>
      </c>
      <c r="B521" s="8" t="inlineStr">
        <is>
          <t>I26005</t>
        </is>
      </c>
      <c r="C521" s="168">
        <f>VLOOKUP(LEFT(B521,1),Tabela5[],2,0)</f>
        <v/>
      </c>
      <c r="D521" s="57" t="inlineStr">
        <is>
          <t>MDF - 15MM</t>
        </is>
      </c>
      <c r="E521" s="169">
        <f>VLOOKUP(Tabela10[[#This Row],[Tipo de Chapa]],Tabela11[],2,FALSE)</f>
        <v/>
      </c>
      <c r="F521" s="151" t="n">
        <v>502</v>
      </c>
      <c r="G521" s="152" t="n">
        <v>0.0634</v>
      </c>
      <c r="H521" s="170">
        <f>Tabela10[[#This Row],[M² Da chapa]]*Tabela10[[#This Row],[Qtde Chapas
Liberadas]]</f>
        <v/>
      </c>
      <c r="I521" s="59" t="n">
        <v>2845.2804</v>
      </c>
      <c r="J521" s="59">
        <f>Tabela10[[#This Row],[ERP]]/Tabela10[[#This Row],[M² Da chapa]]</f>
        <v/>
      </c>
      <c r="K521" s="170">
        <f>Tabela10[[#This Row],[M² CHAPAS]]-Tabela10[[#This Row],[ERP]]</f>
        <v/>
      </c>
      <c r="L521" s="170">
        <f>Tabela10[[#This Row],[DIFERENÇA M²]]/Tabela10[[#This Row],[M² Da chapa]]</f>
        <v/>
      </c>
    </row>
    <row r="522" hidden="1">
      <c r="A522" s="6" t="n">
        <v>46079</v>
      </c>
      <c r="B522" s="8" t="inlineStr">
        <is>
          <t>M26007</t>
        </is>
      </c>
      <c r="C522" s="168">
        <f>VLOOKUP(LEFT(B522,1),Tabela5[],2,0)</f>
        <v/>
      </c>
      <c r="D522" s="57" t="inlineStr">
        <is>
          <t>MDF - 15MM</t>
        </is>
      </c>
      <c r="E522" s="169">
        <f>VLOOKUP(Tabela10[[#This Row],[Tipo de Chapa]],Tabela11[],2,FALSE)</f>
        <v/>
      </c>
      <c r="F522" s="151" t="n">
        <v>181</v>
      </c>
      <c r="G522" s="152" t="n">
        <v>0.0639</v>
      </c>
      <c r="H522" s="170">
        <f>Tabela10[[#This Row],[M² Da chapa]]*Tabela10[[#This Row],[Qtde Chapas
Liberadas]]</f>
        <v/>
      </c>
      <c r="I522" s="170" t="n">
        <v>1042.2465</v>
      </c>
      <c r="J522" s="59">
        <f>Tabela10[[#This Row],[ERP]]/Tabela10[[#This Row],[M² Da chapa]]</f>
        <v/>
      </c>
      <c r="K522" s="170">
        <f>Tabela10[[#This Row],[M² CHAPAS]]-Tabela10[[#This Row],[ERP]]</f>
        <v/>
      </c>
      <c r="L522" s="170">
        <f>Tabela10[[#This Row],[DIFERENÇA M²]]/Tabela10[[#This Row],[M² Da chapa]]</f>
        <v/>
      </c>
    </row>
    <row r="523" hidden="1">
      <c r="A523" s="6" t="n">
        <v>46079</v>
      </c>
      <c r="B523" s="8" t="inlineStr">
        <is>
          <t>M26008</t>
        </is>
      </c>
      <c r="C523" s="168">
        <f>VLOOKUP(LEFT(B523,1),Tabela5[],2,0)</f>
        <v/>
      </c>
      <c r="D523" s="57" t="inlineStr">
        <is>
          <t>MDF - 15MM</t>
        </is>
      </c>
      <c r="E523" s="169">
        <f>VLOOKUP(Tabela10[[#This Row],[Tipo de Chapa]],Tabela11[],2,FALSE)</f>
        <v/>
      </c>
      <c r="F523" s="151" t="n">
        <v>137</v>
      </c>
      <c r="G523" s="152" t="n">
        <v>0.0645</v>
      </c>
      <c r="H523" s="170">
        <f>Tabela10[[#This Row],[M² Da chapa]]*Tabela10[[#This Row],[Qtde Chapas
Liberadas]]</f>
        <v/>
      </c>
      <c r="I523" s="170" t="n">
        <v>806.5213</v>
      </c>
      <c r="J523" s="59">
        <f>Tabela10[[#This Row],[ERP]]/Tabela10[[#This Row],[M² Da chapa]]</f>
        <v/>
      </c>
      <c r="K523" s="170">
        <f>Tabela10[[#This Row],[M² CHAPAS]]-Tabela10[[#This Row],[ERP]]</f>
        <v/>
      </c>
      <c r="L523" s="170">
        <f>Tabela10[[#This Row],[DIFERENÇA M²]]/Tabela10[[#This Row],[M² Da chapa]]</f>
        <v/>
      </c>
    </row>
    <row r="524" hidden="1">
      <c r="A524" s="6" t="n">
        <v>46079</v>
      </c>
      <c r="B524" s="8" t="inlineStr">
        <is>
          <t>I26006</t>
        </is>
      </c>
      <c r="C524" s="168">
        <f>VLOOKUP(LEFT(B524,1),Tabela5[],2,0)</f>
        <v/>
      </c>
      <c r="D524" s="57" t="inlineStr">
        <is>
          <t>MDF - 15MM</t>
        </is>
      </c>
      <c r="E524" s="169">
        <f>VLOOKUP(Tabela10[[#This Row],[Tipo de Chapa]],Tabela11[],2,FALSE)</f>
        <v/>
      </c>
      <c r="F524" s="151" t="n">
        <v>1416</v>
      </c>
      <c r="G524" s="152" t="n">
        <v>0.0587</v>
      </c>
      <c r="H524" s="170">
        <f>Tabela10[[#This Row],[M² Da chapa]]*Tabela10[[#This Row],[Qtde Chapas
Liberadas]]</f>
        <v/>
      </c>
      <c r="I524" s="170" t="n">
        <v>8435.9766</v>
      </c>
      <c r="J524" s="59">
        <f>Tabela10[[#This Row],[ERP]]/Tabela10[[#This Row],[M² Da chapa]]</f>
        <v/>
      </c>
      <c r="K524" s="170">
        <f>Tabela10[[#This Row],[M² CHAPAS]]-Tabela10[[#This Row],[ERP]]</f>
        <v/>
      </c>
      <c r="L524" s="170">
        <f>Tabela10[[#This Row],[DIFERENÇA M²]]/Tabela10[[#This Row],[M² Da chapa]]</f>
        <v/>
      </c>
    </row>
    <row r="525" hidden="1">
      <c r="A525" s="6" t="n">
        <v>46079</v>
      </c>
      <c r="B525" s="8" t="inlineStr">
        <is>
          <t>I26007</t>
        </is>
      </c>
      <c r="C525" s="168">
        <f>VLOOKUP(LEFT(B525,1),Tabela5[],2,0)</f>
        <v/>
      </c>
      <c r="D525" s="57" t="inlineStr">
        <is>
          <t>MDF - 15MM</t>
        </is>
      </c>
      <c r="E525" s="169">
        <f>VLOOKUP(Tabela10[[#This Row],[Tipo de Chapa]],Tabela11[],2,FALSE)</f>
        <v/>
      </c>
      <c r="F525" s="151" t="n">
        <v>1118</v>
      </c>
      <c r="G525" s="152" t="n">
        <v>0.064</v>
      </c>
      <c r="H525" s="170">
        <f>Tabela10[[#This Row],[M² Da chapa]]*Tabela10[[#This Row],[Qtde Chapas
Liberadas]]</f>
        <v/>
      </c>
      <c r="I525" s="170" t="n">
        <v>6825.9484</v>
      </c>
      <c r="J525" s="59">
        <f>Tabela10[[#This Row],[ERP]]/Tabela10[[#This Row],[M² Da chapa]]</f>
        <v/>
      </c>
      <c r="K525" s="170">
        <f>Tabela10[[#This Row],[M² CHAPAS]]-Tabela10[[#This Row],[ERP]]</f>
        <v/>
      </c>
      <c r="L525" s="170">
        <f>Tabela10[[#This Row],[DIFERENÇA M²]]/Tabela10[[#This Row],[M² Da chapa]]</f>
        <v/>
      </c>
    </row>
    <row r="526" hidden="1">
      <c r="A526" s="6" t="n">
        <v>46079</v>
      </c>
      <c r="B526" s="8" t="inlineStr">
        <is>
          <t>M26010</t>
        </is>
      </c>
      <c r="C526" s="168">
        <f>VLOOKUP(LEFT(B526,1),Tabela5[],2,0)</f>
        <v/>
      </c>
      <c r="D526" s="57" t="inlineStr">
        <is>
          <t>MDF - 15MM</t>
        </is>
      </c>
      <c r="E526" s="169">
        <f>VLOOKUP(Tabela10[[#This Row],[Tipo de Chapa]],Tabela11[],2,FALSE)</f>
        <v/>
      </c>
      <c r="F526" s="151" t="n">
        <v>1831</v>
      </c>
      <c r="G526" s="152" t="n">
        <v>0.0669</v>
      </c>
      <c r="H526" s="170">
        <f>Tabela10[[#This Row],[M² Da chapa]]*Tabela10[[#This Row],[Qtde Chapas
Liberadas]]</f>
        <v/>
      </c>
      <c r="I526" s="170" t="n">
        <v>11412.051</v>
      </c>
      <c r="J526" s="59">
        <f>Tabela10[[#This Row],[ERP]]/Tabela10[[#This Row],[M² Da chapa]]</f>
        <v/>
      </c>
      <c r="K526" s="170">
        <f>Tabela10[[#This Row],[M² CHAPAS]]-Tabela10[[#This Row],[ERP]]</f>
        <v/>
      </c>
      <c r="L526" s="170">
        <f>Tabela10[[#This Row],[DIFERENÇA M²]]/Tabela10[[#This Row],[M² Da chapa]]</f>
        <v/>
      </c>
    </row>
    <row r="527" hidden="1" ht="57.6" customHeight="1">
      <c r="A527" s="6" t="n">
        <v>46079</v>
      </c>
      <c r="B527" s="8" t="inlineStr">
        <is>
          <t>V2603701 | V2603801 | V2603901 | V2604001 | V2604101 | V2604201 | V2604501 | V2604601 | V2604701 | V2604801 | V2604901 | V2605001 | V2605101 (TAMPO 160)</t>
        </is>
      </c>
      <c r="C527" s="168">
        <f>VLOOKUP(LEFT(B527,1),Tabela5[],2,0)</f>
        <v/>
      </c>
      <c r="D527" s="57" t="inlineStr">
        <is>
          <t>MDF - 25MM 2750x2100</t>
        </is>
      </c>
      <c r="E527" s="169">
        <f>VLOOKUP(Tabela10[[#This Row],[Tipo de Chapa]],Tabela11[],2,FALSE)</f>
        <v/>
      </c>
      <c r="F527" s="151" t="n">
        <v>425</v>
      </c>
      <c r="G527" s="152" t="n">
        <v>0.0351</v>
      </c>
      <c r="H527" s="170">
        <f>Tabela10[[#This Row],[M² Da chapa]]*Tabela10[[#This Row],[Qtde Chapas
Liberadas]]</f>
        <v/>
      </c>
      <c r="I527" s="170">
        <f>1870.6646+141.956</f>
        <v/>
      </c>
      <c r="J527" s="59">
        <f>Tabela10[[#This Row],[ERP]]/Tabela10[[#This Row],[M² Da chapa]]</f>
        <v/>
      </c>
      <c r="K527" s="170">
        <f>Tabela10[[#This Row],[M² CHAPAS]]-Tabela10[[#This Row],[ERP]]</f>
        <v/>
      </c>
      <c r="L527" s="170">
        <f>Tabela10[[#This Row],[DIFERENÇA M²]]/Tabela10[[#This Row],[M² Da chapa]]</f>
        <v/>
      </c>
    </row>
    <row r="528" hidden="1">
      <c r="A528" s="6" t="n">
        <v>46080</v>
      </c>
      <c r="B528" s="8" t="inlineStr">
        <is>
          <t>M26010</t>
        </is>
      </c>
      <c r="C528" s="168">
        <f>VLOOKUP(LEFT(B528,1),Tabela5[],2,0)</f>
        <v/>
      </c>
      <c r="D528" s="57" t="inlineStr">
        <is>
          <t>EUCADUR FRJ - 2,5MM</t>
        </is>
      </c>
      <c r="E528" s="169">
        <f>VLOOKUP(Tabela10[[#This Row],[Tipo de Chapa]],Tabela11[],2,FALSE)</f>
        <v/>
      </c>
      <c r="F528" s="151" t="n">
        <v>596</v>
      </c>
      <c r="G528" s="152" t="n">
        <v>0.0609</v>
      </c>
      <c r="H528" s="170">
        <f>Tabela10[[#This Row],[M² Da chapa]]*Tabela10[[#This Row],[Qtde Chapas
Liberadas]]</f>
        <v/>
      </c>
      <c r="I528" s="170" t="n">
        <v>3526.9906</v>
      </c>
      <c r="J528" s="59">
        <f>Tabela10[[#This Row],[ERP]]/Tabela10[[#This Row],[M² Da chapa]]</f>
        <v/>
      </c>
      <c r="K528" s="170">
        <f>Tabela10[[#This Row],[M² CHAPAS]]-Tabela10[[#This Row],[ERP]]</f>
        <v/>
      </c>
      <c r="L528" s="170">
        <f>Tabela10[[#This Row],[DIFERENÇA M²]]/Tabela10[[#This Row],[M² Da chapa]]</f>
        <v/>
      </c>
    </row>
    <row r="529">
      <c r="A529" s="6" t="n">
        <v>46083</v>
      </c>
      <c r="B529" s="8" t="inlineStr">
        <is>
          <t>N26018</t>
        </is>
      </c>
      <c r="C529" s="168">
        <f>VLOOKUP(LEFT(B529,1),Tabela5[],2,0)</f>
        <v/>
      </c>
      <c r="D529" s="57" t="inlineStr">
        <is>
          <t>MDF - 15MM</t>
        </is>
      </c>
      <c r="E529" s="169">
        <f>VLOOKUP(Tabela10[[#This Row],[Tipo de Chapa]],Tabela11[],2,FALSE)</f>
        <v/>
      </c>
      <c r="F529" s="151" t="n">
        <v>1187</v>
      </c>
      <c r="G529" s="152" t="n">
        <v>0.0541</v>
      </c>
      <c r="H529" s="170">
        <f>Tabela10[[#This Row],[M² Da chapa]]*Tabela10[[#This Row],[Qtde Chapas
Liberadas]]</f>
        <v/>
      </c>
      <c r="I529" s="170" t="n">
        <v>9976.5987</v>
      </c>
      <c r="J529" s="59">
        <f>Tabela10[[#This Row],[ERP]]/Tabela10[[#This Row],[M² Da chapa]]</f>
        <v/>
      </c>
      <c r="K529" s="170">
        <f>Tabela10[[#This Row],[M² CHAPAS]]-Tabela10[[#This Row],[ERP]]</f>
        <v/>
      </c>
      <c r="L529" s="170">
        <f>Tabela10[[#This Row],[DIFERENÇA M²]]/Tabela10[[#This Row],[M² Da chapa]]</f>
        <v/>
      </c>
    </row>
    <row r="530">
      <c r="A530" s="6" t="n">
        <v>46083</v>
      </c>
      <c r="B530" s="8" t="inlineStr">
        <is>
          <t>N26018</t>
        </is>
      </c>
      <c r="C530" s="168">
        <f>VLOOKUP(LEFT(B530,1),Tabela5[],2,0)</f>
        <v/>
      </c>
      <c r="D530" s="57" t="inlineStr">
        <is>
          <t>SOBRAS MDF - PORTAS DE VIDRO</t>
        </is>
      </c>
      <c r="E530" s="169">
        <f>VLOOKUP(Tabela10[[#This Row],[Tipo de Chapa]],Tabela11[],2,FALSE)</f>
        <v/>
      </c>
      <c r="F530" s="151" t="inlineStr">
        <is>
          <t>-</t>
        </is>
      </c>
      <c r="G530" s="152" t="n">
        <v>0.154</v>
      </c>
      <c r="H530" s="170" t="n">
        <v>256.5401</v>
      </c>
      <c r="I530" s="170" t="inlineStr">
        <is>
          <t>-</t>
        </is>
      </c>
      <c r="J530" s="170" t="inlineStr">
        <is>
          <t>-</t>
        </is>
      </c>
      <c r="K530" s="170" t="inlineStr">
        <is>
          <t>-</t>
        </is>
      </c>
      <c r="L530" s="170" t="inlineStr">
        <is>
          <t>-</t>
        </is>
      </c>
    </row>
    <row r="531" hidden="1" ht="43.2" customHeight="1">
      <c r="A531" s="6" t="n">
        <v>46084</v>
      </c>
      <c r="B531" s="8" t="inlineStr">
        <is>
          <t>V2603401 | V2603501 | V2603601 | V2604301 | V2604401 | V2605201
(TAMPO 120)</t>
        </is>
      </c>
      <c r="C531" s="168">
        <f>VLOOKUP(LEFT(B531,1),Tabela5[],2,0)</f>
        <v/>
      </c>
      <c r="D531" s="57" t="inlineStr">
        <is>
          <t>MDF - 25MM 2750x2200</t>
        </is>
      </c>
      <c r="E531" s="169">
        <f>VLOOKUP(Tabela10[[#This Row],[Tipo de Chapa]],Tabela11[],2,FALSE)</f>
        <v/>
      </c>
      <c r="F531" s="151" t="n">
        <v>265</v>
      </c>
      <c r="G531" s="152" t="n">
        <v>0.0533</v>
      </c>
      <c r="H531" s="170">
        <f>Tabela10[[#This Row],[M² Da chapa]]*Tabela10[[#This Row],[Qtde Chapas
Liberadas]]</f>
        <v/>
      </c>
      <c r="I531" s="170" t="n">
        <v>982.5596</v>
      </c>
      <c r="J531" s="59">
        <f>Tabela10[[#This Row],[ERP]]/Tabela10[[#This Row],[M² Da chapa]]</f>
        <v/>
      </c>
      <c r="K531" s="170">
        <f>Tabela10[[#This Row],[M² CHAPAS]]-Tabela10[[#This Row],[ERP]]</f>
        <v/>
      </c>
      <c r="L531" s="170">
        <f>Tabela10[[#This Row],[DIFERENÇA M²]]/Tabela10[[#This Row],[M² Da chapa]]</f>
        <v/>
      </c>
    </row>
    <row r="532" hidden="1">
      <c r="A532" s="6" t="n">
        <v>46084</v>
      </c>
      <c r="B532" s="8" t="inlineStr">
        <is>
          <t>M26009</t>
        </is>
      </c>
      <c r="C532" s="168">
        <f>VLOOKUP(LEFT(B532,1),Tabela5[],2,0)</f>
        <v/>
      </c>
      <c r="D532" s="57" t="inlineStr">
        <is>
          <t>MDF - 9MM</t>
        </is>
      </c>
      <c r="E532" s="169">
        <f>VLOOKUP(Tabela10[[#This Row],[Tipo de Chapa]],Tabela11[],2,FALSE)</f>
        <v/>
      </c>
      <c r="F532" s="151" t="n">
        <v>54</v>
      </c>
      <c r="G532" s="152" t="n">
        <v>0.0377</v>
      </c>
      <c r="H532" s="170">
        <f>Tabela10[[#This Row],[M² Da chapa]]*Tabela10[[#This Row],[Qtde Chapas
Liberadas]]</f>
        <v/>
      </c>
      <c r="I532" s="170" t="n">
        <v>509.6302</v>
      </c>
      <c r="J532" s="59">
        <f>Tabela10[[#This Row],[ERP]]/Tabela10[[#This Row],[M² Da chapa]]</f>
        <v/>
      </c>
      <c r="K532" s="170">
        <f>Tabela10[[#This Row],[M² CHAPAS]]-Tabela10[[#This Row],[ERP]]</f>
        <v/>
      </c>
      <c r="L532" s="170">
        <f>Tabela10[[#This Row],[DIFERENÇA M²]]/Tabela10[[#This Row],[M² Da chapa]]</f>
        <v/>
      </c>
    </row>
    <row r="533" hidden="1">
      <c r="A533" s="6" t="n">
        <v>46084</v>
      </c>
      <c r="B533" s="8" t="inlineStr">
        <is>
          <t>M26012</t>
        </is>
      </c>
      <c r="C533" s="168">
        <f>VLOOKUP(LEFT(B533,1),Tabela5[],2,0)</f>
        <v/>
      </c>
      <c r="D533" s="57" t="inlineStr">
        <is>
          <t>MDF - 9MM</t>
        </is>
      </c>
      <c r="E533" s="169">
        <f>VLOOKUP(Tabela10[[#This Row],[Tipo de Chapa]],Tabela11[],2,FALSE)</f>
        <v/>
      </c>
      <c r="F533" s="151" t="n">
        <v>131</v>
      </c>
      <c r="G533" s="152" t="n">
        <v>0.0382</v>
      </c>
      <c r="H533" s="170">
        <f>Tabela10[[#This Row],[M² Da chapa]]*Tabela10[[#This Row],[Qtde Chapas
Liberadas]]</f>
        <v/>
      </c>
      <c r="I533" s="170" t="n">
        <v>654.7637999999999</v>
      </c>
      <c r="J533" s="59">
        <f>Tabela10[[#This Row],[ERP]]/Tabela10[[#This Row],[M² Da chapa]]</f>
        <v/>
      </c>
      <c r="K533" s="170">
        <f>Tabela10[[#This Row],[M² CHAPAS]]-Tabela10[[#This Row],[ERP]]</f>
        <v/>
      </c>
      <c r="L533" s="170">
        <f>Tabela10[[#This Row],[DIFERENÇA M²]]/Tabela10[[#This Row],[M² Da chapa]]</f>
        <v/>
      </c>
    </row>
    <row r="534" hidden="1">
      <c r="A534" s="6" t="n">
        <v>46084</v>
      </c>
      <c r="B534" s="8" t="inlineStr">
        <is>
          <t>M26013</t>
        </is>
      </c>
      <c r="C534" s="168">
        <f>VLOOKUP(LEFT(B534,1),Tabela5[],2,0)</f>
        <v/>
      </c>
      <c r="D534" s="57" t="inlineStr">
        <is>
          <t>MDF - 9MM</t>
        </is>
      </c>
      <c r="E534" s="169">
        <f>VLOOKUP(Tabela10[[#This Row],[Tipo de Chapa]],Tabela11[],2,FALSE)</f>
        <v/>
      </c>
      <c r="F534" s="151" t="n">
        <v>75</v>
      </c>
      <c r="G534" s="152" t="n">
        <v>0.0318</v>
      </c>
      <c r="H534" s="170">
        <f>Tabela10[[#This Row],[M² Da chapa]]*Tabela10[[#This Row],[Qtde Chapas
Liberadas]]</f>
        <v/>
      </c>
      <c r="I534" s="170" t="n">
        <v>381.541</v>
      </c>
      <c r="J534" s="59">
        <f>Tabela10[[#This Row],[ERP]]/Tabela10[[#This Row],[M² Da chapa]]</f>
        <v/>
      </c>
      <c r="K534" s="170">
        <f>Tabela10[[#This Row],[M² CHAPAS]]-Tabela10[[#This Row],[ERP]]</f>
        <v/>
      </c>
      <c r="L534" s="170">
        <f>Tabela10[[#This Row],[DIFERENÇA M²]]/Tabela10[[#This Row],[M² Da chapa]]</f>
        <v/>
      </c>
    </row>
    <row r="535" hidden="1">
      <c r="A535" s="6" t="n">
        <v>46084</v>
      </c>
      <c r="B535" s="8" t="inlineStr">
        <is>
          <t>M26014</t>
        </is>
      </c>
      <c r="C535" s="168">
        <f>VLOOKUP(LEFT(B535,1),Tabela5[],2,0)</f>
        <v/>
      </c>
      <c r="D535" s="57" t="inlineStr">
        <is>
          <t>MDF - 9MM</t>
        </is>
      </c>
      <c r="E535" s="169">
        <f>VLOOKUP(Tabela10[[#This Row],[Tipo de Chapa]],Tabela11[],2,FALSE)</f>
        <v/>
      </c>
      <c r="F535" s="151" t="n">
        <v>50</v>
      </c>
      <c r="G535" s="152" t="n">
        <v>0.0542</v>
      </c>
      <c r="H535" s="170">
        <f>Tabela10[[#This Row],[M² Da chapa]]*Tabela10[[#This Row],[Qtde Chapas
Liberadas]]</f>
        <v/>
      </c>
      <c r="I535" s="170" t="n">
        <v>254.3775</v>
      </c>
      <c r="J535" s="59">
        <f>Tabela10[[#This Row],[ERP]]/Tabela10[[#This Row],[M² Da chapa]]</f>
        <v/>
      </c>
      <c r="K535" s="170">
        <f>Tabela10[[#This Row],[M² CHAPAS]]-Tabela10[[#This Row],[ERP]]</f>
        <v/>
      </c>
      <c r="L535" s="170">
        <f>Tabela10[[#This Row],[DIFERENÇA M²]]/Tabela10[[#This Row],[M² Da chapa]]</f>
        <v/>
      </c>
    </row>
    <row r="536">
      <c r="A536" s="6" t="n">
        <v>46084</v>
      </c>
      <c r="B536" s="8" t="inlineStr">
        <is>
          <t>N2601903</t>
        </is>
      </c>
      <c r="C536" s="168">
        <f>VLOOKUP(LEFT(B536,1),Tabela5[],2,0)</f>
        <v/>
      </c>
      <c r="D536" s="57" t="inlineStr">
        <is>
          <t>MDF - 9MM</t>
        </is>
      </c>
      <c r="E536" s="169">
        <f>VLOOKUP(Tabela10[[#This Row],[Tipo de Chapa]],Tabela11[],2,FALSE)</f>
        <v/>
      </c>
      <c r="F536" s="151" t="n">
        <v>23</v>
      </c>
      <c r="G536" s="152" t="n">
        <v>0.0649</v>
      </c>
      <c r="H536" s="170">
        <f>Tabela10[[#This Row],[M² Da chapa]]*Tabela10[[#This Row],[Qtde Chapas
Liberadas]]</f>
        <v/>
      </c>
      <c r="I536" s="170" t="inlineStr">
        <is>
          <t>-</t>
        </is>
      </c>
      <c r="J536" s="170" t="inlineStr">
        <is>
          <t>-</t>
        </is>
      </c>
      <c r="K536" s="170" t="inlineStr">
        <is>
          <t>-</t>
        </is>
      </c>
      <c r="L536" s="170" t="inlineStr">
        <is>
          <t>-</t>
        </is>
      </c>
    </row>
    <row r="537" hidden="1" ht="72" customHeight="1">
      <c r="A537" s="6" t="n">
        <v>46084</v>
      </c>
      <c r="B537" s="8" t="inlineStr">
        <is>
          <t>V2603703 | V2603803 | V2603903 | V2604003 | V2604103 | V2604203 | V2604503 | V2604603 | V2604703 | V2604803 | V2604903 | V2605003 | V2605103
 (ASSENTO RAINHA)</t>
        </is>
      </c>
      <c r="C537" s="168">
        <f>VLOOKUP(LEFT(B537,1),Tabela5[],2,0)</f>
        <v/>
      </c>
      <c r="D537" s="57" t="inlineStr">
        <is>
          <t>CAPA MDF - 15MM</t>
        </is>
      </c>
      <c r="E537" s="169">
        <f>VLOOKUP(Tabela10[[#This Row],[Tipo de Chapa]],Tabela11[],2,FALSE)</f>
        <v/>
      </c>
      <c r="F537" s="151" t="n">
        <v>246</v>
      </c>
      <c r="G537" s="152" t="n">
        <v>0.1067</v>
      </c>
      <c r="H537" s="170">
        <f>Tabela10[[#This Row],[M² Da chapa]]*Tabela10[[#This Row],[Qtde Chapas
Liberadas]]</f>
        <v/>
      </c>
      <c r="I537" s="170">
        <f>1364.575+120.9968</f>
        <v/>
      </c>
      <c r="J537" s="59">
        <f>Tabela10[[#This Row],[ERP]]/Tabela10[[#This Row],[M² Da chapa]]</f>
        <v/>
      </c>
      <c r="K537" s="170">
        <f>Tabela10[[#This Row],[M² CHAPAS]]-Tabela10[[#This Row],[ERP]]</f>
        <v/>
      </c>
      <c r="L537" s="170">
        <f>Tabela10[[#This Row],[DIFERENÇA M²]]/Tabela10[[#This Row],[M² Da chapa]]</f>
        <v/>
      </c>
    </row>
    <row r="538">
      <c r="A538" s="6" t="n">
        <v>46085</v>
      </c>
      <c r="B538" s="8" t="inlineStr">
        <is>
          <t>N2601901 | N2601902 | N2601905 | N2601907</t>
        </is>
      </c>
      <c r="C538" s="168">
        <f>VLOOKUP(LEFT(B538,1),Tabela5[],2,0)</f>
        <v/>
      </c>
      <c r="D538" s="57" t="inlineStr">
        <is>
          <t>EUCADUR NT - 2,5MM</t>
        </is>
      </c>
      <c r="E538" s="169">
        <f>VLOOKUP(Tabela10[[#This Row],[Tipo de Chapa]],Tabela11[],2,FALSE)</f>
        <v/>
      </c>
      <c r="F538" s="151" t="n">
        <v>162</v>
      </c>
      <c r="G538" s="152" t="n">
        <v>0.0645</v>
      </c>
      <c r="H538" s="170">
        <f>Tabela10[[#This Row],[M² Da chapa]]*Tabela10[[#This Row],[Qtde Chapas
Liberadas]]</f>
        <v/>
      </c>
      <c r="I538" s="170" t="n">
        <v>1939.66</v>
      </c>
      <c r="J538" s="59">
        <f>Tabela10[[#This Row],[ERP]]/Tabela10[[#This Row],[M² Da chapa]]</f>
        <v/>
      </c>
      <c r="K538" s="170">
        <f>Tabela10[[#This Row],[M² CHAPAS]]-Tabela10[[#This Row],[ERP]]</f>
        <v/>
      </c>
      <c r="L538" s="170">
        <f>Tabela10[[#This Row],[DIFERENÇA M²]]/Tabela10[[#This Row],[M² Da chapa]]</f>
        <v/>
      </c>
    </row>
    <row r="539">
      <c r="A539" s="6" t="n">
        <v>46085</v>
      </c>
      <c r="B539" s="8" t="inlineStr">
        <is>
          <t>N2601906</t>
        </is>
      </c>
      <c r="C539" s="168">
        <f>VLOOKUP(LEFT(B539,1),Tabela5[],2,0)</f>
        <v/>
      </c>
      <c r="D539" s="57" t="inlineStr">
        <is>
          <t>EUCADUR BR - 2,5MM</t>
        </is>
      </c>
      <c r="E539" s="169">
        <f>VLOOKUP(Tabela10[[#This Row],[Tipo de Chapa]],Tabela11[],2,FALSE)</f>
        <v/>
      </c>
      <c r="F539" s="151" t="n">
        <v>69</v>
      </c>
      <c r="G539" s="152" t="n">
        <v>0.0638</v>
      </c>
      <c r="H539" s="170">
        <f>Tabela10[[#This Row],[M² Da chapa]]*Tabela10[[#This Row],[Qtde Chapas
Liberadas]]</f>
        <v/>
      </c>
      <c r="I539" s="170" t="n">
        <v>404.9374</v>
      </c>
      <c r="J539" s="59">
        <f>Tabela10[[#This Row],[ERP]]/Tabela10[[#This Row],[M² Da chapa]]</f>
        <v/>
      </c>
      <c r="K539" s="170">
        <f>Tabela10[[#This Row],[M² CHAPAS]]-Tabela10[[#This Row],[ERP]]</f>
        <v/>
      </c>
      <c r="L539" s="170">
        <f>Tabela10[[#This Row],[DIFERENÇA M²]]/Tabela10[[#This Row],[M² Da chapa]]</f>
        <v/>
      </c>
    </row>
    <row r="540">
      <c r="A540" s="6" t="n">
        <v>46085</v>
      </c>
      <c r="B540" s="8" t="inlineStr">
        <is>
          <t>N2601805 | N2601806 | N2601807 | N2601808</t>
        </is>
      </c>
      <c r="C540" s="168">
        <f>VLOOKUP(LEFT(B540,1),Tabela5[],2,0)</f>
        <v/>
      </c>
      <c r="D540" s="57" t="inlineStr">
        <is>
          <t>MDF - 25MM 2750x2100</t>
        </is>
      </c>
      <c r="E540" s="169">
        <f>VLOOKUP(Tabela10[[#This Row],[Tipo de Chapa]],Tabela11[],2,FALSE)</f>
        <v/>
      </c>
      <c r="F540" s="151" t="n">
        <v>118</v>
      </c>
      <c r="G540" s="152" t="n">
        <v>0.0603</v>
      </c>
      <c r="H540" s="170">
        <f>Tabela10[[#This Row],[M² Da chapa]]*Tabela10[[#This Row],[Qtde Chapas
Liberadas]]</f>
        <v/>
      </c>
      <c r="I540" s="170" t="inlineStr">
        <is>
          <t>-</t>
        </is>
      </c>
      <c r="J540" s="170" t="inlineStr">
        <is>
          <t>-</t>
        </is>
      </c>
      <c r="K540" s="170" t="inlineStr">
        <is>
          <t>-</t>
        </is>
      </c>
      <c r="L540" s="170" t="inlineStr">
        <is>
          <t>-</t>
        </is>
      </c>
    </row>
    <row r="541">
      <c r="A541" s="6" t="n">
        <v>46085</v>
      </c>
      <c r="B541" s="8" t="inlineStr">
        <is>
          <t>N2601805 | N2601806 | N2601807 | N2601808</t>
        </is>
      </c>
      <c r="C541" s="168">
        <f>VLOOKUP(LEFT(B541,1),Tabela5[],2,0)</f>
        <v/>
      </c>
      <c r="D541" s="57" t="inlineStr">
        <is>
          <t>MDF - 25MM 2750X450 - SOBRAS</t>
        </is>
      </c>
      <c r="E541" s="169">
        <f>VLOOKUP(Tabela10[[#This Row],[Tipo de Chapa]],Tabela11[],2,FALSE)</f>
        <v/>
      </c>
      <c r="F541" s="151" t="n">
        <v>24</v>
      </c>
      <c r="G541" s="152" t="n">
        <v>0.1236</v>
      </c>
      <c r="H541" s="170">
        <f>Tabela10[[#This Row],[M² Da chapa]]*Tabela10[[#This Row],[Qtde Chapas
Liberadas]]</f>
        <v/>
      </c>
      <c r="I541" s="170" t="inlineStr">
        <is>
          <t>-</t>
        </is>
      </c>
      <c r="J541" s="170" t="inlineStr">
        <is>
          <t>-</t>
        </is>
      </c>
      <c r="K541" s="170" t="inlineStr">
        <is>
          <t>-</t>
        </is>
      </c>
      <c r="L541" s="170" t="inlineStr">
        <is>
          <t>-</t>
        </is>
      </c>
    </row>
    <row r="542">
      <c r="A542" s="6" t="n">
        <v>46085</v>
      </c>
      <c r="B542" s="8" t="inlineStr">
        <is>
          <t>N2601802</t>
        </is>
      </c>
      <c r="C542" s="168">
        <f>VLOOKUP(LEFT(B542,1),Tabela5[],2,0)</f>
        <v/>
      </c>
      <c r="D542" s="57" t="inlineStr">
        <is>
          <t>MDF - 25MM 2750x2100</t>
        </is>
      </c>
      <c r="E542" s="169">
        <f>VLOOKUP(Tabela10[[#This Row],[Tipo de Chapa]],Tabela11[],2,FALSE)</f>
        <v/>
      </c>
      <c r="F542" s="151" t="n">
        <v>50</v>
      </c>
      <c r="G542" s="152" t="n">
        <v>0.0182</v>
      </c>
      <c r="H542" s="170">
        <f>Tabela10[[#This Row],[M² Da chapa]]*Tabela10[[#This Row],[Qtde Chapas
Liberadas]]</f>
        <v/>
      </c>
      <c r="I542" s="170" t="n">
        <v>288.1965</v>
      </c>
      <c r="J542" s="59">
        <f>Tabela10[[#This Row],[ERP]]/Tabela10[[#This Row],[M² Da chapa]]</f>
        <v/>
      </c>
      <c r="K542" s="170">
        <f>Tabela10[[#This Row],[M² CHAPAS]]-Tabela10[[#This Row],[ERP]]</f>
        <v/>
      </c>
      <c r="L542" s="170">
        <f>Tabela10[[#This Row],[DIFERENÇA M²]]/Tabela10[[#This Row],[M² Da chapa]]</f>
        <v/>
      </c>
    </row>
    <row r="543">
      <c r="A543" s="6" t="n">
        <v>46086</v>
      </c>
      <c r="B543" s="8" t="inlineStr">
        <is>
          <t>N2601902</t>
        </is>
      </c>
      <c r="C543" s="168">
        <f>VLOOKUP(LEFT(B543,1),Tabela5[],2,0)</f>
        <v/>
      </c>
      <c r="D543" s="57" t="inlineStr">
        <is>
          <t>MDF - 15MM</t>
        </is>
      </c>
      <c r="E543" s="169">
        <f>VLOOKUP(Tabela10[[#This Row],[Tipo de Chapa]],Tabela11[],2,FALSE)</f>
        <v/>
      </c>
      <c r="F543" s="151" t="n">
        <v>50</v>
      </c>
      <c r="G543" s="152" t="n">
        <v>0.061</v>
      </c>
      <c r="H543" s="170">
        <f>Tabela10[[#This Row],[M² Da chapa]]*Tabela10[[#This Row],[Qtde Chapas
Liberadas]]</f>
        <v/>
      </c>
      <c r="I543" s="170" t="inlineStr">
        <is>
          <t>-</t>
        </is>
      </c>
      <c r="J543" s="170" t="inlineStr">
        <is>
          <t>-</t>
        </is>
      </c>
      <c r="K543" s="170" t="inlineStr">
        <is>
          <t>-</t>
        </is>
      </c>
      <c r="L543" s="170" t="inlineStr">
        <is>
          <t>-</t>
        </is>
      </c>
    </row>
    <row r="544">
      <c r="A544" s="6" t="n">
        <v>46086</v>
      </c>
      <c r="B544" s="8" t="inlineStr">
        <is>
          <t>N2601703 | N2601705</t>
        </is>
      </c>
      <c r="C544" s="168">
        <f>VLOOKUP(LEFT(B544,1),Tabela5[],2,0)</f>
        <v/>
      </c>
      <c r="D544" s="57" t="inlineStr">
        <is>
          <t>TIRA 9MM - 1850X165X9</t>
        </is>
      </c>
      <c r="E544" s="169">
        <f>VLOOKUP(Tabela10[[#This Row],[Tipo de Chapa]],Tabela11[],2,FALSE)</f>
        <v/>
      </c>
      <c r="F544" s="151" t="n">
        <v>442</v>
      </c>
      <c r="G544" s="152" t="n">
        <v>0.0265</v>
      </c>
      <c r="H544" s="170">
        <f>Tabela10[[#This Row],[M² Da chapa]]*Tabela10[[#This Row],[Qtde Chapas
Liberadas]]</f>
        <v/>
      </c>
      <c r="I544" s="170" t="inlineStr">
        <is>
          <t>-</t>
        </is>
      </c>
      <c r="J544" s="170" t="inlineStr">
        <is>
          <t>-</t>
        </is>
      </c>
      <c r="K544" s="170" t="inlineStr">
        <is>
          <t>-</t>
        </is>
      </c>
      <c r="L544" s="170" t="inlineStr">
        <is>
          <t>-</t>
        </is>
      </c>
    </row>
    <row r="545" hidden="1">
      <c r="A545" s="6" t="n">
        <v>46086</v>
      </c>
      <c r="B545" s="8" t="inlineStr">
        <is>
          <t>I26008</t>
        </is>
      </c>
      <c r="C545" s="168">
        <f>VLOOKUP(LEFT(B545,1),Tabela5[],2,0)</f>
        <v/>
      </c>
      <c r="D545" s="57" t="inlineStr">
        <is>
          <t>MDF - 15MM</t>
        </is>
      </c>
      <c r="E545" s="169">
        <f>VLOOKUP(Tabela10[[#This Row],[Tipo de Chapa]],Tabela11[],2,FALSE)</f>
        <v/>
      </c>
      <c r="F545" s="151" t="n">
        <v>1021</v>
      </c>
      <c r="G545" s="152" t="n">
        <v>0.0633</v>
      </c>
      <c r="H545" s="170">
        <f>Tabela10[[#This Row],[M² Da chapa]]*Tabela10[[#This Row],[Qtde Chapas
Liberadas]]</f>
        <v/>
      </c>
      <c r="I545" s="170" t="n">
        <v>6106.9772</v>
      </c>
      <c r="J545" s="59">
        <f>Tabela10[[#This Row],[ERP]]/Tabela10[[#This Row],[M² Da chapa]]</f>
        <v/>
      </c>
      <c r="K545" s="170">
        <f>Tabela10[[#This Row],[M² CHAPAS]]-Tabela10[[#This Row],[ERP]]</f>
        <v/>
      </c>
      <c r="L545" s="170">
        <f>Tabela10[[#This Row],[DIFERENÇA M²]]/Tabela10[[#This Row],[M² Da chapa]]</f>
        <v/>
      </c>
    </row>
    <row r="546" hidden="1">
      <c r="A546" s="6" t="n">
        <v>46178</v>
      </c>
      <c r="B546" s="8" t="inlineStr">
        <is>
          <t>I26009</t>
        </is>
      </c>
      <c r="C546" s="168">
        <f>VLOOKUP(LEFT(B546,1),Tabela5[],2,0)</f>
        <v/>
      </c>
      <c r="D546" s="57" t="inlineStr">
        <is>
          <t>MDF - 15MM</t>
        </is>
      </c>
      <c r="E546" s="169">
        <f>VLOOKUP(Tabela10[[#This Row],[Tipo de Chapa]],Tabela11[],2,FALSE)</f>
        <v/>
      </c>
      <c r="F546" s="101" t="n">
        <v>1083</v>
      </c>
      <c r="G546" s="152" t="n">
        <v>0.0572</v>
      </c>
      <c r="H546" s="170">
        <f>Tabela10[[#This Row],[M² Da chapa]]*Tabela10[[#This Row],[Qtde Chapas
Liberadas]]</f>
        <v/>
      </c>
      <c r="I546" s="170" t="n">
        <v>6551.8428</v>
      </c>
      <c r="J546" s="59">
        <f>Tabela10[[#This Row],[ERP]]/Tabela10[[#This Row],[M² Da chapa]]</f>
        <v/>
      </c>
      <c r="K546" s="170">
        <f>Tabela10[[#This Row],[M² CHAPAS]]-Tabela10[[#This Row],[ERP]]</f>
        <v/>
      </c>
      <c r="L546" s="170">
        <f>Tabela10[[#This Row],[DIFERENÇA M²]]/Tabela10[[#This Row],[M² Da chapa]]</f>
        <v/>
      </c>
    </row>
    <row r="547" hidden="1">
      <c r="A547" s="6" t="n">
        <v>46086</v>
      </c>
      <c r="B547" s="8" t="inlineStr">
        <is>
          <t>I26008</t>
        </is>
      </c>
      <c r="C547" s="168">
        <f>VLOOKUP(LEFT(B547,1),Tabela5[],2,0)</f>
        <v/>
      </c>
      <c r="D547" s="57" t="inlineStr">
        <is>
          <t>EUCADUR NT - 2,5MM</t>
        </is>
      </c>
      <c r="E547" s="169">
        <f>VLOOKUP(Tabela10[[#This Row],[Tipo de Chapa]],Tabela11[],2,FALSE)</f>
        <v/>
      </c>
      <c r="F547" s="151" t="n">
        <v>312</v>
      </c>
      <c r="G547" s="152" t="n">
        <v>0.05</v>
      </c>
      <c r="H547" s="170">
        <f>Tabela10[[#This Row],[M² Da chapa]]*Tabela10[[#This Row],[Qtde Chapas
Liberadas]]</f>
        <v/>
      </c>
      <c r="I547" s="170" t="n">
        <v>1759.8889</v>
      </c>
      <c r="J547" s="59">
        <f>Tabela10[[#This Row],[ERP]]/Tabela10[[#This Row],[M² Da chapa]]</f>
        <v/>
      </c>
      <c r="K547" s="170">
        <f>Tabela10[[#This Row],[M² CHAPAS]]-Tabela10[[#This Row],[ERP]]</f>
        <v/>
      </c>
      <c r="L547" s="170">
        <f>Tabela10[[#This Row],[DIFERENÇA M²]]/Tabela10[[#This Row],[M² Da chapa]]</f>
        <v/>
      </c>
    </row>
    <row r="548" hidden="1">
      <c r="A548" s="6" t="n">
        <v>46086</v>
      </c>
      <c r="B548" s="8" t="inlineStr">
        <is>
          <t>I26009</t>
        </is>
      </c>
      <c r="C548" s="168">
        <f>VLOOKUP(LEFT(B548,1),Tabela5[],2,0)</f>
        <v/>
      </c>
      <c r="D548" s="57" t="inlineStr">
        <is>
          <t>EUCADUR FRJ - 2,5MM</t>
        </is>
      </c>
      <c r="E548" s="169">
        <f>VLOOKUP(Tabela10[[#This Row],[Tipo de Chapa]],Tabela11[],2,FALSE)</f>
        <v/>
      </c>
      <c r="F548" s="151" t="n">
        <v>343</v>
      </c>
      <c r="G548" s="152" t="n">
        <v>0.0494</v>
      </c>
      <c r="H548" s="170">
        <f>Tabela10[[#This Row],[M² Da chapa]]*Tabela10[[#This Row],[Qtde Chapas
Liberadas]]</f>
        <v/>
      </c>
      <c r="I548" s="170" t="n">
        <v>1962.2129</v>
      </c>
      <c r="J548" s="59">
        <f>Tabela10[[#This Row],[ERP]]/Tabela10[[#This Row],[M² Da chapa]]</f>
        <v/>
      </c>
      <c r="K548" s="170">
        <f>Tabela10[[#This Row],[M² CHAPAS]]-Tabela10[[#This Row],[ERP]]</f>
        <v/>
      </c>
      <c r="L548" s="170">
        <f>Tabela10[[#This Row],[DIFERENÇA M²]]/Tabela10[[#This Row],[M² Da chapa]]</f>
        <v/>
      </c>
    </row>
    <row r="549" hidden="1">
      <c r="A549" s="6" t="n">
        <v>46086</v>
      </c>
      <c r="B549" s="8" t="inlineStr">
        <is>
          <t>M26009</t>
        </is>
      </c>
      <c r="C549" s="168">
        <f>VLOOKUP(LEFT(B549,1),Tabela5[],2,0)</f>
        <v/>
      </c>
      <c r="D549" s="57" t="inlineStr">
        <is>
          <t>MDF - 15MM</t>
        </is>
      </c>
      <c r="E549" s="169">
        <f>VLOOKUP(Tabela10[[#This Row],[Tipo de Chapa]],Tabela11[],2,FALSE)</f>
        <v/>
      </c>
      <c r="F549" s="151" t="n">
        <v>312</v>
      </c>
      <c r="G549" s="152" t="n">
        <v>0.06759999999999999</v>
      </c>
      <c r="H549" s="170">
        <f>Tabela10[[#This Row],[M² Da chapa]]*Tabela10[[#This Row],[Qtde Chapas
Liberadas]]</f>
        <v/>
      </c>
      <c r="I549" s="170" t="n">
        <v>1763.1385</v>
      </c>
      <c r="J549" s="59">
        <f>Tabela10[[#This Row],[ERP]]/Tabela10[[#This Row],[M² Da chapa]]</f>
        <v/>
      </c>
      <c r="K549" s="170">
        <f>Tabela10[[#This Row],[M² CHAPAS]]-Tabela10[[#This Row],[ERP]]</f>
        <v/>
      </c>
      <c r="L549" s="170">
        <f>Tabela10[[#This Row],[DIFERENÇA M²]]/Tabela10[[#This Row],[M² Da chapa]]</f>
        <v/>
      </c>
    </row>
    <row r="550" hidden="1">
      <c r="A550" s="6" t="n">
        <v>46086</v>
      </c>
      <c r="B550" s="8" t="inlineStr">
        <is>
          <t>M26009</t>
        </is>
      </c>
      <c r="C550" s="168">
        <f>VLOOKUP(LEFT(B550,1),Tabela5[],2,0)</f>
        <v/>
      </c>
      <c r="D550" s="57" t="inlineStr">
        <is>
          <t>EUCADUR FRJ - 2,5MM</t>
        </is>
      </c>
      <c r="E550" s="169">
        <f>VLOOKUP(Tabela10[[#This Row],[Tipo de Chapa]],Tabela11[],2,FALSE)</f>
        <v/>
      </c>
      <c r="F550" s="151" t="n">
        <v>60</v>
      </c>
      <c r="G550" s="152" t="n">
        <v>0.0382</v>
      </c>
      <c r="H550" s="170">
        <f>Tabela10[[#This Row],[M² Da chapa]]*Tabela10[[#This Row],[Qtde Chapas
Liberadas]]</f>
        <v/>
      </c>
      <c r="I550" s="170" t="n">
        <v>279.8613</v>
      </c>
      <c r="J550" s="59">
        <f>Tabela10[[#This Row],[ERP]]/Tabela10[[#This Row],[M² Da chapa]]</f>
        <v/>
      </c>
      <c r="K550" s="170">
        <f>Tabela10[[#This Row],[M² CHAPAS]]-Tabela10[[#This Row],[ERP]]</f>
        <v/>
      </c>
      <c r="L550" s="170">
        <f>Tabela10[[#This Row],[DIFERENÇA M²]]/Tabela10[[#This Row],[M² Da chapa]]</f>
        <v/>
      </c>
    </row>
    <row r="551" hidden="1">
      <c r="A551" s="6" t="n">
        <v>46086</v>
      </c>
      <c r="B551" s="8" t="inlineStr">
        <is>
          <t>M26009</t>
        </is>
      </c>
      <c r="C551" s="168">
        <f>VLOOKUP(LEFT(B551,1),Tabela5[],2,0)</f>
        <v/>
      </c>
      <c r="D551" s="57" t="inlineStr">
        <is>
          <t>EUCADUR NT - 2,5MM</t>
        </is>
      </c>
      <c r="E551" s="169">
        <f>VLOOKUP(Tabela10[[#This Row],[Tipo de Chapa]],Tabela11[],2,FALSE)</f>
        <v/>
      </c>
      <c r="F551" s="151" t="n">
        <v>105</v>
      </c>
      <c r="G551" s="152" t="n">
        <v>0.0462</v>
      </c>
      <c r="H551" s="170">
        <f>Tabela10[[#This Row],[M² Da chapa]]*Tabela10[[#This Row],[Qtde Chapas
Liberadas]]</f>
        <v/>
      </c>
      <c r="I551" s="170" t="n">
        <v>501.4791</v>
      </c>
      <c r="J551" s="59">
        <f>Tabela10[[#This Row],[ERP]]/Tabela10[[#This Row],[M² Da chapa]]</f>
        <v/>
      </c>
      <c r="K551" s="170">
        <f>Tabela10[[#This Row],[M² CHAPAS]]-Tabela10[[#This Row],[ERP]]</f>
        <v/>
      </c>
      <c r="L551" s="170">
        <f>Tabela10[[#This Row],[DIFERENÇA M²]]/Tabela10[[#This Row],[M² Da chapa]]</f>
        <v/>
      </c>
    </row>
    <row r="552" hidden="1" ht="28.8" customHeight="1">
      <c r="A552" s="6" t="n">
        <v>46087</v>
      </c>
      <c r="B552" s="8" t="inlineStr">
        <is>
          <t>V2603403 | V2603503 | V2604303 | V2604403 | V2605203 (ASSENTO LADY)</t>
        </is>
      </c>
      <c r="C552" s="168">
        <f>VLOOKUP(LEFT(B552,1),Tabela5[],2,0)</f>
        <v/>
      </c>
      <c r="D552" s="57" t="inlineStr">
        <is>
          <t>CAPA MDF - 15MM</t>
        </is>
      </c>
      <c r="E552" s="169">
        <f>VLOOKUP(Tabela10[[#This Row],[Tipo de Chapa]],Tabela11[],2,FALSE)</f>
        <v/>
      </c>
      <c r="F552" s="151" t="n">
        <v>76</v>
      </c>
      <c r="G552" s="152" t="n">
        <v>0.0902</v>
      </c>
      <c r="H552" s="170">
        <f>Tabela10[[#This Row],[M² Da chapa]]*Tabela10[[#This Row],[Qtde Chapas
Liberadas]]</f>
        <v/>
      </c>
      <c r="I552" s="170" t="n">
        <v>455.577</v>
      </c>
      <c r="J552" s="59">
        <f>Tabela10[[#This Row],[ERP]]/Tabela10[[#This Row],[M² Da chapa]]</f>
        <v/>
      </c>
      <c r="K552" s="170">
        <f>Tabela10[[#This Row],[M² CHAPAS]]-Tabela10[[#This Row],[ERP]]</f>
        <v/>
      </c>
      <c r="L552" s="170">
        <f>Tabela10[[#This Row],[DIFERENÇA M²]]/Tabela10[[#This Row],[M² Da chapa]]</f>
        <v/>
      </c>
    </row>
    <row r="553" hidden="1" ht="28.8" customHeight="1">
      <c r="A553" s="6" t="n">
        <v>46087</v>
      </c>
      <c r="B553" s="8" t="inlineStr">
        <is>
          <t>V2603403 | V2603503 | V2604303 | V2604403 | V2605203 (ENCOSTO LADY)</t>
        </is>
      </c>
      <c r="C553" s="168">
        <f>VLOOKUP(LEFT(B553,1),Tabela5[],2,0)</f>
        <v/>
      </c>
      <c r="D553" s="57" t="inlineStr">
        <is>
          <t>CAPA DURATREE -2,5MM</t>
        </is>
      </c>
      <c r="E553" s="169">
        <f>VLOOKUP(Tabela10[[#This Row],[Tipo de Chapa]],Tabela11[],2,FALSE)</f>
        <v/>
      </c>
      <c r="F553" s="151" t="n">
        <v>168</v>
      </c>
      <c r="G553" s="152" t="n">
        <v>0.08699999999999999</v>
      </c>
      <c r="H553" s="170">
        <f>Tabela10[[#This Row],[M² Da chapa]]*Tabela10[[#This Row],[Qtde Chapas
Liberadas]]</f>
        <v/>
      </c>
      <c r="I553" s="170" t="n">
        <v>980.6125</v>
      </c>
      <c r="J553" s="59">
        <f>Tabela10[[#This Row],[ERP]]/Tabela10[[#This Row],[M² Da chapa]]</f>
        <v/>
      </c>
      <c r="K553" s="170">
        <f>Tabela10[[#This Row],[M² CHAPAS]]-Tabela10[[#This Row],[ERP]]</f>
        <v/>
      </c>
      <c r="L553" s="170">
        <f>Tabela10[[#This Row],[DIFERENÇA M²]]/Tabela10[[#This Row],[M² Da chapa]]</f>
        <v/>
      </c>
    </row>
    <row r="554" hidden="1" ht="28.8" customHeight="1">
      <c r="A554" s="6" t="n">
        <v>46087</v>
      </c>
      <c r="B554" s="8" t="inlineStr">
        <is>
          <t>V2600102 | V2600202 | V2600602
 (APOIO DE TAMPO)</t>
        </is>
      </c>
      <c r="C554" s="168">
        <f>VLOOKUP(LEFT(B554,1),Tabela5[],2,0)</f>
        <v/>
      </c>
      <c r="D554" s="57" t="inlineStr">
        <is>
          <t>CAPA MDF - 15MM</t>
        </is>
      </c>
      <c r="E554" s="169">
        <f>VLOOKUP(Tabela10[[#This Row],[Tipo de Chapa]],Tabela11[],2,FALSE)</f>
        <v/>
      </c>
      <c r="F554" s="151" t="n">
        <v>12</v>
      </c>
      <c r="G554" s="152" t="n">
        <v>0.036</v>
      </c>
      <c r="H554" s="170">
        <f>Tabela10[[#This Row],[M² Da chapa]]*Tabela10[[#This Row],[Qtde Chapas
Liberadas]]</f>
        <v/>
      </c>
      <c r="I554" s="170" t="n">
        <v>68.06010000000001</v>
      </c>
      <c r="J554" s="59">
        <f>Tabela10[[#This Row],[ERP]]/Tabela10[[#This Row],[M² Da chapa]]</f>
        <v/>
      </c>
      <c r="K554" s="170">
        <f>Tabela10[[#This Row],[M² CHAPAS]]-Tabela10[[#This Row],[ERP]]</f>
        <v/>
      </c>
      <c r="L554" s="170">
        <f>Tabela10[[#This Row],[DIFERENÇA M²]]/Tabela10[[#This Row],[M² Da chapa]]</f>
        <v/>
      </c>
    </row>
    <row r="555" hidden="1" ht="43.2" customHeight="1">
      <c r="A555" s="6" t="n">
        <v>46087</v>
      </c>
      <c r="B555" s="8" t="inlineStr">
        <is>
          <t>V2603602 | V2603402 | V2603502 | V2604302 | V2604402 | V2605202
 (APOIO DE TAMPO)</t>
        </is>
      </c>
      <c r="C555" s="168">
        <f>VLOOKUP(LEFT(B555,1),Tabela5[],2,0)</f>
        <v/>
      </c>
      <c r="D555" s="57" t="inlineStr">
        <is>
          <t>CAPA MDF - 15MM</t>
        </is>
      </c>
      <c r="E555" s="169">
        <f>VLOOKUP(Tabela10[[#This Row],[Tipo de Chapa]],Tabela11[],2,FALSE)</f>
        <v/>
      </c>
      <c r="F555" s="151" t="n">
        <v>39</v>
      </c>
      <c r="G555" s="152" t="n">
        <v>0.036</v>
      </c>
      <c r="H555" s="170">
        <f>Tabela10[[#This Row],[M² Da chapa]]*Tabela10[[#This Row],[Qtde Chapas
Liberadas]]</f>
        <v/>
      </c>
      <c r="I555" s="170" t="n">
        <v>239.2692</v>
      </c>
      <c r="J555" s="59">
        <f>Tabela10[[#This Row],[ERP]]/Tabela10[[#This Row],[M² Da chapa]]</f>
        <v/>
      </c>
      <c r="K555" s="170">
        <f>Tabela10[[#This Row],[M² CHAPAS]]-Tabela10[[#This Row],[ERP]]</f>
        <v/>
      </c>
      <c r="L555" s="170">
        <f>Tabela10[[#This Row],[DIFERENÇA M²]]/Tabela10[[#This Row],[M² Da chapa]]</f>
        <v/>
      </c>
    </row>
    <row r="556" hidden="1" ht="43.2" customHeight="1">
      <c r="A556" s="6" t="n">
        <v>46090</v>
      </c>
      <c r="B556" s="8" t="inlineStr">
        <is>
          <t>V2516002 | V2521702 | V2521802 | V2521902 | V2522002 | V2522102 | V2522202 (APOIO DE TAMPO)</t>
        </is>
      </c>
      <c r="C556" s="168">
        <f>VLOOKUP(LEFT(B556,1),Tabela5[],2,0)</f>
        <v/>
      </c>
      <c r="D556" s="57" t="inlineStr">
        <is>
          <t>CAPA MDF - 15MM</t>
        </is>
      </c>
      <c r="E556" s="169">
        <f>VLOOKUP(Tabela10[[#This Row],[Tipo de Chapa]],Tabela11[],2,FALSE)</f>
        <v/>
      </c>
      <c r="F556" s="151" t="n">
        <v>16</v>
      </c>
      <c r="G556" s="152" t="n">
        <v>0.036</v>
      </c>
      <c r="H556" s="170">
        <f>Tabela10[[#This Row],[M² Da chapa]]*Tabela10[[#This Row],[Qtde Chapas
Liberadas]]</f>
        <v/>
      </c>
      <c r="J556" s="59">
        <f>Tabela10[[#This Row],[ERP]]/Tabela10[[#This Row],[M² Da chapa]]</f>
        <v/>
      </c>
      <c r="K556" s="170">
        <f>Tabela10[[#This Row],[M² CHAPAS]]-Tabela10[[#This Row],[ERP]]</f>
        <v/>
      </c>
      <c r="L556" s="170">
        <f>Tabela10[[#This Row],[DIFERENÇA M²]]/Tabela10[[#This Row],[M² Da chapa]]</f>
        <v/>
      </c>
    </row>
    <row r="557" hidden="1" ht="28.8" customHeight="1">
      <c r="A557" s="6" t="n">
        <v>46090</v>
      </c>
      <c r="B557" s="8" t="inlineStr">
        <is>
          <t>V2516102 | V2516502 | V2517002 (APOIO DE TAMPO)</t>
        </is>
      </c>
      <c r="C557" s="168">
        <f>VLOOKUP(LEFT(B557,1),Tabela5[],2,0)</f>
        <v/>
      </c>
      <c r="D557" s="57" t="inlineStr">
        <is>
          <t>CAPA MDF - 15MM</t>
        </is>
      </c>
      <c r="E557" s="169">
        <f>VLOOKUP(Tabela10[[#This Row],[Tipo de Chapa]],Tabela11[],2,FALSE)</f>
        <v/>
      </c>
      <c r="F557" s="151" t="n">
        <v>6</v>
      </c>
      <c r="G557" s="152" t="n">
        <v>0.036</v>
      </c>
      <c r="H557" s="170">
        <f>Tabela10[[#This Row],[M² Da chapa]]*Tabela10[[#This Row],[Qtde Chapas
Liberadas]]</f>
        <v/>
      </c>
      <c r="J557" s="59">
        <f>Tabela10[[#This Row],[ERP]]/Tabela10[[#This Row],[M² Da chapa]]</f>
        <v/>
      </c>
      <c r="K557" s="170">
        <f>Tabela10[[#This Row],[M² CHAPAS]]-Tabela10[[#This Row],[ERP]]</f>
        <v/>
      </c>
      <c r="L557" s="170">
        <f>Tabela10[[#This Row],[DIFERENÇA M²]]/Tabela10[[#This Row],[M² Da chapa]]</f>
        <v/>
      </c>
    </row>
    <row r="558" ht="28.8" customHeight="1">
      <c r="A558" s="6" t="n">
        <v>46090</v>
      </c>
      <c r="B558" s="8" t="inlineStr">
        <is>
          <t>N2601901 | N2601902 | N2601905 | N2601906 | N2601907</t>
        </is>
      </c>
      <c r="C558" s="168">
        <f>VLOOKUP(LEFT(B558,1),Tabela5[],2,0)</f>
        <v/>
      </c>
      <c r="D558" s="57" t="inlineStr">
        <is>
          <t>MDF - 15MM</t>
        </is>
      </c>
      <c r="E558" s="169">
        <f>VLOOKUP(Tabela10[[#This Row],[Tipo de Chapa]],Tabela11[],2,FALSE)</f>
        <v/>
      </c>
      <c r="F558" s="151" t="n">
        <v>1112</v>
      </c>
      <c r="G558" s="152" t="n">
        <v>0.0515</v>
      </c>
      <c r="H558" s="170">
        <f>Tabela10[[#This Row],[M² Da chapa]]*Tabela10[[#This Row],[Qtde Chapas
Liberadas]]</f>
        <v/>
      </c>
      <c r="I558" s="170" t="n">
        <v>7143.4925</v>
      </c>
      <c r="J558" s="59">
        <f>Tabela10[[#This Row],[ERP]]/Tabela10[[#This Row],[M² Da chapa]]</f>
        <v/>
      </c>
      <c r="K558" s="170">
        <f>Tabela10[[#This Row],[M² CHAPAS]]-Tabela10[[#This Row],[ERP]]</f>
        <v/>
      </c>
      <c r="L558" s="170">
        <f>Tabela10[[#This Row],[DIFERENÇA M²]]/Tabela10[[#This Row],[M² Da chapa]]</f>
        <v/>
      </c>
    </row>
    <row r="559" ht="28.8" customHeight="1">
      <c r="A559" s="6" t="n">
        <v>46090</v>
      </c>
      <c r="B559" s="8" t="inlineStr">
        <is>
          <t>N2601901 | N2601902 | N2601905 | N2601906 | N2601907</t>
        </is>
      </c>
      <c r="C559" s="168">
        <f>VLOOKUP(LEFT(B559,1),Tabela5[],2,0)</f>
        <v/>
      </c>
      <c r="D559" s="57" t="inlineStr">
        <is>
          <t>SOBRAS MDF - PORTAS DE VIDRO</t>
        </is>
      </c>
      <c r="E559" s="169">
        <f>VLOOKUP(Tabela10[[#This Row],[Tipo de Chapa]],Tabela11[],2,FALSE)</f>
        <v/>
      </c>
      <c r="F559" s="151" t="inlineStr">
        <is>
          <t>-</t>
        </is>
      </c>
      <c r="G559" s="152" t="n">
        <v>0.1879</v>
      </c>
      <c r="H559" s="170" t="n">
        <v>91.77</v>
      </c>
      <c r="I559" s="170" t="inlineStr">
        <is>
          <t>-</t>
        </is>
      </c>
      <c r="J559" s="170" t="inlineStr">
        <is>
          <t>-</t>
        </is>
      </c>
      <c r="K559" s="170" t="inlineStr">
        <is>
          <t>-</t>
        </is>
      </c>
      <c r="L559" s="170" t="inlineStr">
        <is>
          <t>-</t>
        </is>
      </c>
    </row>
    <row r="560">
      <c r="A560" s="6" t="n">
        <v>46091</v>
      </c>
      <c r="B560" s="170" t="inlineStr">
        <is>
          <t>N2602002 | N2602003 | N2602004 | N2602001</t>
        </is>
      </c>
      <c r="C560" s="168">
        <f>VLOOKUP(LEFT(B560,1),Tabela5[],2,0)</f>
        <v/>
      </c>
      <c r="D560" s="57" t="inlineStr">
        <is>
          <t>EUCADUR NT - 2,5MM</t>
        </is>
      </c>
      <c r="E560" s="169">
        <f>VLOOKUP(Tabela10[[#This Row],[Tipo de Chapa]],Tabela11[],2,FALSE)</f>
        <v/>
      </c>
      <c r="F560" s="151" t="n">
        <v>302</v>
      </c>
      <c r="G560" s="152" t="n">
        <v>0.0692</v>
      </c>
      <c r="H560" s="170">
        <f>Tabela10[[#This Row],[M² Da chapa]]*Tabela10[[#This Row],[Qtde Chapas
Liberadas]]</f>
        <v/>
      </c>
      <c r="I560" s="170" t="n">
        <v>1674.0935</v>
      </c>
      <c r="J560" s="59">
        <f>Tabela10[[#This Row],[ERP]]/Tabela10[[#This Row],[M² Da chapa]]</f>
        <v/>
      </c>
      <c r="K560" s="170">
        <f>Tabela10[[#This Row],[M² CHAPAS]]-Tabela10[[#This Row],[ERP]]</f>
        <v/>
      </c>
      <c r="L560" s="170">
        <f>Tabela10[[#This Row],[DIFERENÇA M²]]/Tabela10[[#This Row],[M² Da chapa]]</f>
        <v/>
      </c>
    </row>
    <row r="561">
      <c r="A561" s="6" t="n">
        <v>46091</v>
      </c>
      <c r="B561" s="8" t="inlineStr">
        <is>
          <t>N2602005 | N2602006</t>
        </is>
      </c>
      <c r="C561" s="168">
        <f>VLOOKUP(LEFT(B561,1),Tabela5[],2,0)</f>
        <v/>
      </c>
      <c r="D561" s="57" t="inlineStr">
        <is>
          <t>EUCADUR FRJ - 2,5MM</t>
        </is>
      </c>
      <c r="E561" s="169">
        <f>VLOOKUP(Tabela10[[#This Row],[Tipo de Chapa]],Tabela11[],2,FALSE)</f>
        <v/>
      </c>
      <c r="F561" s="151" t="n">
        <v>255</v>
      </c>
      <c r="G561" s="152" t="n">
        <v>0.0623</v>
      </c>
      <c r="H561" s="170">
        <f>Tabela10[[#This Row],[M² Da chapa]]*Tabela10[[#This Row],[Qtde Chapas
Liberadas]]</f>
        <v/>
      </c>
      <c r="I561" s="170" t="n">
        <v>1271.5176</v>
      </c>
      <c r="J561" s="59">
        <f>Tabela10[[#This Row],[ERP]]/Tabela10[[#This Row],[M² Da chapa]]</f>
        <v/>
      </c>
      <c r="K561" s="170">
        <f>Tabela10[[#This Row],[M² CHAPAS]]-Tabela10[[#This Row],[ERP]]</f>
        <v/>
      </c>
      <c r="L561" s="170">
        <f>Tabela10[[#This Row],[DIFERENÇA M²]]/Tabela10[[#This Row],[M² Da chapa]]</f>
        <v/>
      </c>
    </row>
    <row r="562" hidden="1">
      <c r="A562" s="6" t="n">
        <v>46091</v>
      </c>
      <c r="B562" s="8" t="inlineStr">
        <is>
          <t>I26010</t>
        </is>
      </c>
      <c r="C562" s="168">
        <f>VLOOKUP(LEFT(B562,1),Tabela5[],2,0)</f>
        <v/>
      </c>
      <c r="D562" s="57" t="inlineStr">
        <is>
          <t>MDF - 15MM</t>
        </is>
      </c>
      <c r="E562" s="169">
        <f>VLOOKUP(Tabela10[[#This Row],[Tipo de Chapa]],Tabela11[],2,FALSE)</f>
        <v/>
      </c>
      <c r="F562" s="151" t="n">
        <v>1157</v>
      </c>
      <c r="G562" s="152" t="n">
        <v>0.0654</v>
      </c>
      <c r="H562" s="170">
        <f>Tabela10[[#This Row],[M² Da chapa]]*Tabela10[[#This Row],[Qtde Chapas
Liberadas]]</f>
        <v/>
      </c>
      <c r="I562" s="170" t="n">
        <v>6994.1937</v>
      </c>
      <c r="J562" s="59">
        <f>Tabela10[[#This Row],[ERP]]/Tabela10[[#This Row],[M² Da chapa]]</f>
        <v/>
      </c>
      <c r="K562" s="170">
        <f>Tabela10[[#This Row],[M² CHAPAS]]-Tabela10[[#This Row],[ERP]]</f>
        <v/>
      </c>
      <c r="L562" s="170">
        <f>Tabela10[[#This Row],[DIFERENÇA M²]]/Tabela10[[#This Row],[M² Da chapa]]</f>
        <v/>
      </c>
    </row>
    <row r="563">
      <c r="A563" s="6" t="n">
        <v>46094</v>
      </c>
      <c r="B563" s="8" t="inlineStr">
        <is>
          <t>N2601908 | N2601909</t>
        </is>
      </c>
      <c r="C563" s="168">
        <f>VLOOKUP(LEFT(B563,1),Tabela5[],2,0)</f>
        <v/>
      </c>
      <c r="D563" s="57" t="inlineStr">
        <is>
          <t>MDF - 15MM</t>
        </is>
      </c>
      <c r="E563" s="169">
        <f>VLOOKUP(Tabela10[[#This Row],[Tipo de Chapa]],Tabela11[],2,FALSE)</f>
        <v/>
      </c>
      <c r="F563" s="151" t="n">
        <v>173</v>
      </c>
      <c r="G563" s="152" t="n">
        <v>0.0649</v>
      </c>
      <c r="H563" s="170">
        <f>Tabela10[[#This Row],[M² Da chapa]]*Tabela10[[#This Row],[Qtde Chapas
Liberadas]]</f>
        <v/>
      </c>
      <c r="I563" s="170" t="n">
        <v>749.422</v>
      </c>
      <c r="J563" s="59">
        <f>Tabela10[[#This Row],[ERP]]/Tabela10[[#This Row],[M² Da chapa]]</f>
        <v/>
      </c>
      <c r="K563" s="170">
        <f>Tabela10[[#This Row],[M² CHAPAS]]-Tabela10[[#This Row],[ERP]]</f>
        <v/>
      </c>
      <c r="L563" s="170">
        <f>Tabela10[[#This Row],[DIFERENÇA M²]]/Tabela10[[#This Row],[M² Da chapa]]</f>
        <v/>
      </c>
    </row>
    <row r="564">
      <c r="A564" s="6" t="n">
        <v>46094</v>
      </c>
      <c r="B564" s="8" t="inlineStr">
        <is>
          <t>N26020</t>
        </is>
      </c>
      <c r="C564" s="168">
        <f>VLOOKUP(LEFT(B564,1),Tabela5[],2,0)</f>
        <v/>
      </c>
      <c r="D564" s="57" t="inlineStr">
        <is>
          <t>MDF - 15MM</t>
        </is>
      </c>
      <c r="E564" s="169">
        <f>VLOOKUP(Tabela10[[#This Row],[Tipo de Chapa]],Tabela11[],2,FALSE)</f>
        <v/>
      </c>
      <c r="F564" s="151" t="n">
        <v>1176</v>
      </c>
      <c r="G564" s="152" t="n">
        <v>0.0572</v>
      </c>
      <c r="H564" s="170">
        <f>Tabela10[[#This Row],[M² Da chapa]]*Tabela10[[#This Row],[Qtde Chapas
Liberadas]]</f>
        <v/>
      </c>
      <c r="I564" s="170" t="n">
        <v>7380.0747</v>
      </c>
      <c r="J564" s="59">
        <f>Tabela10[[#This Row],[ERP]]/Tabela10[[#This Row],[M² Da chapa]]</f>
        <v/>
      </c>
      <c r="K564" s="170">
        <f>Tabela10[[#This Row],[M² CHAPAS]]-Tabela10[[#This Row],[ERP]]</f>
        <v/>
      </c>
      <c r="L564" s="170">
        <f>Tabela10[[#This Row],[DIFERENÇA M²]]/Tabela10[[#This Row],[M² Da chapa]]</f>
        <v/>
      </c>
    </row>
    <row r="565">
      <c r="A565" s="6" t="n">
        <v>46094</v>
      </c>
      <c r="B565" s="8" t="inlineStr">
        <is>
          <t>N26020</t>
        </is>
      </c>
      <c r="C565" s="168">
        <f>VLOOKUP(LEFT(B565,1),Tabela5[],2,0)</f>
        <v/>
      </c>
      <c r="D565" s="57" t="inlineStr">
        <is>
          <t>SOBRAS MDF - PORTAS DE VIDRO</t>
        </is>
      </c>
      <c r="E565" s="169">
        <f>VLOOKUP(Tabela10[[#This Row],[Tipo de Chapa]],Tabela11[],2,FALSE)</f>
        <v/>
      </c>
      <c r="F565" s="151" t="inlineStr">
        <is>
          <t>-</t>
        </is>
      </c>
      <c r="G565" s="152" t="n">
        <v>0.2002</v>
      </c>
      <c r="H565" s="170" t="n">
        <v>37.73</v>
      </c>
      <c r="I565" s="170" t="inlineStr">
        <is>
          <t>-</t>
        </is>
      </c>
      <c r="J565" s="170" t="inlineStr">
        <is>
          <t>-</t>
        </is>
      </c>
      <c r="K565" s="170" t="inlineStr">
        <is>
          <t>-</t>
        </is>
      </c>
      <c r="L565" s="170" t="inlineStr">
        <is>
          <t>-</t>
        </is>
      </c>
    </row>
    <row r="566">
      <c r="A566" s="6" t="n">
        <v>46097</v>
      </c>
      <c r="B566" s="8" t="inlineStr">
        <is>
          <t>N2601908 | N2601909</t>
        </is>
      </c>
      <c r="C566" s="168">
        <f>VLOOKUP(LEFT(B566,1),Tabela5[],2,0)</f>
        <v/>
      </c>
      <c r="D566" s="57" t="inlineStr">
        <is>
          <t>EUCADUR NT - 2,5MM</t>
        </is>
      </c>
      <c r="E566" s="169">
        <f>VLOOKUP(Tabela10[[#This Row],[Tipo de Chapa]],Tabela11[],2,FALSE)</f>
        <v/>
      </c>
      <c r="F566" s="151" t="n">
        <v>62</v>
      </c>
      <c r="G566" s="152" t="n">
        <v>0.0709</v>
      </c>
      <c r="H566" s="170">
        <f>Tabela10[[#This Row],[M² Da chapa]]*Tabela10[[#This Row],[Qtde Chapas
Liberadas]]</f>
        <v/>
      </c>
      <c r="I566" s="170" t="n">
        <v>352.3605</v>
      </c>
      <c r="J566" s="59">
        <f>Tabela10[[#This Row],[ERP]]/Tabela10[[#This Row],[M² Da chapa]]</f>
        <v/>
      </c>
      <c r="K566" s="170">
        <f>Tabela10[[#This Row],[M² CHAPAS]]-Tabela10[[#This Row],[ERP]]</f>
        <v/>
      </c>
      <c r="L566" s="170">
        <f>Tabela10[[#This Row],[DIFERENÇA M²]]/Tabela10[[#This Row],[M² Da chapa]]</f>
        <v/>
      </c>
    </row>
    <row r="567">
      <c r="A567" s="6" t="n">
        <v>46097</v>
      </c>
      <c r="B567" s="8" t="inlineStr">
        <is>
          <t>N26020</t>
        </is>
      </c>
      <c r="C567" s="168">
        <f>VLOOKUP(LEFT(B567,1),Tabela5[],2,0)</f>
        <v/>
      </c>
      <c r="D567" s="57" t="inlineStr">
        <is>
          <t>MDF - 25MM 2750x2100</t>
        </is>
      </c>
      <c r="E567" s="169">
        <f>VLOOKUP(Tabela10[[#This Row],[Tipo de Chapa]],Tabela11[],2,FALSE)</f>
        <v/>
      </c>
      <c r="F567" s="151" t="n">
        <v>50</v>
      </c>
      <c r="G567" s="152" t="n">
        <v>0.0372</v>
      </c>
      <c r="H567" s="170">
        <f>Tabela10[[#This Row],[M² Da chapa]]*Tabela10[[#This Row],[Qtde Chapas
Liberadas]]</f>
        <v/>
      </c>
      <c r="I567" s="170" t="n">
        <v>234.6387</v>
      </c>
      <c r="J567" s="59">
        <f>Tabela10[[#This Row],[ERP]]/Tabela10[[#This Row],[M² Da chapa]]</f>
        <v/>
      </c>
      <c r="K567" s="170">
        <f>Tabela10[[#This Row],[M² CHAPAS]]-Tabela10[[#This Row],[ERP]]</f>
        <v/>
      </c>
      <c r="L567" s="170">
        <f>Tabela10[[#This Row],[DIFERENÇA M²]]/Tabela10[[#This Row],[M² Da chapa]]</f>
        <v/>
      </c>
    </row>
    <row r="568">
      <c r="A568" s="6" t="n">
        <v>46097</v>
      </c>
      <c r="B568" s="8" t="inlineStr">
        <is>
          <t>N-FEITO NA LÍDER</t>
        </is>
      </c>
      <c r="C568" s="168">
        <f>VLOOKUP(LEFT(B568,1),Tabela5[],2,0)</f>
        <v/>
      </c>
      <c r="D568" s="57" t="inlineStr">
        <is>
          <t>MDF - 15MM</t>
        </is>
      </c>
      <c r="E568" s="169">
        <f>VLOOKUP(Tabela10[[#This Row],[Tipo de Chapa]],Tabela11[],2,FALSE)</f>
        <v/>
      </c>
      <c r="F568" s="151" t="n">
        <v>598</v>
      </c>
      <c r="G568" s="152" t="n">
        <v>0.0579</v>
      </c>
      <c r="H568" s="170">
        <f>Tabela10[[#This Row],[M² Da chapa]]*Tabela10[[#This Row],[Qtde Chapas
Liberadas]]</f>
        <v/>
      </c>
      <c r="I568" s="170" t="inlineStr">
        <is>
          <t>-</t>
        </is>
      </c>
      <c r="J568" s="170" t="inlineStr">
        <is>
          <t>-</t>
        </is>
      </c>
      <c r="K568" s="170" t="inlineStr">
        <is>
          <t>-</t>
        </is>
      </c>
      <c r="L568" s="170" t="inlineStr">
        <is>
          <t>-</t>
        </is>
      </c>
    </row>
    <row r="569">
      <c r="A569" s="6" t="n">
        <v>46097</v>
      </c>
      <c r="B569" s="8" t="inlineStr">
        <is>
          <t>N-FEITO NA LÍDER</t>
        </is>
      </c>
      <c r="C569" s="168">
        <f>VLOOKUP(LEFT(B569,1),Tabela5[],2,0)</f>
        <v/>
      </c>
      <c r="D569" s="57" t="inlineStr">
        <is>
          <t>MDF - 25MM 2750x2100</t>
        </is>
      </c>
      <c r="E569" s="169">
        <f>VLOOKUP(Tabela10[[#This Row],[Tipo de Chapa]],Tabela11[],2,FALSE)</f>
        <v/>
      </c>
      <c r="F569" s="151" t="n">
        <v>50</v>
      </c>
      <c r="G569" s="152" t="n">
        <v>0.0182</v>
      </c>
      <c r="H569" s="170">
        <f>Tabela10[[#This Row],[M² Da chapa]]*Tabela10[[#This Row],[Qtde Chapas
Liberadas]]</f>
        <v/>
      </c>
      <c r="I569" s="170" t="inlineStr">
        <is>
          <t>-</t>
        </is>
      </c>
      <c r="J569" s="170" t="inlineStr">
        <is>
          <t>-</t>
        </is>
      </c>
      <c r="K569" s="170" t="inlineStr">
        <is>
          <t>-</t>
        </is>
      </c>
      <c r="L569" s="170" t="inlineStr">
        <is>
          <t>-</t>
        </is>
      </c>
    </row>
    <row r="570" hidden="1">
      <c r="A570" s="6" t="n">
        <v>46189</v>
      </c>
      <c r="B570" s="8" t="inlineStr">
        <is>
          <t>M26011</t>
        </is>
      </c>
      <c r="C570" s="168">
        <f>VLOOKUP(LEFT(B570,1),Tabela5[],2,0)</f>
        <v/>
      </c>
      <c r="D570" s="57" t="inlineStr">
        <is>
          <t>EUCADUR FRJ - 2,5MM</t>
        </is>
      </c>
      <c r="E570" s="169">
        <f>VLOOKUP(Tabela10[[#This Row],[Tipo de Chapa]],Tabela11[],2,FALSE)</f>
        <v/>
      </c>
      <c r="F570" s="151" t="n">
        <v>133</v>
      </c>
      <c r="G570" s="152" t="n">
        <v>0.0578</v>
      </c>
      <c r="H570" s="170">
        <f>Tabela10[[#This Row],[M² Da chapa]]*Tabela10[[#This Row],[Qtde Chapas
Liberadas]]</f>
        <v/>
      </c>
      <c r="I570" s="170" t="n">
        <v>780.0284</v>
      </c>
      <c r="J570" s="59">
        <f>Tabela10[[#This Row],[ERP]]/Tabela10[[#This Row],[M² Da chapa]]</f>
        <v/>
      </c>
      <c r="K570" s="170">
        <f>Tabela10[[#This Row],[M² CHAPAS]]-Tabela10[[#This Row],[ERP]]</f>
        <v/>
      </c>
      <c r="L570" s="170">
        <f>Tabela10[[#This Row],[DIFERENÇA M²]]/Tabela10[[#This Row],[M² Da chapa]]</f>
        <v/>
      </c>
    </row>
    <row r="571" hidden="1">
      <c r="A571" s="6" t="n">
        <v>46189</v>
      </c>
      <c r="B571" s="8" t="inlineStr">
        <is>
          <t>M26011</t>
        </is>
      </c>
      <c r="C571" s="168">
        <f>VLOOKUP(LEFT(B571,1),Tabela5[],2,0)</f>
        <v/>
      </c>
      <c r="D571" s="57" t="inlineStr">
        <is>
          <t>EUCADUR NT - 2,5MM</t>
        </is>
      </c>
      <c r="E571" s="169">
        <f>VLOOKUP(Tabela10[[#This Row],[Tipo de Chapa]],Tabela11[],2,FALSE)</f>
        <v/>
      </c>
      <c r="F571" s="151" t="n">
        <v>17</v>
      </c>
      <c r="G571" s="152" t="n">
        <v>0.0675</v>
      </c>
      <c r="H571" s="170">
        <f>Tabela10[[#This Row],[M² Da chapa]]*Tabela10[[#This Row],[Qtde Chapas
Liberadas]]</f>
        <v/>
      </c>
      <c r="I571" s="170" t="n">
        <v>97.3626</v>
      </c>
      <c r="J571" s="59">
        <f>Tabela10[[#This Row],[ERP]]/Tabela10[[#This Row],[M² Da chapa]]</f>
        <v/>
      </c>
      <c r="K571" s="170">
        <f>Tabela10[[#This Row],[M² CHAPAS]]-Tabela10[[#This Row],[ERP]]</f>
        <v/>
      </c>
      <c r="L571" s="170">
        <f>Tabela10[[#This Row],[DIFERENÇA M²]]/Tabela10[[#This Row],[M² Da chapa]]</f>
        <v/>
      </c>
    </row>
    <row r="572" hidden="1">
      <c r="A572" s="6" t="n">
        <v>46189</v>
      </c>
      <c r="B572" s="8" t="inlineStr">
        <is>
          <t>M26012</t>
        </is>
      </c>
      <c r="C572" s="168">
        <f>VLOOKUP(LEFT(B572,1),Tabela5[],2,0)</f>
        <v/>
      </c>
      <c r="D572" s="57" t="inlineStr">
        <is>
          <t>EUCADUR NT - 2,5MM</t>
        </is>
      </c>
      <c r="E572" s="169">
        <f>VLOOKUP(Tabela10[[#This Row],[Tipo de Chapa]],Tabela11[],2,FALSE)</f>
        <v/>
      </c>
      <c r="F572" s="151" t="n">
        <v>329</v>
      </c>
      <c r="G572" s="152" t="n">
        <v>0.0614</v>
      </c>
      <c r="H572" s="170">
        <f>Tabela10[[#This Row],[M² Da chapa]]*Tabela10[[#This Row],[Qtde Chapas
Liberadas]]</f>
        <v/>
      </c>
      <c r="I572" s="170" t="n">
        <v>2013.208</v>
      </c>
      <c r="J572" s="59">
        <f>Tabela10[[#This Row],[ERP]]/Tabela10[[#This Row],[M² Da chapa]]</f>
        <v/>
      </c>
      <c r="K572" s="170">
        <f>Tabela10[[#This Row],[M² CHAPAS]]-Tabela10[[#This Row],[ERP]]</f>
        <v/>
      </c>
      <c r="L572" s="170">
        <f>Tabela10[[#This Row],[DIFERENÇA M²]]/Tabela10[[#This Row],[M² Da chapa]]</f>
        <v/>
      </c>
    </row>
    <row r="573">
      <c r="A573" s="6" t="n">
        <v>46098</v>
      </c>
      <c r="B573" s="8" t="inlineStr">
        <is>
          <t>N2602104</t>
        </is>
      </c>
      <c r="C573" s="168">
        <f>VLOOKUP(LEFT(B573,1),Tabela5[],2,0)</f>
        <v/>
      </c>
      <c r="D573" s="57" t="inlineStr">
        <is>
          <t>MDF - 15MM</t>
        </is>
      </c>
      <c r="E573" s="169">
        <f>VLOOKUP(Tabela10[[#This Row],[Tipo de Chapa]],Tabela11[],2,FALSE)</f>
        <v/>
      </c>
      <c r="F573" s="151" t="n">
        <v>74</v>
      </c>
      <c r="G573" s="152" t="n">
        <v>0.0669</v>
      </c>
      <c r="H573" s="170">
        <f>Tabela10[[#This Row],[M² Da chapa]]*Tabela10[[#This Row],[Qtde Chapas
Liberadas]]</f>
        <v/>
      </c>
      <c r="I573" s="170" t="n">
        <v>409.1161</v>
      </c>
      <c r="J573" s="59">
        <f>Tabela10[[#This Row],[ERP]]/Tabela10[[#This Row],[M² Da chapa]]</f>
        <v/>
      </c>
      <c r="K573" s="170">
        <f>Tabela10[[#This Row],[M² CHAPAS]]-Tabela10[[#This Row],[ERP]]</f>
        <v/>
      </c>
      <c r="L573" s="170">
        <f>Tabela10[[#This Row],[DIFERENÇA M²]]/Tabela10[[#This Row],[M² Da chapa]]</f>
        <v/>
      </c>
    </row>
    <row r="574">
      <c r="A574" s="6" t="n">
        <v>46098</v>
      </c>
      <c r="B574" s="8" t="inlineStr">
        <is>
          <t>N2602201</t>
        </is>
      </c>
      <c r="C574" s="168">
        <f>VLOOKUP(LEFT(B574,1),Tabela5[],2,0)</f>
        <v/>
      </c>
      <c r="D574" s="57" t="inlineStr">
        <is>
          <t>MDF - 15MM</t>
        </is>
      </c>
      <c r="E574" s="169">
        <f>VLOOKUP(Tabela10[[#This Row],[Tipo de Chapa]],Tabela11[],2,FALSE)</f>
        <v/>
      </c>
      <c r="F574" s="151" t="n">
        <v>30</v>
      </c>
      <c r="G574" s="152" t="n"/>
      <c r="H574" s="170">
        <f>Tabela10[[#This Row],[M² Da chapa]]*Tabela10[[#This Row],[Qtde Chapas
Liberadas]]</f>
        <v/>
      </c>
      <c r="I574" s="170" t="n">
        <v>181.5</v>
      </c>
      <c r="J574" s="59">
        <f>Tabela10[[#This Row],[ERP]]/Tabela10[[#This Row],[M² Da chapa]]</f>
        <v/>
      </c>
      <c r="K574" s="170">
        <f>Tabela10[[#This Row],[M² CHAPAS]]-Tabela10[[#This Row],[ERP]]</f>
        <v/>
      </c>
      <c r="L574" s="170">
        <f>Tabela10[[#This Row],[DIFERENÇA M²]]/Tabela10[[#This Row],[M² Da chapa]]</f>
        <v/>
      </c>
    </row>
    <row r="575" ht="28.8" customHeight="1">
      <c r="A575" s="6" t="n">
        <v>46098</v>
      </c>
      <c r="B575" s="8" t="inlineStr">
        <is>
          <t>N2602101 | N2602102 | N2602103 | N2602106 | N2602105</t>
        </is>
      </c>
      <c r="C575" s="168">
        <f>VLOOKUP(LEFT(B575,1),Tabela5[],2,0)</f>
        <v/>
      </c>
      <c r="D575" s="57" t="inlineStr">
        <is>
          <t>MDF - 15MM</t>
        </is>
      </c>
      <c r="E575" s="169">
        <f>VLOOKUP(Tabela10[[#This Row],[Tipo de Chapa]],Tabela11[],2,FALSE)</f>
        <v/>
      </c>
      <c r="F575" s="151">
        <f>553+7</f>
        <v/>
      </c>
      <c r="G575" s="152" t="n">
        <v>0.0598</v>
      </c>
      <c r="H575" s="170">
        <f>Tabela10[[#This Row],[M² Da chapa]]*Tabela10[[#This Row],[Qtde Chapas
Liberadas]]</f>
        <v/>
      </c>
      <c r="I575" s="170" t="n">
        <v>3803.2231</v>
      </c>
      <c r="J575" s="59">
        <f>Tabela10[[#This Row],[ERP]]/Tabela10[[#This Row],[M² Da chapa]]</f>
        <v/>
      </c>
      <c r="K575" s="170">
        <f>Tabela10[[#This Row],[M² CHAPAS]]-Tabela10[[#This Row],[ERP]]</f>
        <v/>
      </c>
      <c r="L575" s="170">
        <f>Tabela10[[#This Row],[DIFERENÇA M²]]/Tabela10[[#This Row],[M² Da chapa]]</f>
        <v/>
      </c>
    </row>
    <row r="576">
      <c r="A576" s="6" t="n">
        <v>46098</v>
      </c>
      <c r="B576" s="8" t="inlineStr">
        <is>
          <t>N2602101</t>
        </is>
      </c>
      <c r="C576" s="168">
        <f>VLOOKUP(LEFT(B576,1),Tabela5[],2,0)</f>
        <v/>
      </c>
      <c r="D576" s="57" t="inlineStr">
        <is>
          <t>MDF - 25MM 2750x2100</t>
        </is>
      </c>
      <c r="E576" s="169">
        <f>VLOOKUP(Tabela10[[#This Row],[Tipo de Chapa]],Tabela11[],2,FALSE)</f>
        <v/>
      </c>
      <c r="F576" s="151" t="n">
        <v>50</v>
      </c>
      <c r="G576" s="152" t="n">
        <v>0.0372</v>
      </c>
      <c r="H576" s="170">
        <f>Tabela10[[#This Row],[M² Da chapa]]*Tabela10[[#This Row],[Qtde Chapas
Liberadas]]</f>
        <v/>
      </c>
      <c r="I576" s="170" t="n">
        <v>234.6387</v>
      </c>
      <c r="J576" s="59">
        <f>Tabela10[[#This Row],[ERP]]/Tabela10[[#This Row],[M² Da chapa]]</f>
        <v/>
      </c>
      <c r="K576" s="170">
        <f>Tabela10[[#This Row],[M² CHAPAS]]-Tabela10[[#This Row],[ERP]]</f>
        <v/>
      </c>
      <c r="L576" s="170">
        <f>Tabela10[[#This Row],[DIFERENÇA M²]]/Tabela10[[#This Row],[M² Da chapa]]</f>
        <v/>
      </c>
    </row>
    <row r="577">
      <c r="A577" s="6" t="n">
        <v>46098</v>
      </c>
      <c r="B577" s="8" t="inlineStr">
        <is>
          <t>N26021</t>
        </is>
      </c>
      <c r="C577" s="168">
        <f>VLOOKUP(LEFT(B577,1),Tabela5[],2,0)</f>
        <v/>
      </c>
      <c r="D577" s="57" t="inlineStr">
        <is>
          <t>EUCADUR NT - 2,5MM</t>
        </is>
      </c>
      <c r="E577" s="169">
        <f>VLOOKUP(Tabela10[[#This Row],[Tipo de Chapa]],Tabela11[],2,FALSE)</f>
        <v/>
      </c>
      <c r="F577" s="151" t="n">
        <v>345</v>
      </c>
      <c r="G577" s="152" t="n">
        <v>0.0772</v>
      </c>
      <c r="H577" s="170">
        <f>Tabela10[[#This Row],[M² Da chapa]]*Tabela10[[#This Row],[Qtde Chapas
Liberadas]]</f>
        <v/>
      </c>
      <c r="I577" s="170" t="n">
        <v>1912.1729</v>
      </c>
      <c r="J577" s="59">
        <f>Tabela10[[#This Row],[ERP]]/Tabela10[[#This Row],[M² Da chapa]]</f>
        <v/>
      </c>
      <c r="K577" s="170">
        <f>Tabela10[[#This Row],[M² CHAPAS]]-Tabela10[[#This Row],[ERP]]</f>
        <v/>
      </c>
      <c r="L577" s="170">
        <f>Tabela10[[#This Row],[DIFERENÇA M²]]/Tabela10[[#This Row],[M² Da chapa]]</f>
        <v/>
      </c>
    </row>
    <row r="578" hidden="1">
      <c r="A578" s="6" t="n">
        <v>46098</v>
      </c>
      <c r="B578" s="8" t="inlineStr">
        <is>
          <t>M26011</t>
        </is>
      </c>
      <c r="C578" s="168">
        <f>VLOOKUP(LEFT(B578,1),Tabela5[],2,0)</f>
        <v/>
      </c>
      <c r="D578" s="57" t="inlineStr">
        <is>
          <t>MDF - 15MM</t>
        </is>
      </c>
      <c r="E578" s="169">
        <f>VLOOKUP(Tabela10[[#This Row],[Tipo de Chapa]],Tabela11[],2,FALSE)</f>
        <v/>
      </c>
      <c r="F578" s="151" t="n">
        <v>432</v>
      </c>
      <c r="G578" s="152" t="n">
        <v>0.0607</v>
      </c>
      <c r="H578" s="170">
        <f>Tabela10[[#This Row],[M² Da chapa]]*Tabela10[[#This Row],[Qtde Chapas
Liberadas]]</f>
        <v/>
      </c>
      <c r="I578" s="170" t="n">
        <v>2547.1811</v>
      </c>
      <c r="J578" s="59">
        <f>Tabela10[[#This Row],[ERP]]/Tabela10[[#This Row],[M² Da chapa]]</f>
        <v/>
      </c>
      <c r="K578" s="170">
        <f>Tabela10[[#This Row],[M² CHAPAS]]-Tabela10[[#This Row],[ERP]]</f>
        <v/>
      </c>
      <c r="L578" s="170">
        <f>Tabela10[[#This Row],[DIFERENÇA M²]]/Tabela10[[#This Row],[M² Da chapa]]</f>
        <v/>
      </c>
    </row>
    <row r="579" hidden="1">
      <c r="A579" s="6" t="n">
        <v>46098</v>
      </c>
      <c r="B579" s="8" t="inlineStr">
        <is>
          <t>M26012</t>
        </is>
      </c>
      <c r="C579" s="168">
        <f>VLOOKUP(LEFT(B579,1),Tabela5[],2,0)</f>
        <v/>
      </c>
      <c r="D579" s="57" t="inlineStr">
        <is>
          <t>MDF - 15MM</t>
        </is>
      </c>
      <c r="E579" s="169">
        <f>VLOOKUP(Tabela10[[#This Row],[Tipo de Chapa]],Tabela11[],2,FALSE)</f>
        <v/>
      </c>
      <c r="F579" s="151" t="n">
        <v>960</v>
      </c>
      <c r="G579" s="152" t="n">
        <v>0.0614</v>
      </c>
      <c r="H579" s="170">
        <f>Tabela10[[#This Row],[M² Da chapa]]*Tabela10[[#This Row],[Qtde Chapas
Liberadas]]</f>
        <v/>
      </c>
      <c r="I579" s="170" t="n">
        <v>5778.258</v>
      </c>
      <c r="J579" s="59">
        <f>Tabela10[[#This Row],[ERP]]/Tabela10[[#This Row],[M² Da chapa]]</f>
        <v/>
      </c>
      <c r="K579" s="170">
        <f>Tabela10[[#This Row],[M² CHAPAS]]-Tabela10[[#This Row],[ERP]]</f>
        <v/>
      </c>
      <c r="L579" s="170">
        <f>Tabela10[[#This Row],[DIFERENÇA M²]]/Tabela10[[#This Row],[M² Da chapa]]</f>
        <v/>
      </c>
    </row>
    <row r="580" hidden="1">
      <c r="A580" s="6" t="n">
        <v>46098</v>
      </c>
      <c r="B580" s="8" t="inlineStr">
        <is>
          <t>M26013</t>
        </is>
      </c>
      <c r="C580" s="168">
        <f>VLOOKUP(LEFT(B580,1),Tabela5[],2,0)</f>
        <v/>
      </c>
      <c r="D580" s="57" t="inlineStr">
        <is>
          <t>MDF - 15MM</t>
        </is>
      </c>
      <c r="E580" s="169">
        <f>VLOOKUP(Tabela10[[#This Row],[Tipo de Chapa]],Tabela11[],2,FALSE)</f>
        <v/>
      </c>
      <c r="F580" s="151" t="n">
        <v>1469</v>
      </c>
      <c r="G580" s="152" t="n">
        <v>0.0586</v>
      </c>
      <c r="H580" s="170">
        <f>Tabela10[[#This Row],[M² Da chapa]]*Tabela10[[#This Row],[Qtde Chapas
Liberadas]]</f>
        <v/>
      </c>
      <c r="I580" s="170" t="n">
        <v>8942.5506</v>
      </c>
      <c r="J580" s="59">
        <f>Tabela10[[#This Row],[ERP]]/Tabela10[[#This Row],[M² Da chapa]]</f>
        <v/>
      </c>
      <c r="K580" s="170">
        <f>Tabela10[[#This Row],[M² CHAPAS]]-Tabela10[[#This Row],[ERP]]</f>
        <v/>
      </c>
      <c r="L580" s="170">
        <f>Tabela10[[#This Row],[DIFERENÇA M²]]/Tabela10[[#This Row],[M² Da chapa]]</f>
        <v/>
      </c>
    </row>
    <row r="581" hidden="1">
      <c r="A581" s="6" t="n">
        <v>46098</v>
      </c>
      <c r="B581" s="8" t="inlineStr">
        <is>
          <t>M26012</t>
        </is>
      </c>
      <c r="C581" s="168">
        <f>VLOOKUP(LEFT(B581,1),Tabela5[],2,0)</f>
        <v/>
      </c>
      <c r="D581" s="57" t="inlineStr">
        <is>
          <t>MDF - 9MM</t>
        </is>
      </c>
      <c r="E581" s="169">
        <f>VLOOKUP(Tabela10[[#This Row],[Tipo de Chapa]],Tabela11[],2,FALSE)</f>
        <v/>
      </c>
      <c r="F581" s="151" t="n">
        <v>131</v>
      </c>
      <c r="G581" s="152" t="n">
        <v>0.0395</v>
      </c>
      <c r="H581" s="170">
        <f>Tabela10[[#This Row],[M² Da chapa]]*Tabela10[[#This Row],[Qtde Chapas
Liberadas]]</f>
        <v/>
      </c>
      <c r="I581" s="170" t="n">
        <v>654.7637999999999</v>
      </c>
      <c r="J581" s="59">
        <f>Tabela10[[#This Row],[ERP]]/Tabela10[[#This Row],[M² Da chapa]]</f>
        <v/>
      </c>
      <c r="K581" s="170">
        <f>Tabela10[[#This Row],[M² CHAPAS]]-Tabela10[[#This Row],[ERP]]</f>
        <v/>
      </c>
      <c r="L581" s="170">
        <f>Tabela10[[#This Row],[DIFERENÇA M²]]/Tabela10[[#This Row],[M² Da chapa]]</f>
        <v/>
      </c>
    </row>
    <row r="582" hidden="1">
      <c r="A582" s="6" t="n">
        <v>46098</v>
      </c>
      <c r="B582" s="8" t="inlineStr">
        <is>
          <t>M26013</t>
        </is>
      </c>
      <c r="C582" s="168">
        <f>VLOOKUP(LEFT(B582,1),Tabela5[],2,0)</f>
        <v/>
      </c>
      <c r="D582" s="57" t="inlineStr">
        <is>
          <t>MDF - 9MM</t>
        </is>
      </c>
      <c r="E582" s="169">
        <f>VLOOKUP(Tabela10[[#This Row],[Tipo de Chapa]],Tabela11[],2,FALSE)</f>
        <v/>
      </c>
      <c r="F582" s="151" t="n">
        <v>75</v>
      </c>
      <c r="G582" s="152" t="n">
        <v>0.0318</v>
      </c>
      <c r="H582" s="170">
        <f>Tabela10[[#This Row],[M² Da chapa]]*Tabela10[[#This Row],[Qtde Chapas
Liberadas]]</f>
        <v/>
      </c>
      <c r="I582" s="170" t="n">
        <v>381.541</v>
      </c>
      <c r="J582" s="59">
        <f>Tabela10[[#This Row],[ERP]]/Tabela10[[#This Row],[M² Da chapa]]</f>
        <v/>
      </c>
      <c r="K582" s="170">
        <f>Tabela10[[#This Row],[M² CHAPAS]]-Tabela10[[#This Row],[ERP]]</f>
        <v/>
      </c>
      <c r="L582" s="170">
        <f>Tabela10[[#This Row],[DIFERENÇA M²]]/Tabela10[[#This Row],[M² Da chapa]]</f>
        <v/>
      </c>
    </row>
    <row r="583">
      <c r="A583" s="6" t="n">
        <v>46098</v>
      </c>
      <c r="B583" s="8" t="inlineStr">
        <is>
          <t>N26022</t>
        </is>
      </c>
      <c r="C583" s="168">
        <f>VLOOKUP(LEFT(B583,1),Tabela5[],2,0)</f>
        <v/>
      </c>
      <c r="D583" s="57" t="inlineStr">
        <is>
          <t>EUCADUR FRJ - 2,5MM</t>
        </is>
      </c>
      <c r="E583" s="169">
        <f>VLOOKUP(Tabela10[[#This Row],[Tipo de Chapa]],Tabela11[],2,FALSE)</f>
        <v/>
      </c>
      <c r="F583" s="151" t="n">
        <v>243</v>
      </c>
      <c r="G583" s="152" t="n">
        <v>0.07829999999999999</v>
      </c>
      <c r="H583" s="170">
        <f>Tabela10[[#This Row],[M² Da chapa]]*Tabela10[[#This Row],[Qtde Chapas
Liberadas]]</f>
        <v/>
      </c>
      <c r="I583" s="170" t="n">
        <v>1769.8824</v>
      </c>
      <c r="J583" s="59">
        <f>Tabela10[[#This Row],[ERP]]/Tabela10[[#This Row],[M² Da chapa]]</f>
        <v/>
      </c>
      <c r="K583" s="170">
        <f>Tabela10[[#This Row],[M² CHAPAS]]-Tabela10[[#This Row],[ERP]]</f>
        <v/>
      </c>
      <c r="L583" s="170">
        <f>Tabela10[[#This Row],[DIFERENÇA M²]]/Tabela10[[#This Row],[M² Da chapa]]</f>
        <v/>
      </c>
    </row>
    <row r="584">
      <c r="A584" s="6" t="n">
        <v>46099</v>
      </c>
      <c r="B584" s="8" t="inlineStr">
        <is>
          <t>N2602501 | N2602502 | N2602504</t>
        </is>
      </c>
      <c r="C584" s="168">
        <f>VLOOKUP(LEFT(B584,1),Tabela5[],2,0)</f>
        <v/>
      </c>
      <c r="D584" s="57" t="inlineStr">
        <is>
          <t>MDF - 15MM</t>
        </is>
      </c>
      <c r="E584" s="169">
        <f>VLOOKUP(Tabela10[[#This Row],[Tipo de Chapa]],Tabela11[],2,FALSE)</f>
        <v/>
      </c>
      <c r="F584" s="151" t="n">
        <v>197</v>
      </c>
      <c r="G584" s="152" t="n">
        <v>0.0639</v>
      </c>
      <c r="H584" s="170">
        <f>Tabela10[[#This Row],[M² Da chapa]]*Tabela10[[#This Row],[Qtde Chapas
Liberadas]]</f>
        <v/>
      </c>
      <c r="I584" s="170" t="n">
        <v>2828.9587</v>
      </c>
      <c r="J584" s="59">
        <f>Tabela10[[#This Row],[ERP]]/Tabela10[[#This Row],[M² Da chapa]]</f>
        <v/>
      </c>
      <c r="K584" s="170">
        <f>Tabela10[[#This Row],[M² CHAPAS]]-Tabela10[[#This Row],[ERP]]</f>
        <v/>
      </c>
      <c r="L584" s="170">
        <f>Tabela10[[#This Row],[DIFERENÇA M²]]/Tabela10[[#This Row],[M² Da chapa]]</f>
        <v/>
      </c>
    </row>
    <row r="585" hidden="1">
      <c r="A585" s="6" t="n">
        <v>46097</v>
      </c>
      <c r="B585" s="8" t="inlineStr">
        <is>
          <t>V26053</t>
        </is>
      </c>
      <c r="C585" s="168">
        <f>VLOOKUP(LEFT(B585,1),Tabela5[],2,0)</f>
        <v/>
      </c>
      <c r="D585" s="57" t="inlineStr">
        <is>
          <t>MDF - 15MM</t>
        </is>
      </c>
      <c r="E585" s="169">
        <f>VLOOKUP(Tabela10[[#This Row],[Tipo de Chapa]],Tabela11[],2,FALSE)</f>
        <v/>
      </c>
      <c r="F585" s="151">
        <f>598-17</f>
        <v/>
      </c>
      <c r="G585" s="152" t="n">
        <v>0.0581</v>
      </c>
      <c r="H585" s="170">
        <f>Tabela10[[#This Row],[M² Da chapa]]*Tabela10[[#This Row],[Qtde Chapas
Liberadas]]</f>
        <v/>
      </c>
      <c r="I585" s="170" t="n">
        <v>3578.4031</v>
      </c>
      <c r="J585" s="59">
        <f>Tabela10[[#This Row],[ERP]]/Tabela10[[#This Row],[M² Da chapa]]</f>
        <v/>
      </c>
      <c r="K585" s="170">
        <f>Tabela10[[#This Row],[M² CHAPAS]]-Tabela10[[#This Row],[ERP]]</f>
        <v/>
      </c>
      <c r="L585" s="170">
        <f>Tabela10[[#This Row],[DIFERENÇA M²]]/Tabela10[[#This Row],[M² Da chapa]]</f>
        <v/>
      </c>
    </row>
    <row r="586" hidden="1">
      <c r="A586" s="6" t="n">
        <v>46100</v>
      </c>
      <c r="B586" s="8" t="inlineStr">
        <is>
          <t>V26053</t>
        </is>
      </c>
      <c r="C586" s="168">
        <f>VLOOKUP(LEFT(B586,1),Tabela5[],2,0)</f>
        <v/>
      </c>
      <c r="D586" s="57" t="inlineStr">
        <is>
          <t>EUCADUR NT - 2,5MM</t>
        </is>
      </c>
      <c r="E586" s="169">
        <f>VLOOKUP(Tabela10[[#This Row],[Tipo de Chapa]],Tabela11[],2,FALSE)</f>
        <v/>
      </c>
      <c r="F586" s="151" t="n">
        <v>261</v>
      </c>
      <c r="G586" s="152" t="n">
        <v>0.066</v>
      </c>
      <c r="H586" s="170">
        <f>Tabela10[[#This Row],[M² Da chapa]]*Tabela10[[#This Row],[Qtde Chapas
Liberadas]]</f>
        <v/>
      </c>
      <c r="I586" s="170" t="n">
        <v>1627.053</v>
      </c>
      <c r="J586" s="59">
        <f>Tabela10[[#This Row],[ERP]]/Tabela10[[#This Row],[M² Da chapa]]</f>
        <v/>
      </c>
      <c r="K586" s="170">
        <f>Tabela10[[#This Row],[M² CHAPAS]]-Tabela10[[#This Row],[ERP]]</f>
        <v/>
      </c>
      <c r="L586" s="170">
        <f>Tabela10[[#This Row],[DIFERENÇA M²]]/Tabela10[[#This Row],[M² Da chapa]]</f>
        <v/>
      </c>
    </row>
    <row r="587" hidden="1">
      <c r="A587" s="6" t="n">
        <v>46100</v>
      </c>
      <c r="B587" s="8" t="inlineStr">
        <is>
          <t>V26053</t>
        </is>
      </c>
      <c r="C587" s="168">
        <f>VLOOKUP(LEFT(B587,1),Tabela5[],2,0)</f>
        <v/>
      </c>
      <c r="D587" s="57" t="inlineStr">
        <is>
          <t>MDF - 25MM 2750x2100</t>
        </is>
      </c>
      <c r="E587" s="169">
        <f>VLOOKUP(Tabela10[[#This Row],[Tipo de Chapa]],Tabela11[],2,FALSE)</f>
        <v/>
      </c>
      <c r="F587" s="151" t="n">
        <v>50</v>
      </c>
      <c r="G587" s="152" t="n">
        <v>0.0182</v>
      </c>
      <c r="H587" s="170">
        <f>Tabela10[[#This Row],[M² Da chapa]]*Tabela10[[#This Row],[Qtde Chapas
Liberadas]]</f>
        <v/>
      </c>
      <c r="I587" s="170" t="n">
        <v>288.1965</v>
      </c>
      <c r="J587" s="59">
        <f>Tabela10[[#This Row],[ERP]]/Tabela10[[#This Row],[M² Da chapa]]</f>
        <v/>
      </c>
      <c r="K587" s="170">
        <f>Tabela10[[#This Row],[M² CHAPAS]]-Tabela10[[#This Row],[ERP]]</f>
        <v/>
      </c>
      <c r="L587" s="170">
        <f>Tabela10[[#This Row],[DIFERENÇA M²]]/Tabela10[[#This Row],[M² Da chapa]]</f>
        <v/>
      </c>
    </row>
    <row r="588" hidden="1">
      <c r="A588" s="6" t="n">
        <v>46100</v>
      </c>
      <c r="B588" s="8" t="inlineStr">
        <is>
          <t>V26053</t>
        </is>
      </c>
      <c r="C588" s="168">
        <f>VLOOKUP(LEFT(B588,1),Tabela5[],2,0)</f>
        <v/>
      </c>
      <c r="D588" s="57" t="inlineStr">
        <is>
          <t>MDF - 9MM</t>
        </is>
      </c>
      <c r="E588" s="169">
        <f>VLOOKUP(Tabela10[[#This Row],[Tipo de Chapa]],Tabela11[],2,FALSE)</f>
        <v/>
      </c>
      <c r="F588" s="151" t="n">
        <v>19</v>
      </c>
      <c r="G588" s="152" t="n">
        <v>0.0423</v>
      </c>
      <c r="H588" s="170">
        <f>Tabela10[[#This Row],[M² Da chapa]]*Tabela10[[#This Row],[Qtde Chapas
Liberadas]]</f>
        <v/>
      </c>
      <c r="I588" s="170" t="inlineStr">
        <is>
          <t>-</t>
        </is>
      </c>
      <c r="J588" s="170" t="inlineStr">
        <is>
          <t>-</t>
        </is>
      </c>
      <c r="K588" s="170" t="inlineStr">
        <is>
          <t>-</t>
        </is>
      </c>
      <c r="L588" s="170" t="inlineStr">
        <is>
          <t>-</t>
        </is>
      </c>
    </row>
    <row r="589">
      <c r="A589" s="6" t="n">
        <v>46101</v>
      </c>
      <c r="B589" s="8" t="inlineStr">
        <is>
          <t>N26022</t>
        </is>
      </c>
      <c r="C589" s="168">
        <f>VLOOKUP(LEFT(B589,1),Tabela5[],2,0)</f>
        <v/>
      </c>
      <c r="D589" s="57" t="inlineStr">
        <is>
          <t>TIRA 9MM - 1850X165X9</t>
        </is>
      </c>
      <c r="E589" s="169">
        <f>VLOOKUP(Tabela10[[#This Row],[Tipo de Chapa]],Tabela11[],2,FALSE)</f>
        <v/>
      </c>
      <c r="F589" s="151" t="n">
        <v>300</v>
      </c>
      <c r="G589" s="152" t="n">
        <v>0.027</v>
      </c>
      <c r="H589" s="170">
        <f>Tabela10[[#This Row],[M² Da chapa]]*Tabela10[[#This Row],[Qtde Chapas
Liberadas]]</f>
        <v/>
      </c>
      <c r="I589" s="170" t="n">
        <v>91.575</v>
      </c>
      <c r="J589" s="59">
        <f>Tabela10[[#This Row],[ERP]]/Tabela10[[#This Row],[M² Da chapa]]</f>
        <v/>
      </c>
      <c r="K589" s="170">
        <f>Tabela10[[#This Row],[M² CHAPAS]]-Tabela10[[#This Row],[ERP]]</f>
        <v/>
      </c>
      <c r="L589" s="170">
        <f>Tabela10[[#This Row],[DIFERENÇA M²]]/Tabela10[[#This Row],[M² Da chapa]]</f>
        <v/>
      </c>
    </row>
    <row r="590" hidden="1">
      <c r="A590" s="6" t="n">
        <v>46101</v>
      </c>
      <c r="B590" s="8" t="inlineStr">
        <is>
          <t>M26013</t>
        </is>
      </c>
      <c r="C590" s="168">
        <f>VLOOKUP(LEFT(B590,1),Tabela5[],2,0)</f>
        <v/>
      </c>
      <c r="D590" s="57" t="inlineStr">
        <is>
          <t>EUCADUR NT - 2,5MM</t>
        </is>
      </c>
      <c r="E590" s="169">
        <f>VLOOKUP(Tabela10[[#This Row],[Tipo de Chapa]],Tabela11[],2,FALSE)</f>
        <v/>
      </c>
      <c r="F590" s="151" t="n">
        <v>514</v>
      </c>
      <c r="G590" s="152" t="n">
        <v>0.0573</v>
      </c>
      <c r="H590" s="170">
        <f>Tabela10[[#This Row],[M² Da chapa]]*Tabela10[[#This Row],[Qtde Chapas
Liberadas]]</f>
        <v/>
      </c>
      <c r="I590" s="170" t="n">
        <v>2981.561</v>
      </c>
      <c r="J590" s="59">
        <f>Tabela10[[#This Row],[ERP]]/Tabela10[[#This Row],[M² Da chapa]]</f>
        <v/>
      </c>
      <c r="K590" s="170">
        <f>Tabela10[[#This Row],[M² CHAPAS]]-Tabela10[[#This Row],[ERP]]</f>
        <v/>
      </c>
      <c r="L590" s="170">
        <f>Tabela10[[#This Row],[DIFERENÇA M²]]/Tabela10[[#This Row],[M² Da chapa]]</f>
        <v/>
      </c>
    </row>
    <row r="591">
      <c r="A591" s="6" t="n">
        <v>46104</v>
      </c>
      <c r="B591" s="8" t="inlineStr">
        <is>
          <t>N26022</t>
        </is>
      </c>
      <c r="C591" s="168">
        <f>VLOOKUP(LEFT(B591,1),Tabela5[],2,0)</f>
        <v/>
      </c>
      <c r="D591" s="57" t="inlineStr">
        <is>
          <t>EUCADUR NT - 2,5MM</t>
        </is>
      </c>
      <c r="E591" s="169">
        <f>VLOOKUP(Tabela10[[#This Row],[Tipo de Chapa]],Tabela11[],2,FALSE)</f>
        <v/>
      </c>
      <c r="F591" s="151">
        <f>64+108</f>
        <v/>
      </c>
      <c r="G591" s="152" t="n">
        <v>0.06370000000000001</v>
      </c>
      <c r="H591" s="170">
        <f>Tabela10[[#This Row],[M² Da chapa]]*Tabela10[[#This Row],[Qtde Chapas
Liberadas]]</f>
        <v/>
      </c>
      <c r="I591" s="170" t="n">
        <v>545.8081</v>
      </c>
      <c r="J591" s="59">
        <f>Tabela10[[#This Row],[ERP]]/Tabela10[[#This Row],[M² Da chapa]]</f>
        <v/>
      </c>
      <c r="K591" s="170">
        <f>Tabela10[[#This Row],[M² CHAPAS]]-Tabela10[[#This Row],[ERP]]</f>
        <v/>
      </c>
      <c r="L591" s="170">
        <f>Tabela10[[#This Row],[DIFERENÇA M²]]/Tabela10[[#This Row],[M² Da chapa]]</f>
        <v/>
      </c>
    </row>
    <row r="592">
      <c r="A592" s="6" t="n">
        <v>46104</v>
      </c>
      <c r="B592" s="8" t="inlineStr">
        <is>
          <t>N26023</t>
        </is>
      </c>
      <c r="C592" s="168">
        <f>VLOOKUP(LEFT(B592,1),Tabela5[],2,0)</f>
        <v/>
      </c>
      <c r="D592" s="57" t="inlineStr">
        <is>
          <t>EUCADUR NT - 2,5MM</t>
        </is>
      </c>
      <c r="E592" s="169">
        <f>VLOOKUP(Tabela10[[#This Row],[Tipo de Chapa]],Tabela11[],2,FALSE)</f>
        <v/>
      </c>
      <c r="F592" s="151" t="n">
        <v>300</v>
      </c>
      <c r="G592" s="152" t="n">
        <v>0.0743</v>
      </c>
      <c r="H592" s="170">
        <f>Tabela10[[#This Row],[M² Da chapa]]*Tabela10[[#This Row],[Qtde Chapas
Liberadas]]</f>
        <v/>
      </c>
      <c r="I592" s="170" t="n">
        <v>1240.3394</v>
      </c>
      <c r="J592" s="59">
        <f>Tabela10[[#This Row],[ERP]]/Tabela10[[#This Row],[M² Da chapa]]</f>
        <v/>
      </c>
      <c r="K592" s="170">
        <f>Tabela10[[#This Row],[M² CHAPAS]]-Tabela10[[#This Row],[ERP]]</f>
        <v/>
      </c>
      <c r="L592" s="170">
        <f>Tabela10[[#This Row],[DIFERENÇA M²]]/Tabela10[[#This Row],[M² Da chapa]]</f>
        <v/>
      </c>
    </row>
    <row r="593">
      <c r="A593" s="6" t="n">
        <v>46104</v>
      </c>
      <c r="B593" s="8" t="inlineStr">
        <is>
          <t>N26024</t>
        </is>
      </c>
      <c r="C593" s="168">
        <f>VLOOKUP(LEFT(B593,1),Tabela5[],2,0)</f>
        <v/>
      </c>
      <c r="D593" s="57" t="inlineStr">
        <is>
          <t>EUCADUR NT - 2,5MM</t>
        </is>
      </c>
      <c r="E593" s="169">
        <f>VLOOKUP(Tabela10[[#This Row],[Tipo de Chapa]],Tabela11[],2,FALSE)</f>
        <v/>
      </c>
      <c r="F593" s="151" t="n">
        <v>483</v>
      </c>
      <c r="G593" s="152" t="n">
        <v>0.07190000000000001</v>
      </c>
      <c r="H593" s="170">
        <f>Tabela10[[#This Row],[M² Da chapa]]*Tabela10[[#This Row],[Qtde Chapas
Liberadas]]</f>
        <v/>
      </c>
      <c r="I593" s="170" t="n">
        <v>3189.0382</v>
      </c>
      <c r="J593" s="59">
        <f>Tabela10[[#This Row],[ERP]]/Tabela10[[#This Row],[M² Da chapa]]</f>
        <v/>
      </c>
      <c r="K593" s="170">
        <f>Tabela10[[#This Row],[M² CHAPAS]]-Tabela10[[#This Row],[ERP]]</f>
        <v/>
      </c>
      <c r="L593" s="170">
        <f>Tabela10[[#This Row],[DIFERENÇA M²]]/Tabela10[[#This Row],[M² Da chapa]]</f>
        <v/>
      </c>
    </row>
    <row r="594">
      <c r="A594" s="6" t="n">
        <v>46104</v>
      </c>
      <c r="B594" s="8" t="inlineStr">
        <is>
          <t>N26025</t>
        </is>
      </c>
      <c r="C594" s="168">
        <f>VLOOKUP(LEFT(B594,1),Tabela5[],2,0)</f>
        <v/>
      </c>
      <c r="D594" s="57" t="inlineStr">
        <is>
          <t>EUCADUR NT - 2,5MM</t>
        </is>
      </c>
      <c r="E594" s="169">
        <f>VLOOKUP(Tabela10[[#This Row],[Tipo de Chapa]],Tabela11[],2,FALSE)</f>
        <v/>
      </c>
      <c r="F594" s="151" t="n">
        <v>442</v>
      </c>
      <c r="G594" s="152" t="n">
        <v>0.06809999999999999</v>
      </c>
      <c r="H594" s="170">
        <f>Tabela10[[#This Row],[M² Da chapa]]*Tabela10[[#This Row],[Qtde Chapas
Liberadas]]</f>
        <v/>
      </c>
      <c r="I594" s="170" t="n">
        <v>1959.3949</v>
      </c>
      <c r="J594" s="59">
        <f>Tabela10[[#This Row],[ERP]]/Tabela10[[#This Row],[M² Da chapa]]</f>
        <v/>
      </c>
      <c r="K594" s="170">
        <f>Tabela10[[#This Row],[M² CHAPAS]]-Tabela10[[#This Row],[ERP]]</f>
        <v/>
      </c>
      <c r="L594" s="170">
        <f>Tabela10[[#This Row],[DIFERENÇA M²]]/Tabela10[[#This Row],[M² Da chapa]]</f>
        <v/>
      </c>
    </row>
    <row r="595">
      <c r="A595" s="6" t="n">
        <v>46105</v>
      </c>
      <c r="B595" s="8" t="inlineStr">
        <is>
          <t>N26022</t>
        </is>
      </c>
      <c r="C595" s="168">
        <f>VLOOKUP(LEFT(B595,1),Tabela5[],2,0)</f>
        <v/>
      </c>
      <c r="D595" s="57" t="inlineStr">
        <is>
          <t>MDF - 15MM</t>
        </is>
      </c>
      <c r="E595" s="169">
        <f>VLOOKUP(Tabela10[[#This Row],[Tipo de Chapa]],Tabela11[],2,FALSE)</f>
        <v/>
      </c>
      <c r="F595" s="151" t="n">
        <v>1126</v>
      </c>
      <c r="G595" s="152" t="n">
        <v>0.0646</v>
      </c>
      <c r="H595" s="170">
        <f>Tabela10[[#This Row],[M² Da chapa]]*Tabela10[[#This Row],[Qtde Chapas
Liberadas]]</f>
        <v/>
      </c>
      <c r="I595" s="170" t="n">
        <v>7220.249</v>
      </c>
      <c r="J595" s="59">
        <f>Tabela10[[#This Row],[ERP]]/Tabela10[[#This Row],[M² Da chapa]]</f>
        <v/>
      </c>
      <c r="K595" s="170">
        <f>Tabela10[[#This Row],[M² CHAPAS]]-Tabela10[[#This Row],[ERP]]</f>
        <v/>
      </c>
      <c r="L595" s="170">
        <f>Tabela10[[#This Row],[DIFERENÇA M²]]/Tabela10[[#This Row],[M² Da chapa]]</f>
        <v/>
      </c>
    </row>
    <row r="596">
      <c r="A596" s="6" t="n">
        <v>46105</v>
      </c>
      <c r="B596" s="8" t="inlineStr">
        <is>
          <t>N26022</t>
        </is>
      </c>
      <c r="C596" s="168">
        <f>VLOOKUP(LEFT(B596,1),Tabela5[],2,0)</f>
        <v/>
      </c>
      <c r="D596" s="57" t="inlineStr">
        <is>
          <t>MDF - 9MM</t>
        </is>
      </c>
      <c r="E596" s="169">
        <f>VLOOKUP(Tabela10[[#This Row],[Tipo de Chapa]],Tabela11[],2,FALSE)</f>
        <v/>
      </c>
      <c r="F596" s="151" t="n">
        <v>19</v>
      </c>
      <c r="G596" s="152" t="n">
        <v>0.0423</v>
      </c>
      <c r="H596" s="170">
        <f>Tabela10[[#This Row],[M² Da chapa]]*Tabela10[[#This Row],[Qtde Chapas
Liberadas]]</f>
        <v/>
      </c>
      <c r="I596" s="170" t="inlineStr">
        <is>
          <t>-</t>
        </is>
      </c>
      <c r="J596" s="59" t="inlineStr">
        <is>
          <t>-</t>
        </is>
      </c>
      <c r="K596" s="170" t="inlineStr">
        <is>
          <t>-</t>
        </is>
      </c>
      <c r="L596" s="170" t="inlineStr">
        <is>
          <t>-</t>
        </is>
      </c>
    </row>
    <row r="597">
      <c r="A597" s="6" t="n">
        <v>46198</v>
      </c>
      <c r="B597" s="8" t="inlineStr">
        <is>
          <t>N26024</t>
        </is>
      </c>
      <c r="C597" s="168">
        <f>VLOOKUP(LEFT(B597,1),Tabela5[],2,0)</f>
        <v/>
      </c>
      <c r="D597" s="57" t="inlineStr">
        <is>
          <t>MDF - 15MM</t>
        </is>
      </c>
      <c r="E597" s="169">
        <f>VLOOKUP(Tabela10[[#This Row],[Tipo de Chapa]],Tabela11[],2,FALSE)</f>
        <v/>
      </c>
      <c r="F597" s="151">
        <f>967+160</f>
        <v/>
      </c>
      <c r="G597" s="152" t="n">
        <v>0.0517</v>
      </c>
      <c r="H597" s="170">
        <f>Tabela10[[#This Row],[M² Da chapa]]*Tabela10[[#This Row],[Qtde Chapas
Liberadas]]</f>
        <v/>
      </c>
      <c r="I597" s="170" t="n">
        <v>8331.978499999999</v>
      </c>
      <c r="J597" s="59">
        <f>Tabela10[[#This Row],[ERP]]/Tabela10[[#This Row],[M² Da chapa]]</f>
        <v/>
      </c>
      <c r="K597" s="170">
        <f>Tabela10[[#This Row],[M² CHAPAS]]-Tabela10[[#This Row],[ERP]]</f>
        <v/>
      </c>
      <c r="L597" s="170">
        <f>Tabela10[[#This Row],[DIFERENÇA M²]]/Tabela10[[#This Row],[M² Da chapa]]</f>
        <v/>
      </c>
    </row>
    <row r="598">
      <c r="A598" s="6" t="n">
        <v>46111</v>
      </c>
      <c r="B598" s="8" t="inlineStr">
        <is>
          <t>N26024</t>
        </is>
      </c>
      <c r="C598" s="168">
        <f>VLOOKUP(LEFT(B598,1),Tabela5[],2,0)</f>
        <v/>
      </c>
      <c r="D598" s="57" t="inlineStr">
        <is>
          <t>MDF - 25MM 2750x2100</t>
        </is>
      </c>
      <c r="E598" s="169">
        <f>VLOOKUP(Tabela10[[#This Row],[Tipo de Chapa]],Tabela11[],2,FALSE)</f>
        <v/>
      </c>
      <c r="F598" s="151" t="n">
        <v>50</v>
      </c>
      <c r="G598" s="152" t="n">
        <v>0.0372</v>
      </c>
      <c r="H598" s="170">
        <f>Tabela10[[#This Row],[M² Da chapa]]*Tabela10[[#This Row],[Qtde Chapas
Liberadas]]</f>
        <v/>
      </c>
      <c r="J598" s="59">
        <f>Tabela10[[#This Row],[ERP]]/Tabela10[[#This Row],[M² Da chapa]]</f>
        <v/>
      </c>
      <c r="K598" s="170">
        <f>Tabela10[[#This Row],[M² CHAPAS]]-Tabela10[[#This Row],[ERP]]</f>
        <v/>
      </c>
      <c r="L598" s="170">
        <f>Tabela10[[#This Row],[DIFERENÇA M²]]/Tabela10[[#This Row],[M² Da chapa]]</f>
        <v/>
      </c>
    </row>
    <row r="599">
      <c r="A599" s="6" t="n">
        <v>46106</v>
      </c>
      <c r="B599" s="8" t="inlineStr">
        <is>
          <t>N26023</t>
        </is>
      </c>
      <c r="C599" s="168">
        <f>VLOOKUP(LEFT(B599,1),Tabela5[],2,0)</f>
        <v/>
      </c>
      <c r="D599" s="57" t="inlineStr">
        <is>
          <t>MDF - 15MM</t>
        </is>
      </c>
      <c r="E599" s="169">
        <f>VLOOKUP(Tabela10[[#This Row],[Tipo de Chapa]],Tabela11[],2,FALSE)</f>
        <v/>
      </c>
      <c r="F599" s="151" t="n">
        <v>545</v>
      </c>
      <c r="G599" s="152" t="n">
        <v>0.0506</v>
      </c>
      <c r="H599" s="170">
        <f>Tabela10[[#This Row],[M² Da chapa]]*Tabela10[[#This Row],[Qtde Chapas
Liberadas]]</f>
        <v/>
      </c>
      <c r="I599" s="170" t="n">
        <v>2602.6381</v>
      </c>
      <c r="J599" s="59">
        <f>Tabela10[[#This Row],[ERP]]/Tabela10[[#This Row],[M² Da chapa]]</f>
        <v/>
      </c>
      <c r="K599" s="170">
        <f>Tabela10[[#This Row],[M² CHAPAS]]-Tabela10[[#This Row],[ERP]]</f>
        <v/>
      </c>
      <c r="L599" s="170">
        <f>Tabela10[[#This Row],[DIFERENÇA M²]]/Tabela10[[#This Row],[M² Da chapa]]</f>
        <v/>
      </c>
    </row>
    <row r="600">
      <c r="A600" s="6" t="n">
        <v>46107</v>
      </c>
      <c r="B600" s="8" t="inlineStr">
        <is>
          <t>N26023</t>
        </is>
      </c>
      <c r="C600" s="168">
        <f>VLOOKUP(LEFT(B600,1),Tabela5[],2,0)</f>
        <v/>
      </c>
      <c r="D600" s="57" t="inlineStr">
        <is>
          <t>MDF - 25MM 2750x2100</t>
        </is>
      </c>
      <c r="E600" s="169">
        <f>VLOOKUP(Tabela10[[#This Row],[Tipo de Chapa]],Tabela11[],2,FALSE)</f>
        <v/>
      </c>
      <c r="F600" s="151" t="n">
        <v>50</v>
      </c>
      <c r="G600" s="152" t="n">
        <v>0.0372</v>
      </c>
      <c r="H600" s="170">
        <f>Tabela10[[#This Row],[M² Da chapa]]*Tabela10[[#This Row],[Qtde Chapas
Liberadas]]</f>
        <v/>
      </c>
      <c r="J600" s="59">
        <f>Tabela10[[#This Row],[ERP]]/Tabela10[[#This Row],[M² Da chapa]]</f>
        <v/>
      </c>
      <c r="K600" s="170">
        <f>Tabela10[[#This Row],[M² CHAPAS]]-Tabela10[[#This Row],[ERP]]</f>
        <v/>
      </c>
      <c r="L600" s="170">
        <f>Tabela10[[#This Row],[DIFERENÇA M²]]/Tabela10[[#This Row],[M² Da chapa]]</f>
        <v/>
      </c>
    </row>
    <row r="601">
      <c r="A601" s="6" t="n">
        <v>46107</v>
      </c>
      <c r="B601" s="8" t="inlineStr">
        <is>
          <t>N26023</t>
        </is>
      </c>
      <c r="C601" s="168">
        <f>VLOOKUP(LEFT(B601,1),Tabela5[],2,0)</f>
        <v/>
      </c>
      <c r="D601" s="57" t="inlineStr">
        <is>
          <t>MDF - 25MM 2750x2100</t>
        </is>
      </c>
      <c r="E601" s="169">
        <f>VLOOKUP(Tabela10[[#This Row],[Tipo de Chapa]],Tabela11[],2,FALSE)</f>
        <v/>
      </c>
      <c r="F601" s="151" t="n">
        <v>100</v>
      </c>
      <c r="G601" s="152" t="n">
        <v>0.0182</v>
      </c>
      <c r="H601" s="170">
        <f>Tabela10[[#This Row],[M² Da chapa]]*Tabela10[[#This Row],[Qtde Chapas
Liberadas]]</f>
        <v/>
      </c>
      <c r="J601" s="59">
        <f>Tabela10[[#This Row],[ERP]]/Tabela10[[#This Row],[M² Da chapa]]</f>
        <v/>
      </c>
      <c r="K601" s="170">
        <f>Tabela10[[#This Row],[M² CHAPAS]]-Tabela10[[#This Row],[ERP]]</f>
        <v/>
      </c>
      <c r="L601" s="170">
        <f>Tabela10[[#This Row],[DIFERENÇA M²]]/Tabela10[[#This Row],[M² Da chapa]]</f>
        <v/>
      </c>
    </row>
    <row r="602">
      <c r="A602" s="6" t="n">
        <v>46111</v>
      </c>
      <c r="B602" s="8" t="inlineStr">
        <is>
          <t>N26024</t>
        </is>
      </c>
      <c r="C602" s="168">
        <f>VLOOKUP(LEFT(B602,1),Tabela5[],2,0)</f>
        <v/>
      </c>
      <c r="D602" s="57" t="inlineStr">
        <is>
          <t>MDF - 25MM 2750x2200</t>
        </is>
      </c>
      <c r="E602" s="169">
        <f>VLOOKUP(Tabela10[[#This Row],[Tipo de Chapa]],Tabela11[],2,FALSE)</f>
        <v/>
      </c>
      <c r="F602" s="151" t="n">
        <v>16</v>
      </c>
      <c r="G602" s="152" t="n">
        <v>0.0182</v>
      </c>
      <c r="H602" s="170">
        <f>Tabela10[[#This Row],[M² Da chapa]]*Tabela10[[#This Row],[Qtde Chapas
Liberadas]]</f>
        <v/>
      </c>
      <c r="J602" s="59">
        <f>Tabela10[[#This Row],[ERP]]/Tabela10[[#This Row],[M² Da chapa]]</f>
        <v/>
      </c>
      <c r="K602" s="170">
        <f>Tabela10[[#This Row],[M² CHAPAS]]-Tabela10[[#This Row],[ERP]]</f>
        <v/>
      </c>
      <c r="L602" s="170">
        <f>Tabela10[[#This Row],[DIFERENÇA M²]]/Tabela10[[#This Row],[M² Da chapa]]</f>
        <v/>
      </c>
    </row>
    <row r="603">
      <c r="A603" s="6" t="n">
        <v>46107</v>
      </c>
      <c r="B603" s="8" t="inlineStr">
        <is>
          <t>N26026</t>
        </is>
      </c>
      <c r="C603" s="168">
        <f>VLOOKUP(LEFT(B603,1),Tabela5[],2,0)</f>
        <v/>
      </c>
      <c r="D603" s="57" t="inlineStr">
        <is>
          <t>EUCADUR NT - 2,5MM</t>
        </is>
      </c>
      <c r="E603" s="169">
        <f>VLOOKUP(Tabela10[[#This Row],[Tipo de Chapa]],Tabela11[],2,FALSE)</f>
        <v/>
      </c>
      <c r="F603" s="151" t="n">
        <v>572</v>
      </c>
      <c r="G603" s="152" t="n">
        <v>0.067</v>
      </c>
      <c r="H603" s="170">
        <f>Tabela10[[#This Row],[M² Da chapa]]*Tabela10[[#This Row],[Qtde Chapas
Liberadas]]</f>
        <v/>
      </c>
      <c r="I603" s="170" t="n">
        <v>3330.5283</v>
      </c>
      <c r="J603" s="59">
        <f>Tabela10[[#This Row],[ERP]]/Tabela10[[#This Row],[M² Da chapa]]</f>
        <v/>
      </c>
      <c r="K603" s="170">
        <f>Tabela10[[#This Row],[M² CHAPAS]]-Tabela10[[#This Row],[ERP]]</f>
        <v/>
      </c>
      <c r="L603" s="170">
        <f>Tabela10[[#This Row],[DIFERENÇA M²]]/Tabela10[[#This Row],[M² Da chapa]]</f>
        <v/>
      </c>
    </row>
    <row r="604">
      <c r="A604" s="6" t="n">
        <v>46108</v>
      </c>
      <c r="B604" s="8" t="inlineStr">
        <is>
          <t>N26026</t>
        </is>
      </c>
      <c r="C604" s="168">
        <f>VLOOKUP(LEFT(B604,1),Tabela5[],2,0)</f>
        <v/>
      </c>
      <c r="D604" s="57" t="inlineStr">
        <is>
          <t>EUCADUR FRJ - 2,5MM</t>
        </is>
      </c>
      <c r="E604" s="151">
        <f>VLOOKUP(Tabela10[[#This Row],[Tipo de Chapa]],Tabela11[],2,FALSE)</f>
        <v/>
      </c>
      <c r="F604" s="151" t="n">
        <v>4</v>
      </c>
      <c r="G604" s="152" t="n">
        <v>0.0625</v>
      </c>
      <c r="H604" s="170">
        <f>Tabela10[[#This Row],[M² Da chapa]]*Tabela10[[#This Row],[Qtde Chapas
Liberadas]]</f>
        <v/>
      </c>
      <c r="I604" s="59" t="n">
        <v>74.371</v>
      </c>
      <c r="J604" s="134">
        <f>Tabela10[[#This Row],[ERP]]/Tabela10[[#This Row],[M² Da chapa]]</f>
        <v/>
      </c>
      <c r="K604" s="170">
        <f>Tabela10[[#This Row],[M² CHAPAS]]-Tabela10[[#This Row],[ERP]]</f>
        <v/>
      </c>
      <c r="L604" s="42">
        <f>Tabela10[[#This Row],[DIFERENÇA M²]]/Tabela10[[#This Row],[M² Da chapa]]</f>
        <v/>
      </c>
    </row>
    <row r="605" hidden="1">
      <c r="A605" s="6" t="n">
        <v>46108</v>
      </c>
      <c r="B605" s="8" t="inlineStr">
        <is>
          <t>I26011</t>
        </is>
      </c>
      <c r="C605" s="168">
        <f>VLOOKUP(LEFT(B605,1),Tabela5[],2,0)</f>
        <v/>
      </c>
      <c r="D605" s="57" t="inlineStr">
        <is>
          <t>MDF - 15MM</t>
        </is>
      </c>
      <c r="E605" s="169">
        <f>VLOOKUP(Tabela10[[#This Row],[Tipo de Chapa]],Tabela11[],2,FALSE)</f>
        <v/>
      </c>
      <c r="F605" s="151" t="n">
        <v>1296</v>
      </c>
      <c r="G605" s="152" t="n">
        <v>0.0619</v>
      </c>
      <c r="H605" s="170">
        <f>Tabela10[[#This Row],[M² Da chapa]]*Tabela10[[#This Row],[Qtde Chapas
Liberadas]]</f>
        <v/>
      </c>
      <c r="I605" s="170" t="n">
        <v>7718.4721</v>
      </c>
      <c r="J605" s="59">
        <f>Tabela10[[#This Row],[ERP]]/Tabela10[[#This Row],[M² Da chapa]]</f>
        <v/>
      </c>
      <c r="K605" s="170">
        <f>Tabela10[[#This Row],[M² CHAPAS]]-Tabela10[[#This Row],[ERP]]</f>
        <v/>
      </c>
      <c r="L605" s="170">
        <f>Tabela10[[#This Row],[DIFERENÇA M²]]/Tabela10[[#This Row],[M² Da chapa]]</f>
        <v/>
      </c>
    </row>
    <row r="606" hidden="1">
      <c r="A606" s="6" t="n">
        <v>46108</v>
      </c>
      <c r="B606" s="8" t="inlineStr">
        <is>
          <t>I26011</t>
        </is>
      </c>
      <c r="C606" s="168">
        <f>VLOOKUP(LEFT(B606,1),Tabela5[],2,0)</f>
        <v/>
      </c>
      <c r="D606" s="57" t="inlineStr">
        <is>
          <t>MDF - 9MM</t>
        </is>
      </c>
      <c r="E606" s="169">
        <f>VLOOKUP(Tabela10[[#This Row],[Tipo de Chapa]],Tabela11[],2,FALSE)</f>
        <v/>
      </c>
      <c r="F606" s="151" t="n">
        <v>35</v>
      </c>
      <c r="G606" s="152" t="n">
        <v>0.0477</v>
      </c>
      <c r="H606" s="170">
        <f>Tabela10[[#This Row],[M² Da chapa]]*Tabela10[[#This Row],[Qtde Chapas
Liberadas]]</f>
        <v/>
      </c>
      <c r="I606" s="170" t="n">
        <v>499.8</v>
      </c>
      <c r="J606" s="59">
        <f>Tabela10[[#This Row],[ERP]]/Tabela10[[#This Row],[M² Da chapa]]</f>
        <v/>
      </c>
      <c r="K606" s="170">
        <f>Tabela10[[#This Row],[M² CHAPAS]]-Tabela10[[#This Row],[ERP]]</f>
        <v/>
      </c>
      <c r="L606" s="170">
        <f>Tabela10[[#This Row],[DIFERENÇA M²]]/Tabela10[[#This Row],[M² Da chapa]]</f>
        <v/>
      </c>
    </row>
    <row r="607" hidden="1">
      <c r="A607" s="6" t="n">
        <v>46108</v>
      </c>
      <c r="B607" s="8" t="inlineStr">
        <is>
          <t>I26011</t>
        </is>
      </c>
      <c r="C607" s="168">
        <f>VLOOKUP(LEFT(B607,1),Tabela5[],2,0)</f>
        <v/>
      </c>
      <c r="D607" s="57" t="inlineStr">
        <is>
          <t>EUCADUR NT - 2,5MM</t>
        </is>
      </c>
      <c r="E607" s="169">
        <f>VLOOKUP(Tabela10[[#This Row],[Tipo de Chapa]],Tabela11[],2,FALSE)</f>
        <v/>
      </c>
      <c r="F607" s="151" t="n">
        <v>473</v>
      </c>
      <c r="G607" s="152" t="n">
        <v>0.057</v>
      </c>
      <c r="H607" s="170">
        <f>Tabela10[[#This Row],[M² Da chapa]]*Tabela10[[#This Row],[Qtde Chapas
Liberadas]]</f>
        <v/>
      </c>
      <c r="I607" s="170" t="n">
        <v>2862.2646</v>
      </c>
      <c r="J607" s="59">
        <f>Tabela10[[#This Row],[ERP]]/Tabela10[[#This Row],[M² Da chapa]]</f>
        <v/>
      </c>
      <c r="K607" s="170">
        <f>Tabela10[[#This Row],[M² CHAPAS]]-Tabela10[[#This Row],[ERP]]</f>
        <v/>
      </c>
      <c r="L607" s="170">
        <f>Tabela10[[#This Row],[DIFERENÇA M²]]/Tabela10[[#This Row],[M² Da chapa]]</f>
        <v/>
      </c>
    </row>
    <row r="608" hidden="1">
      <c r="A608" s="6" t="n">
        <v>46108</v>
      </c>
      <c r="B608" s="8" t="inlineStr">
        <is>
          <t>I26011</t>
        </is>
      </c>
      <c r="C608" s="168">
        <f>VLOOKUP(LEFT(B608,1),Tabela5[],2,0)</f>
        <v/>
      </c>
      <c r="D608" s="57" t="inlineStr">
        <is>
          <t>EUCADUR FRJ - 2,5MM</t>
        </is>
      </c>
      <c r="E608" s="169">
        <f>VLOOKUP(Tabela10[[#This Row],[Tipo de Chapa]],Tabela11[],2,FALSE)</f>
        <v/>
      </c>
      <c r="F608" s="151" t="n">
        <v>60</v>
      </c>
      <c r="G608" s="152" t="n">
        <v>0.0329</v>
      </c>
      <c r="H608" s="170">
        <f>Tabela10[[#This Row],[M² Da chapa]]*Tabela10[[#This Row],[Qtde Chapas
Liberadas]]</f>
        <v/>
      </c>
      <c r="I608" s="170" t="n">
        <v>279.8613</v>
      </c>
      <c r="J608" s="59">
        <f>Tabela10[[#This Row],[ERP]]/Tabela10[[#This Row],[M² Da chapa]]</f>
        <v/>
      </c>
      <c r="K608" s="170">
        <f>Tabela10[[#This Row],[M² CHAPAS]]-Tabela10[[#This Row],[ERP]]</f>
        <v/>
      </c>
      <c r="L608" s="170">
        <f>Tabela10[[#This Row],[DIFERENÇA M²]]/Tabela10[[#This Row],[M² Da chapa]]</f>
        <v/>
      </c>
    </row>
    <row r="609" hidden="1">
      <c r="A609" s="6" t="n">
        <v>46108</v>
      </c>
      <c r="B609" s="8" t="inlineStr">
        <is>
          <t>M26014</t>
        </is>
      </c>
      <c r="C609" s="168">
        <f>VLOOKUP(LEFT(B609,1),Tabela5[],2,0)</f>
        <v/>
      </c>
      <c r="D609" s="57" t="inlineStr">
        <is>
          <t>MDF - 15MM</t>
        </is>
      </c>
      <c r="E609" s="169">
        <f>VLOOKUP(Tabela10[[#This Row],[Tipo de Chapa]],Tabela11[],2,FALSE)</f>
        <v/>
      </c>
      <c r="F609" s="151" t="n">
        <v>1494</v>
      </c>
      <c r="G609" s="152" t="n">
        <v>0.0564</v>
      </c>
      <c r="H609" s="170">
        <f>Tabela10[[#This Row],[M² Da chapa]]*Tabela10[[#This Row],[Qtde Chapas
Liberadas]]</f>
        <v/>
      </c>
      <c r="I609" s="170" t="n">
        <v>9079.6896</v>
      </c>
      <c r="J609" s="59">
        <f>Tabela10[[#This Row],[ERP]]/Tabela10[[#This Row],[M² Da chapa]]</f>
        <v/>
      </c>
      <c r="K609" s="170">
        <f>Tabela10[[#This Row],[M² CHAPAS]]-Tabela10[[#This Row],[ERP]]</f>
        <v/>
      </c>
      <c r="L609" s="170">
        <f>Tabela10[[#This Row],[DIFERENÇA M²]]/Tabela10[[#This Row],[M² Da chapa]]</f>
        <v/>
      </c>
    </row>
    <row r="610">
      <c r="A610" s="6" t="n">
        <v>46105</v>
      </c>
      <c r="B610" s="8" t="inlineStr">
        <is>
          <t>N26024</t>
        </is>
      </c>
      <c r="C610" s="168">
        <f>VLOOKUP(LEFT(B610,1),Tabela5[],2,0)</f>
        <v/>
      </c>
      <c r="D610" s="57" t="inlineStr">
        <is>
          <t>MDF - 9MM</t>
        </is>
      </c>
      <c r="E610" s="169">
        <f>VLOOKUP(Tabela10[[#This Row],[Tipo de Chapa]],Tabela11[],2,FALSE)</f>
        <v/>
      </c>
      <c r="F610" s="151" t="n">
        <v>3</v>
      </c>
      <c r="G610" s="152" t="n">
        <v>0.0827</v>
      </c>
      <c r="H610" s="170">
        <f>Tabela10[[#This Row],[M² Da chapa]]*Tabela10[[#This Row],[Qtde Chapas
Liberadas]]</f>
        <v/>
      </c>
      <c r="I610" s="170" t="inlineStr">
        <is>
          <t>-</t>
        </is>
      </c>
      <c r="J610" s="59" t="inlineStr">
        <is>
          <t>-</t>
        </is>
      </c>
      <c r="K610" s="170" t="inlineStr">
        <is>
          <t>-</t>
        </is>
      </c>
      <c r="L610" s="170" t="inlineStr">
        <is>
          <t>-</t>
        </is>
      </c>
    </row>
    <row r="611">
      <c r="A611" s="6" t="n">
        <v>46105</v>
      </c>
      <c r="B611" s="8" t="inlineStr">
        <is>
          <t>N26024</t>
        </is>
      </c>
      <c r="C611" s="168">
        <f>VLOOKUP(LEFT(B611,1),Tabela5[],2,0)</f>
        <v/>
      </c>
      <c r="D611" s="57" t="inlineStr">
        <is>
          <t>TIRA 9MM - 1850X165X9</t>
        </is>
      </c>
      <c r="E611" s="169">
        <f>VLOOKUP(Tabela10[[#This Row],[Tipo de Chapa]],Tabela11[],2,FALSE)</f>
        <v/>
      </c>
      <c r="F611" s="151" t="n">
        <v>562</v>
      </c>
      <c r="G611" s="152" t="n">
        <v>0.0335</v>
      </c>
      <c r="H611" s="170">
        <f>Tabela10[[#This Row],[M² Da chapa]]*Tabela10[[#This Row],[Qtde Chapas
Liberadas]]</f>
        <v/>
      </c>
      <c r="I611" s="170" t="inlineStr">
        <is>
          <t>-</t>
        </is>
      </c>
      <c r="J611" s="170" t="inlineStr">
        <is>
          <t>-</t>
        </is>
      </c>
      <c r="K611" s="170" t="inlineStr">
        <is>
          <t>-</t>
        </is>
      </c>
      <c r="L611" s="170" t="inlineStr">
        <is>
          <t>-</t>
        </is>
      </c>
    </row>
    <row r="612">
      <c r="A612" s="6" t="n">
        <v>46111</v>
      </c>
      <c r="B612" s="8" t="inlineStr">
        <is>
          <t>N26024</t>
        </is>
      </c>
      <c r="C612" s="168">
        <f>VLOOKUP(LEFT(B612,1),Tabela5[],2,0)</f>
        <v/>
      </c>
      <c r="D612" s="57" t="inlineStr">
        <is>
          <t>TIRA 9MM - 1850X165X9</t>
        </is>
      </c>
      <c r="E612" s="169">
        <f>VLOOKUP(Tabela10[[#This Row],[Tipo de Chapa]],Tabela11[],2,FALSE)</f>
        <v/>
      </c>
      <c r="F612" s="151" t="n">
        <v>300</v>
      </c>
      <c r="G612" s="152" t="n">
        <v>0.09669999999999999</v>
      </c>
      <c r="H612" s="170" t="n">
        <v>29.7</v>
      </c>
      <c r="J612" s="59">
        <f>Tabela10[[#This Row],[ERP]]/Tabela10[[#This Row],[M² Da chapa]]</f>
        <v/>
      </c>
      <c r="K612" s="170">
        <f>Tabela10[[#This Row],[M² CHAPAS]]-Tabela10[[#This Row],[ERP]]</f>
        <v/>
      </c>
      <c r="L612" s="170">
        <f>Tabela10[[#This Row],[DIFERENÇA M²]]/Tabela10[[#This Row],[M² Da chapa]]</f>
        <v/>
      </c>
    </row>
    <row r="613">
      <c r="A613" s="6" t="n">
        <v>46113</v>
      </c>
      <c r="B613" s="8" t="inlineStr">
        <is>
          <t>N26027</t>
        </is>
      </c>
      <c r="C613" s="168">
        <f>VLOOKUP(LEFT(B613,1),Tabela5[],2,0)</f>
        <v/>
      </c>
      <c r="D613" s="57" t="inlineStr">
        <is>
          <t>SOBRAS MDF - PORTAS DE VIDRO</t>
        </is>
      </c>
      <c r="E613" s="169">
        <f>VLOOKUP(Tabela10[[#This Row],[Tipo de Chapa]],Tabela11[],2,FALSE)</f>
        <v/>
      </c>
      <c r="F613" s="151" t="inlineStr">
        <is>
          <t>-</t>
        </is>
      </c>
      <c r="G613" s="152" t="n">
        <v>0.1628</v>
      </c>
      <c r="H613" s="170" t="n">
        <v>69.66</v>
      </c>
      <c r="I613" s="170" t="inlineStr">
        <is>
          <t>-</t>
        </is>
      </c>
      <c r="J613" s="170" t="inlineStr">
        <is>
          <t>-</t>
        </is>
      </c>
      <c r="K613" s="170" t="inlineStr">
        <is>
          <t>-</t>
        </is>
      </c>
      <c r="L613" s="170" t="inlineStr">
        <is>
          <t>-</t>
        </is>
      </c>
    </row>
    <row r="614">
      <c r="A614" s="6" t="n">
        <v>46112</v>
      </c>
      <c r="B614" s="8" t="inlineStr">
        <is>
          <t>N2602501</t>
        </is>
      </c>
      <c r="C614" s="168">
        <f>VLOOKUP(LEFT(B614,1),Tabela5[],2,0)</f>
        <v/>
      </c>
      <c r="D614" s="57" t="inlineStr">
        <is>
          <t>MDF - 9MM</t>
        </is>
      </c>
      <c r="E614" s="169">
        <f>VLOOKUP(Tabela10[[#This Row],[Tipo de Chapa]],Tabela11[],2,FALSE)</f>
        <v/>
      </c>
      <c r="F614" s="151" t="n">
        <v>86</v>
      </c>
      <c r="G614" s="152" t="n">
        <v>0.0634</v>
      </c>
      <c r="H614" s="170">
        <f>Tabela10[[#This Row],[M² Da chapa]]*Tabela10[[#This Row],[Qtde Chapas
Liberadas]]</f>
        <v/>
      </c>
      <c r="I614" s="170" t="inlineStr">
        <is>
          <t>-</t>
        </is>
      </c>
      <c r="J614" s="170" t="inlineStr">
        <is>
          <t>-</t>
        </is>
      </c>
      <c r="K614" s="170" t="inlineStr">
        <is>
          <t>-</t>
        </is>
      </c>
      <c r="L614" s="170" t="inlineStr">
        <is>
          <t>-</t>
        </is>
      </c>
    </row>
    <row r="615">
      <c r="A615" s="6" t="n">
        <v>46112</v>
      </c>
      <c r="B615" s="8" t="inlineStr">
        <is>
          <t>N26025</t>
        </is>
      </c>
      <c r="C615" s="168">
        <f>VLOOKUP(LEFT(B615,1),Tabela5[],2,0)</f>
        <v/>
      </c>
      <c r="D615" s="57" t="inlineStr">
        <is>
          <t>MDF - 15MM</t>
        </is>
      </c>
      <c r="E615" s="169">
        <f>VLOOKUP(Tabela10[[#This Row],[Tipo de Chapa]],Tabela11[],2,FALSE)</f>
        <v/>
      </c>
      <c r="F615" s="151" t="n">
        <v>748</v>
      </c>
      <c r="G615" s="152" t="n">
        <v>0.0518</v>
      </c>
      <c r="H615" s="170">
        <f>Tabela10[[#This Row],[M² Da chapa]]*Tabela10[[#This Row],[Qtde Chapas
Liberadas]]</f>
        <v/>
      </c>
      <c r="I615" s="170" t="n">
        <v>4923.464</v>
      </c>
      <c r="J615" s="59">
        <f>Tabela10[[#This Row],[ERP]]/Tabela10[[#This Row],[M² Da chapa]]</f>
        <v/>
      </c>
      <c r="K615" s="170">
        <f>Tabela10[[#This Row],[M² CHAPAS]]-Tabela10[[#This Row],[ERP]]</f>
        <v/>
      </c>
      <c r="L615" s="170">
        <f>Tabela10[[#This Row],[DIFERENÇA M²]]/Tabela10[[#This Row],[M² Da chapa]]</f>
        <v/>
      </c>
    </row>
    <row r="616">
      <c r="A616" s="6" t="n">
        <v>46113</v>
      </c>
      <c r="B616" s="8" t="inlineStr">
        <is>
          <t>N26027</t>
        </is>
      </c>
      <c r="C616" s="168">
        <f>VLOOKUP(LEFT(B616,1),Tabela5[],2,0)</f>
        <v/>
      </c>
      <c r="D616" s="57" t="inlineStr">
        <is>
          <t>EUCADUR NT - 2,5MM</t>
        </is>
      </c>
      <c r="E616" s="169">
        <f>VLOOKUP(Tabela10[[#This Row],[Tipo de Chapa]],Tabela11[],2,FALSE)</f>
        <v/>
      </c>
      <c r="F616" s="151" t="n">
        <v>577</v>
      </c>
      <c r="G616" s="152" t="n">
        <v>0.0636</v>
      </c>
      <c r="H616" s="170">
        <f>Tabela10[[#This Row],[M² Da chapa]]*Tabela10[[#This Row],[Qtde Chapas
Liberadas]]</f>
        <v/>
      </c>
      <c r="I616" s="170" t="n">
        <v>4569.7604</v>
      </c>
      <c r="J616" s="59">
        <f>Tabela10[[#This Row],[ERP]]/Tabela10[[#This Row],[M² Da chapa]]</f>
        <v/>
      </c>
      <c r="K616" s="170">
        <f>Tabela10[[#This Row],[M² CHAPAS]]-Tabela10[[#This Row],[ERP]]</f>
        <v/>
      </c>
      <c r="L616" s="170">
        <f>Tabela10[[#This Row],[DIFERENÇA M²]]/Tabela10[[#This Row],[M² Da chapa]]</f>
        <v/>
      </c>
    </row>
    <row r="617">
      <c r="A617" s="6" t="n">
        <v>46113</v>
      </c>
      <c r="B617" s="8" t="inlineStr">
        <is>
          <t>N26027</t>
        </is>
      </c>
      <c r="C617" s="168">
        <f>VLOOKUP(LEFT(B617,1),Tabela5[],2,0)</f>
        <v/>
      </c>
      <c r="D617" s="57" t="inlineStr">
        <is>
          <t>EUCADUR BR - 2,5MM</t>
        </is>
      </c>
      <c r="E617" s="169">
        <f>VLOOKUP(Tabela10[[#This Row],[Tipo de Chapa]],Tabela11[],2,FALSE)</f>
        <v/>
      </c>
      <c r="F617" s="151" t="n">
        <v>105</v>
      </c>
      <c r="G617" s="152" t="n">
        <v>0.046</v>
      </c>
      <c r="H617" s="170">
        <f>Tabela10[[#This Row],[M² Da chapa]]*Tabela10[[#This Row],[Qtde Chapas
Liberadas]]</f>
        <v/>
      </c>
      <c r="I617" s="170" t="n">
        <v>607.4062</v>
      </c>
      <c r="J617" s="59">
        <f>Tabela10[[#This Row],[ERP]]/Tabela10[[#This Row],[M² Da chapa]]</f>
        <v/>
      </c>
      <c r="K617" s="170">
        <f>Tabela10[[#This Row],[M² CHAPAS]]-Tabela10[[#This Row],[ERP]]</f>
        <v/>
      </c>
      <c r="L617" s="170">
        <f>Tabela10[[#This Row],[DIFERENÇA M²]]/Tabela10[[#This Row],[M² Da chapa]]</f>
        <v/>
      </c>
    </row>
    <row r="618">
      <c r="A618" s="6" t="n">
        <v>46113</v>
      </c>
      <c r="B618" s="8" t="inlineStr">
        <is>
          <t>N26028</t>
        </is>
      </c>
      <c r="C618" s="168">
        <f>VLOOKUP(LEFT(B618,1),Tabela5[],2,0)</f>
        <v/>
      </c>
      <c r="D618" s="57" t="inlineStr">
        <is>
          <t>EUCADUR BR - 2,5MM</t>
        </is>
      </c>
      <c r="E618" s="169">
        <f>VLOOKUP(Tabela10[[#This Row],[Tipo de Chapa]],Tabela11[],2,FALSE)</f>
        <v/>
      </c>
      <c r="F618" s="151" t="n">
        <v>66</v>
      </c>
      <c r="G618" s="152" t="n">
        <v>0.09420000000000001</v>
      </c>
      <c r="H618" s="170">
        <f>Tabela10[[#This Row],[M² Da chapa]]*Tabela10[[#This Row],[Qtde Chapas
Liberadas]]</f>
        <v/>
      </c>
      <c r="I618" s="170" t="n">
        <v>437.0226</v>
      </c>
      <c r="J618" s="59">
        <f>Tabela10[[#This Row],[ERP]]/Tabela10[[#This Row],[M² Da chapa]]</f>
        <v/>
      </c>
      <c r="K618" s="170">
        <f>Tabela10[[#This Row],[M² CHAPAS]]-Tabela10[[#This Row],[ERP]]</f>
        <v/>
      </c>
      <c r="L618" s="170">
        <f>Tabela10[[#This Row],[DIFERENÇA M²]]/Tabela10[[#This Row],[M² Da chapa]]</f>
        <v/>
      </c>
    </row>
    <row r="619">
      <c r="A619" s="6" t="n">
        <v>46113</v>
      </c>
      <c r="B619" s="8" t="inlineStr">
        <is>
          <t>N26028</t>
        </is>
      </c>
      <c r="C619" s="168">
        <f>VLOOKUP(LEFT(B619,1),Tabela5[],2,0)</f>
        <v/>
      </c>
      <c r="D619" s="57" t="inlineStr">
        <is>
          <t>EUCADUR NT - 2,5MM</t>
        </is>
      </c>
      <c r="E619" s="169">
        <f>VLOOKUP(Tabela10[[#This Row],[Tipo de Chapa]],Tabela11[],2,FALSE)</f>
        <v/>
      </c>
      <c r="F619" s="151" t="n">
        <v>0</v>
      </c>
      <c r="G619" s="152" t="inlineStr">
        <is>
          <t>-</t>
        </is>
      </c>
      <c r="H619" s="170" t="n">
        <v>5.8575</v>
      </c>
      <c r="J619" s="59">
        <f>Tabela10[[#This Row],[ERP]]/Tabela10[[#This Row],[M² Da chapa]]</f>
        <v/>
      </c>
      <c r="K619" s="170">
        <f>Tabela10[[#This Row],[M² CHAPAS]]-Tabela10[[#This Row],[ERP]]</f>
        <v/>
      </c>
      <c r="L619" s="170">
        <f>Tabela10[[#This Row],[DIFERENÇA M²]]/Tabela10[[#This Row],[M² Da chapa]]</f>
        <v/>
      </c>
    </row>
    <row r="620" hidden="1">
      <c r="A620" s="6" t="n">
        <v>46113</v>
      </c>
      <c r="B620" s="8" t="inlineStr">
        <is>
          <t>V26054</t>
        </is>
      </c>
      <c r="C620" s="168">
        <f>VLOOKUP(LEFT(B620,1),Tabela5[],2,0)</f>
        <v/>
      </c>
      <c r="D620" s="57" t="inlineStr">
        <is>
          <t>MDF - 25MM 2750x2200</t>
        </is>
      </c>
      <c r="E620" s="169">
        <f>VLOOKUP(Tabela10[[#This Row],[Tipo de Chapa]],Tabela11[],2,FALSE)</f>
        <v/>
      </c>
      <c r="F620" s="151" t="n">
        <v>45</v>
      </c>
      <c r="G620" s="152" t="n">
        <v>0.0533</v>
      </c>
      <c r="H620" s="170">
        <f>Tabela10[[#This Row],[M² Da chapa]]*Tabela10[[#This Row],[Qtde Chapas
Liberadas]]</f>
        <v/>
      </c>
      <c r="J620" s="59">
        <f>Tabela10[[#This Row],[ERP]]/Tabela10[[#This Row],[M² Da chapa]]</f>
        <v/>
      </c>
      <c r="K620" s="170">
        <f>Tabela10[[#This Row],[M² CHAPAS]]-Tabela10[[#This Row],[ERP]]</f>
        <v/>
      </c>
      <c r="L620" s="170">
        <f>Tabela10[[#This Row],[DIFERENÇA M²]]/Tabela10[[#This Row],[M² Da chapa]]</f>
        <v/>
      </c>
    </row>
    <row r="621" hidden="1">
      <c r="A621" s="6" t="n">
        <v>46113</v>
      </c>
      <c r="B621" s="8" t="inlineStr">
        <is>
          <t>V26054</t>
        </is>
      </c>
      <c r="C621" s="168">
        <f>VLOOKUP(LEFT(B621,1),Tabela5[],2,0)</f>
        <v/>
      </c>
      <c r="D621" s="57" t="inlineStr">
        <is>
          <t>CAPA MDF - 15MM</t>
        </is>
      </c>
      <c r="E621" s="169">
        <f>VLOOKUP(Tabela10[[#This Row],[Tipo de Chapa]],Tabela11[],2,FALSE)</f>
        <v/>
      </c>
      <c r="F621" s="151" t="n">
        <v>16</v>
      </c>
      <c r="G621" s="152" t="n">
        <v>0.0665</v>
      </c>
      <c r="H621" s="170">
        <f>Tabela10[[#This Row],[M² Da chapa]]*Tabela10[[#This Row],[Qtde Chapas
Liberadas]]</f>
        <v/>
      </c>
      <c r="J621" s="59">
        <f>Tabela10[[#This Row],[ERP]]/Tabela10[[#This Row],[M² Da chapa]]</f>
        <v/>
      </c>
      <c r="K621" s="170">
        <f>Tabela10[[#This Row],[M² CHAPAS]]-Tabela10[[#This Row],[ERP]]</f>
        <v/>
      </c>
      <c r="L621" s="170">
        <f>Tabela10[[#This Row],[DIFERENÇA M²]]/Tabela10[[#This Row],[M² Da chapa]]</f>
        <v/>
      </c>
    </row>
    <row r="622" hidden="1">
      <c r="A622" s="6" t="n">
        <v>46113</v>
      </c>
      <c r="B622" s="8" t="inlineStr">
        <is>
          <t>V26054</t>
        </is>
      </c>
      <c r="C622" s="168">
        <f>VLOOKUP(LEFT(B622,1),Tabela5[],2,0)</f>
        <v/>
      </c>
      <c r="D622" s="57" t="inlineStr">
        <is>
          <t>CAPA DURATREE -2,5MM</t>
        </is>
      </c>
      <c r="E622" s="169">
        <f>VLOOKUP(Tabela10[[#This Row],[Tipo de Chapa]],Tabela11[],2,FALSE)</f>
        <v/>
      </c>
      <c r="F622" s="151" t="n">
        <v>10</v>
      </c>
      <c r="G622" s="152" t="n">
        <v>0.08699999999999999</v>
      </c>
      <c r="H622" s="170">
        <f>Tabela10[[#This Row],[M² Da chapa]]*Tabela10[[#This Row],[Qtde Chapas
Liberadas]]</f>
        <v/>
      </c>
      <c r="J622" s="59">
        <f>Tabela10[[#This Row],[ERP]]/Tabela10[[#This Row],[M² Da chapa]]</f>
        <v/>
      </c>
      <c r="K622" s="170">
        <f>Tabela10[[#This Row],[M² CHAPAS]]-Tabela10[[#This Row],[ERP]]</f>
        <v/>
      </c>
      <c r="L622" s="170">
        <f>Tabela10[[#This Row],[DIFERENÇA M²]]/Tabela10[[#This Row],[M² Da chapa]]</f>
        <v/>
      </c>
    </row>
    <row r="623" hidden="1">
      <c r="A623" s="6" t="n">
        <v>46113</v>
      </c>
      <c r="B623" s="8" t="inlineStr">
        <is>
          <t>V26055</t>
        </is>
      </c>
      <c r="C623" s="168">
        <f>VLOOKUP(LEFT(B623,1),Tabela5[],2,0)</f>
        <v/>
      </c>
      <c r="D623" s="57" t="inlineStr">
        <is>
          <t>MDF - 25MM 2750x2200</t>
        </is>
      </c>
      <c r="E623" s="169">
        <f>VLOOKUP(Tabela10[[#This Row],[Tipo de Chapa]],Tabela11[],2,FALSE)</f>
        <v/>
      </c>
      <c r="F623" s="151" t="n">
        <v>45</v>
      </c>
      <c r="G623" s="152" t="n">
        <v>0.0533</v>
      </c>
      <c r="H623" s="170">
        <f>Tabela10[[#This Row],[M² Da chapa]]*Tabela10[[#This Row],[Qtde Chapas
Liberadas]]</f>
        <v/>
      </c>
      <c r="J623" s="59">
        <f>Tabela10[[#This Row],[ERP]]/Tabela10[[#This Row],[M² Da chapa]]</f>
        <v/>
      </c>
      <c r="K623" s="170">
        <f>Tabela10[[#This Row],[M² CHAPAS]]-Tabela10[[#This Row],[ERP]]</f>
        <v/>
      </c>
      <c r="L623" s="170">
        <f>Tabela10[[#This Row],[DIFERENÇA M²]]/Tabela10[[#This Row],[M² Da chapa]]</f>
        <v/>
      </c>
    </row>
    <row r="624" hidden="1">
      <c r="A624" s="6" t="n">
        <v>46113</v>
      </c>
      <c r="B624" s="8" t="inlineStr">
        <is>
          <t>V26055</t>
        </is>
      </c>
      <c r="C624" s="168">
        <f>VLOOKUP(LEFT(B624,1),Tabela5[],2,0)</f>
        <v/>
      </c>
      <c r="D624" s="57" t="inlineStr">
        <is>
          <t>CAPA MDF - 15MM</t>
        </is>
      </c>
      <c r="E624" s="169">
        <f>VLOOKUP(Tabela10[[#This Row],[Tipo de Chapa]],Tabela11[],2,FALSE)</f>
        <v/>
      </c>
      <c r="F624" s="151" t="n">
        <v>16</v>
      </c>
      <c r="G624" s="152" t="n">
        <v>0.0665</v>
      </c>
      <c r="H624" s="170">
        <f>Tabela10[[#This Row],[M² Da chapa]]*Tabela10[[#This Row],[Qtde Chapas
Liberadas]]</f>
        <v/>
      </c>
      <c r="J624" s="59">
        <f>Tabela10[[#This Row],[ERP]]/Tabela10[[#This Row],[M² Da chapa]]</f>
        <v/>
      </c>
      <c r="K624" s="170">
        <f>Tabela10[[#This Row],[M² CHAPAS]]-Tabela10[[#This Row],[ERP]]</f>
        <v/>
      </c>
      <c r="L624" s="170">
        <f>Tabela10[[#This Row],[DIFERENÇA M²]]/Tabela10[[#This Row],[M² Da chapa]]</f>
        <v/>
      </c>
    </row>
    <row r="625" hidden="1">
      <c r="A625" s="6" t="n">
        <v>46113</v>
      </c>
      <c r="B625" s="8" t="inlineStr">
        <is>
          <t>V26055</t>
        </is>
      </c>
      <c r="C625" s="168">
        <f>VLOOKUP(LEFT(B625,1),Tabela5[],2,0)</f>
        <v/>
      </c>
      <c r="D625" s="57" t="inlineStr">
        <is>
          <t>CAPA DURATREE -2,5MM</t>
        </is>
      </c>
      <c r="E625" s="169">
        <f>VLOOKUP(Tabela10[[#This Row],[Tipo de Chapa]],Tabela11[],2,FALSE)</f>
        <v/>
      </c>
      <c r="F625" s="151" t="n">
        <v>10</v>
      </c>
      <c r="G625" s="152" t="n">
        <v>0.08699999999999999</v>
      </c>
      <c r="H625" s="170">
        <f>Tabela10[[#This Row],[M² Da chapa]]*Tabela10[[#This Row],[Qtde Chapas
Liberadas]]</f>
        <v/>
      </c>
      <c r="J625" s="59">
        <f>Tabela10[[#This Row],[ERP]]/Tabela10[[#This Row],[M² Da chapa]]</f>
        <v/>
      </c>
      <c r="K625" s="170">
        <f>Tabela10[[#This Row],[M² CHAPAS]]-Tabela10[[#This Row],[ERP]]</f>
        <v/>
      </c>
      <c r="L625" s="170">
        <f>Tabela10[[#This Row],[DIFERENÇA M²]]/Tabela10[[#This Row],[M² Da chapa]]</f>
        <v/>
      </c>
    </row>
    <row r="626" hidden="1">
      <c r="A626" s="6" t="n">
        <v>46113</v>
      </c>
      <c r="B626" s="8" t="inlineStr">
        <is>
          <t>V26056</t>
        </is>
      </c>
      <c r="C626" s="168">
        <f>VLOOKUP(LEFT(B626,1),Tabela5[],2,0)</f>
        <v/>
      </c>
      <c r="D626" s="57" t="inlineStr">
        <is>
          <t>MDF - 25MM 2750x2200</t>
        </is>
      </c>
      <c r="E626" s="169">
        <f>VLOOKUP(Tabela10[[#This Row],[Tipo de Chapa]],Tabela11[],2,FALSE)</f>
        <v/>
      </c>
      <c r="F626" s="151" t="n">
        <v>44</v>
      </c>
      <c r="G626" s="152" t="n">
        <v>0.0533</v>
      </c>
      <c r="H626" s="170">
        <f>Tabela10[[#This Row],[M² Da chapa]]*Tabela10[[#This Row],[Qtde Chapas
Liberadas]]</f>
        <v/>
      </c>
      <c r="J626" s="59">
        <f>Tabela10[[#This Row],[ERP]]/Tabela10[[#This Row],[M² Da chapa]]</f>
        <v/>
      </c>
      <c r="K626" s="170">
        <f>Tabela10[[#This Row],[M² CHAPAS]]-Tabela10[[#This Row],[ERP]]</f>
        <v/>
      </c>
      <c r="L626" s="170">
        <f>Tabela10[[#This Row],[DIFERENÇA M²]]/Tabela10[[#This Row],[M² Da chapa]]</f>
        <v/>
      </c>
    </row>
    <row r="627" hidden="1">
      <c r="A627" s="6" t="n">
        <v>46113</v>
      </c>
      <c r="B627" s="8" t="inlineStr">
        <is>
          <t>V26056</t>
        </is>
      </c>
      <c r="C627" s="168">
        <f>VLOOKUP(LEFT(B627,1),Tabela5[],2,0)</f>
        <v/>
      </c>
      <c r="D627" s="57" t="inlineStr">
        <is>
          <t>CAPA MDF - 15MM</t>
        </is>
      </c>
      <c r="E627" s="169">
        <f>VLOOKUP(Tabela10[[#This Row],[Tipo de Chapa]],Tabela11[],2,FALSE)</f>
        <v/>
      </c>
      <c r="F627" s="151" t="n">
        <v>16</v>
      </c>
      <c r="G627" s="152" t="n">
        <v>0.0665</v>
      </c>
      <c r="H627" s="170">
        <f>Tabela10[[#This Row],[M² Da chapa]]*Tabela10[[#This Row],[Qtde Chapas
Liberadas]]</f>
        <v/>
      </c>
      <c r="J627" s="59">
        <f>Tabela10[[#This Row],[ERP]]/Tabela10[[#This Row],[M² Da chapa]]</f>
        <v/>
      </c>
      <c r="K627" s="170">
        <f>Tabela10[[#This Row],[M² CHAPAS]]-Tabela10[[#This Row],[ERP]]</f>
        <v/>
      </c>
      <c r="L627" s="170">
        <f>Tabela10[[#This Row],[DIFERENÇA M²]]/Tabela10[[#This Row],[M² Da chapa]]</f>
        <v/>
      </c>
    </row>
    <row r="628" hidden="1">
      <c r="A628" s="6" t="n">
        <v>46113</v>
      </c>
      <c r="B628" s="8" t="inlineStr">
        <is>
          <t>V26056</t>
        </is>
      </c>
      <c r="C628" s="168">
        <f>VLOOKUP(LEFT(B628,1),Tabela5[],2,0)</f>
        <v/>
      </c>
      <c r="D628" s="57" t="inlineStr">
        <is>
          <t>CAPA DURATREE -2,5MM</t>
        </is>
      </c>
      <c r="E628" s="169">
        <f>VLOOKUP(Tabela10[[#This Row],[Tipo de Chapa]],Tabela11[],2,FALSE)</f>
        <v/>
      </c>
      <c r="F628" s="151" t="n">
        <v>10</v>
      </c>
      <c r="G628" s="152" t="n">
        <v>0.08699999999999999</v>
      </c>
      <c r="H628" s="170">
        <f>Tabela10[[#This Row],[M² Da chapa]]*Tabela10[[#This Row],[Qtde Chapas
Liberadas]]</f>
        <v/>
      </c>
      <c r="J628" s="59">
        <f>Tabela10[[#This Row],[ERP]]/Tabela10[[#This Row],[M² Da chapa]]</f>
        <v/>
      </c>
      <c r="K628" s="170">
        <f>Tabela10[[#This Row],[M² CHAPAS]]-Tabela10[[#This Row],[ERP]]</f>
        <v/>
      </c>
      <c r="L628" s="170">
        <f>Tabela10[[#This Row],[DIFERENÇA M²]]/Tabela10[[#This Row],[M² Da chapa]]</f>
        <v/>
      </c>
    </row>
    <row r="629" hidden="1">
      <c r="A629" s="6" t="n">
        <v>46113</v>
      </c>
      <c r="B629" s="8" t="inlineStr">
        <is>
          <t>V26057</t>
        </is>
      </c>
      <c r="C629" s="168">
        <f>VLOOKUP(LEFT(B629,1),Tabela5[],2,0)</f>
        <v/>
      </c>
      <c r="D629" s="57" t="inlineStr">
        <is>
          <t>MDF - 25MM 2750x2200</t>
        </is>
      </c>
      <c r="E629" s="169">
        <f>VLOOKUP(Tabela10[[#This Row],[Tipo de Chapa]],Tabela11[],2,FALSE)</f>
        <v/>
      </c>
      <c r="F629" s="151" t="n">
        <v>45</v>
      </c>
      <c r="G629" s="152" t="n">
        <v>0.0533</v>
      </c>
      <c r="H629" s="170">
        <f>Tabela10[[#This Row],[M² Da chapa]]*Tabela10[[#This Row],[Qtde Chapas
Liberadas]]</f>
        <v/>
      </c>
      <c r="J629" s="59">
        <f>Tabela10[[#This Row],[ERP]]/Tabela10[[#This Row],[M² Da chapa]]</f>
        <v/>
      </c>
      <c r="K629" s="170">
        <f>Tabela10[[#This Row],[M² CHAPAS]]-Tabela10[[#This Row],[ERP]]</f>
        <v/>
      </c>
      <c r="L629" s="170">
        <f>Tabela10[[#This Row],[DIFERENÇA M²]]/Tabela10[[#This Row],[M² Da chapa]]</f>
        <v/>
      </c>
    </row>
    <row r="630" hidden="1">
      <c r="A630" s="6" t="n">
        <v>46113</v>
      </c>
      <c r="B630" s="8" t="inlineStr">
        <is>
          <t>V26057</t>
        </is>
      </c>
      <c r="C630" s="168">
        <f>VLOOKUP(LEFT(B630,1),Tabela5[],2,0)</f>
        <v/>
      </c>
      <c r="D630" s="57" t="inlineStr">
        <is>
          <t>CAPA MDF - 15MM</t>
        </is>
      </c>
      <c r="E630" s="169">
        <f>VLOOKUP(Tabela10[[#This Row],[Tipo de Chapa]],Tabela11[],2,FALSE)</f>
        <v/>
      </c>
      <c r="F630" s="151" t="n">
        <v>16</v>
      </c>
      <c r="G630" s="152" t="n">
        <v>0.0665</v>
      </c>
      <c r="H630" s="170">
        <f>Tabela10[[#This Row],[M² Da chapa]]*Tabela10[[#This Row],[Qtde Chapas
Liberadas]]</f>
        <v/>
      </c>
      <c r="J630" s="59">
        <f>Tabela10[[#This Row],[ERP]]/Tabela10[[#This Row],[M² Da chapa]]</f>
        <v/>
      </c>
      <c r="K630" s="170">
        <f>Tabela10[[#This Row],[M² CHAPAS]]-Tabela10[[#This Row],[ERP]]</f>
        <v/>
      </c>
      <c r="L630" s="170">
        <f>Tabela10[[#This Row],[DIFERENÇA M²]]/Tabela10[[#This Row],[M² Da chapa]]</f>
        <v/>
      </c>
    </row>
    <row r="631">
      <c r="A631" s="6" t="n">
        <v>46114</v>
      </c>
      <c r="B631" s="8" t="inlineStr">
        <is>
          <t>N26026</t>
        </is>
      </c>
      <c r="C631" s="168">
        <f>VLOOKUP(LEFT(B631,1),Tabela5[],2,0)</f>
        <v/>
      </c>
      <c r="D631" s="57" t="inlineStr">
        <is>
          <t>MDF - 15MM</t>
        </is>
      </c>
      <c r="E631" s="169">
        <f>VLOOKUP(Tabela10[[#This Row],[Tipo de Chapa]],Tabela11[],2,FALSE)</f>
        <v/>
      </c>
      <c r="F631" s="151" t="n">
        <v>1546</v>
      </c>
      <c r="G631" s="152" t="n">
        <v>0.0537</v>
      </c>
      <c r="H631" s="170">
        <f>Tabela10[[#This Row],[M² Da chapa]]*Tabela10[[#This Row],[Qtde Chapas
Liberadas]]</f>
        <v/>
      </c>
      <c r="I631" s="170" t="n">
        <v>8149.9619</v>
      </c>
      <c r="J631" s="59">
        <f>Tabela10[[#This Row],[ERP]]/Tabela10[[#This Row],[M² Da chapa]]</f>
        <v/>
      </c>
      <c r="K631" s="170">
        <f>Tabela10[[#This Row],[M² CHAPAS]]-Tabela10[[#This Row],[ERP]]</f>
        <v/>
      </c>
      <c r="L631" s="170">
        <f>Tabela10[[#This Row],[DIFERENÇA M²]]/Tabela10[[#This Row],[M² Da chapa]]</f>
        <v/>
      </c>
    </row>
    <row r="632">
      <c r="A632" s="6" t="n">
        <v>46114</v>
      </c>
      <c r="B632" s="8" t="inlineStr">
        <is>
          <t>N26026</t>
        </is>
      </c>
      <c r="C632" s="168">
        <f>VLOOKUP(LEFT(B632,1),Tabela5[],2,0)</f>
        <v/>
      </c>
      <c r="D632" s="57" t="inlineStr">
        <is>
          <t>MDF - 25MM 2750x2100</t>
        </is>
      </c>
      <c r="E632" s="169">
        <f>VLOOKUP(Tabela10[[#This Row],[Tipo de Chapa]],Tabela11[],2,FALSE)</f>
        <v/>
      </c>
      <c r="F632" s="151" t="n">
        <v>50</v>
      </c>
      <c r="G632" s="152" t="n">
        <v>0.0182</v>
      </c>
      <c r="H632" s="170">
        <f>Tabela10[[#This Row],[M² Da chapa]]*Tabela10[[#This Row],[Qtde Chapas
Liberadas]]</f>
        <v/>
      </c>
      <c r="I632" s="170" t="n">
        <v>288.75</v>
      </c>
      <c r="J632" s="59">
        <f>Tabela10[[#This Row],[ERP]]/Tabela10[[#This Row],[M² Da chapa]]</f>
        <v/>
      </c>
      <c r="K632" s="170">
        <f>Tabela10[[#This Row],[M² CHAPAS]]-Tabela10[[#This Row],[ERP]]</f>
        <v/>
      </c>
      <c r="L632" s="170">
        <f>Tabela10[[#This Row],[DIFERENÇA M²]]/Tabela10[[#This Row],[M² Da chapa]]</f>
        <v/>
      </c>
    </row>
    <row r="633">
      <c r="A633" s="6" t="n">
        <v>46114</v>
      </c>
      <c r="B633" s="8" t="inlineStr">
        <is>
          <t>N26026</t>
        </is>
      </c>
      <c r="C633" s="168">
        <f>VLOOKUP(LEFT(B633,1),Tabela5[],2,0)</f>
        <v/>
      </c>
      <c r="D633" s="57" t="inlineStr">
        <is>
          <t>MDF - 25MM 2750x2200</t>
        </is>
      </c>
      <c r="E633" s="169">
        <f>VLOOKUP(Tabela10[[#This Row],[Tipo de Chapa]],Tabela11[],2,FALSE)</f>
        <v/>
      </c>
      <c r="F633" s="151" t="n">
        <v>50</v>
      </c>
      <c r="G633" s="152" t="n">
        <v>0.0182</v>
      </c>
      <c r="H633" s="170">
        <f>Tabela10[[#This Row],[M² Da chapa]]*Tabela10[[#This Row],[Qtde Chapas
Liberadas]]</f>
        <v/>
      </c>
      <c r="I633" s="170" t="n">
        <v>302.5</v>
      </c>
      <c r="J633" s="59">
        <f>Tabela10[[#This Row],[ERP]]/Tabela10[[#This Row],[M² Da chapa]]</f>
        <v/>
      </c>
      <c r="K633" s="170">
        <f>Tabela10[[#This Row],[M² CHAPAS]]-Tabela10[[#This Row],[ERP]]</f>
        <v/>
      </c>
      <c r="L633" s="170">
        <f>Tabela10[[#This Row],[DIFERENÇA M²]]/Tabela10[[#This Row],[M² Da chapa]]</f>
        <v/>
      </c>
    </row>
    <row r="634">
      <c r="A634" s="6" t="n">
        <v>46114</v>
      </c>
      <c r="B634" s="8" t="inlineStr">
        <is>
          <t>N26026</t>
        </is>
      </c>
      <c r="C634" s="168">
        <f>VLOOKUP(LEFT(B634,1),Tabela5[],2,0)</f>
        <v/>
      </c>
      <c r="D634" s="57" t="inlineStr">
        <is>
          <t>SOBRAS MDF - PORTAS DE VIDRO</t>
        </is>
      </c>
      <c r="E634" s="169">
        <f>VLOOKUP(Tabela10[[#This Row],[Tipo de Chapa]],Tabela11[],2,FALSE)</f>
        <v/>
      </c>
      <c r="F634" s="151" t="inlineStr">
        <is>
          <t>-</t>
        </is>
      </c>
      <c r="G634" s="152" t="n">
        <v>0.1891</v>
      </c>
      <c r="H634" s="170" t="n">
        <v>101.543</v>
      </c>
      <c r="I634" s="170" t="inlineStr">
        <is>
          <t>-</t>
        </is>
      </c>
      <c r="J634" s="59" t="inlineStr">
        <is>
          <t>-</t>
        </is>
      </c>
      <c r="K634" s="170" t="inlineStr">
        <is>
          <t>-</t>
        </is>
      </c>
      <c r="L634" s="170" t="inlineStr">
        <is>
          <t>-</t>
        </is>
      </c>
    </row>
    <row r="635">
      <c r="A635" s="6" t="n">
        <v>46114</v>
      </c>
      <c r="B635" s="8" t="inlineStr">
        <is>
          <t>N26027</t>
        </is>
      </c>
      <c r="C635" s="168">
        <f>VLOOKUP(LEFT(B635,1),Tabela5[],2,0)</f>
        <v/>
      </c>
      <c r="D635" s="57" t="inlineStr">
        <is>
          <t>MDF - 15MM</t>
        </is>
      </c>
      <c r="E635" s="169">
        <f>VLOOKUP(Tabela10[[#This Row],[Tipo de Chapa]],Tabela11[],2,FALSE)</f>
        <v/>
      </c>
      <c r="F635" s="151" t="n">
        <v>2149</v>
      </c>
      <c r="G635" s="152" t="n">
        <v>0.0563</v>
      </c>
      <c r="H635" s="170">
        <f>Tabela10[[#This Row],[M² Da chapa]]*Tabela10[[#This Row],[Qtde Chapas
Liberadas]]</f>
        <v/>
      </c>
      <c r="J635" s="59">
        <f>Tabela10[[#This Row],[ERP]]/Tabela10[[#This Row],[M² Da chapa]]</f>
        <v/>
      </c>
      <c r="K635" s="170">
        <f>Tabela10[[#This Row],[M² CHAPAS]]-Tabela10[[#This Row],[ERP]]</f>
        <v/>
      </c>
      <c r="L635" s="170">
        <f>Tabela10[[#This Row],[DIFERENÇA M²]]/Tabela10[[#This Row],[M² Da chapa]]</f>
        <v/>
      </c>
    </row>
    <row r="636">
      <c r="A636" s="6" t="n">
        <v>46114</v>
      </c>
      <c r="B636" s="8" t="inlineStr">
        <is>
          <t>N26027</t>
        </is>
      </c>
      <c r="C636" s="168">
        <f>VLOOKUP(LEFT(B636,1),Tabela5[],2,0)</f>
        <v/>
      </c>
      <c r="D636" s="57" t="inlineStr">
        <is>
          <t>SOBRAS MDF - PORTAS DE VIDRO</t>
        </is>
      </c>
      <c r="E636" s="169">
        <f>VLOOKUP(Tabela10[[#This Row],[Tipo de Chapa]],Tabela11[],2,FALSE)</f>
        <v/>
      </c>
      <c r="F636" s="151" t="inlineStr">
        <is>
          <t>-</t>
        </is>
      </c>
      <c r="G636" s="152" t="n">
        <v>0.2237</v>
      </c>
      <c r="H636" s="170" t="n">
        <v>29.012</v>
      </c>
      <c r="I636" s="170" t="inlineStr">
        <is>
          <t>-</t>
        </is>
      </c>
      <c r="J636" s="170" t="inlineStr">
        <is>
          <t>-</t>
        </is>
      </c>
      <c r="K636" s="170" t="inlineStr">
        <is>
          <t>-</t>
        </is>
      </c>
      <c r="L636" s="170" t="inlineStr">
        <is>
          <t>-</t>
        </is>
      </c>
    </row>
    <row r="637" hidden="1">
      <c r="A637" s="6" t="n">
        <v>46118</v>
      </c>
      <c r="B637" s="8" t="inlineStr">
        <is>
          <t>M26015</t>
        </is>
      </c>
      <c r="C637" s="168">
        <f>VLOOKUP(LEFT(B637,1),Tabela5[],2,0)</f>
        <v/>
      </c>
      <c r="D637" s="57" t="inlineStr">
        <is>
          <t>MDF - 15MM</t>
        </is>
      </c>
      <c r="E637" s="169">
        <f>VLOOKUP(Tabela10[[#This Row],[Tipo de Chapa]],Tabela11[],2,FALSE)</f>
        <v/>
      </c>
      <c r="F637" s="151" t="n">
        <v>1381</v>
      </c>
      <c r="G637" s="152" t="n">
        <v>0.0641</v>
      </c>
      <c r="H637" s="170">
        <f>Tabela10[[#This Row],[M² Da chapa]]*Tabela10[[#This Row],[Qtde Chapas
Liberadas]]</f>
        <v/>
      </c>
      <c r="I637" s="170" t="n">
        <v>8268.047200000001</v>
      </c>
      <c r="J637" s="59">
        <f>Tabela10[[#This Row],[ERP]]/Tabela10[[#This Row],[M² Da chapa]]</f>
        <v/>
      </c>
      <c r="K637" s="170">
        <f>Tabela10[[#This Row],[M² CHAPAS]]-Tabela10[[#This Row],[ERP]]</f>
        <v/>
      </c>
      <c r="L637" s="170">
        <f>Tabela10[[#This Row],[DIFERENÇA M²]]/Tabela10[[#This Row],[M² Da chapa]]</f>
        <v/>
      </c>
    </row>
    <row r="638" hidden="1">
      <c r="A638" s="6" t="n">
        <v>46118</v>
      </c>
      <c r="B638" s="8" t="inlineStr">
        <is>
          <t>M26015</t>
        </is>
      </c>
      <c r="C638" s="168">
        <f>VLOOKUP(LEFT(B638,1),Tabela5[],2,0)</f>
        <v/>
      </c>
      <c r="D638" s="57" t="inlineStr">
        <is>
          <t>EUCADUR NT - 2,5MM</t>
        </is>
      </c>
      <c r="E638" s="169">
        <f>VLOOKUP(Tabela10[[#This Row],[Tipo de Chapa]],Tabela11[],2,FALSE)</f>
        <v/>
      </c>
      <c r="F638" s="151" t="n">
        <v>495</v>
      </c>
      <c r="G638" s="152" t="n">
        <v>0.0546</v>
      </c>
      <c r="H638" s="170">
        <f>Tabela10[[#This Row],[M² Da chapa]]*Tabela10[[#This Row],[Qtde Chapas
Liberadas]]</f>
        <v/>
      </c>
      <c r="I638" s="170" t="n">
        <v>2797.3222</v>
      </c>
      <c r="J638" s="59">
        <f>Tabela10[[#This Row],[ERP]]/Tabela10[[#This Row],[M² Da chapa]]</f>
        <v/>
      </c>
      <c r="K638" s="170">
        <f>Tabela10[[#This Row],[M² CHAPAS]]-Tabela10[[#This Row],[ERP]]</f>
        <v/>
      </c>
      <c r="L638" s="170">
        <f>Tabela10[[#This Row],[DIFERENÇA M²]]/Tabela10[[#This Row],[M² Da chapa]]</f>
        <v/>
      </c>
    </row>
    <row r="639" hidden="1">
      <c r="A639" s="6" t="n">
        <v>46118</v>
      </c>
      <c r="B639" s="8" t="inlineStr">
        <is>
          <t>M26016</t>
        </is>
      </c>
      <c r="C639" s="168">
        <f>VLOOKUP(LEFT(B639,1),Tabela5[],2,0)</f>
        <v/>
      </c>
      <c r="D639" s="57" t="inlineStr">
        <is>
          <t>MDF - 15MM</t>
        </is>
      </c>
      <c r="E639" s="169">
        <f>VLOOKUP(Tabela10[[#This Row],[Tipo de Chapa]],Tabela11[],2,FALSE)</f>
        <v/>
      </c>
      <c r="F639" s="151" t="n">
        <v>1318</v>
      </c>
      <c r="G639" s="152" t="n">
        <v>0.0584</v>
      </c>
      <c r="H639" s="170">
        <f>Tabela10[[#This Row],[M² Da chapa]]*Tabela10[[#This Row],[Qtde Chapas
Liberadas]]</f>
        <v/>
      </c>
      <c r="I639" s="170" t="n">
        <v>8004.2929</v>
      </c>
      <c r="J639" s="59">
        <f>Tabela10[[#This Row],[ERP]]/Tabela10[[#This Row],[M² Da chapa]]</f>
        <v/>
      </c>
      <c r="K639" s="170">
        <f>Tabela10[[#This Row],[M² CHAPAS]]-Tabela10[[#This Row],[ERP]]</f>
        <v/>
      </c>
      <c r="L639" s="170">
        <f>Tabela10[[#This Row],[DIFERENÇA M²]]/Tabela10[[#This Row],[M² Da chapa]]</f>
        <v/>
      </c>
    </row>
    <row r="640" hidden="1">
      <c r="A640" s="6" t="n">
        <v>46118</v>
      </c>
      <c r="B640" s="8" t="inlineStr">
        <is>
          <t>M26017</t>
        </is>
      </c>
      <c r="C640" s="168">
        <f>VLOOKUP(LEFT(B640,1),Tabela5[],2,0)</f>
        <v/>
      </c>
      <c r="D640" s="57" t="inlineStr">
        <is>
          <t>MDF - 15MM</t>
        </is>
      </c>
      <c r="E640" s="169">
        <f>VLOOKUP(Tabela10[[#This Row],[Tipo de Chapa]],Tabela11[],2,FALSE)</f>
        <v/>
      </c>
      <c r="F640" s="151" t="n">
        <v>1295</v>
      </c>
      <c r="G640" s="152" t="n">
        <v>0.0584</v>
      </c>
      <c r="H640" s="170">
        <f>Tabela10[[#This Row],[M² Da chapa]]*Tabela10[[#This Row],[Qtde Chapas
Liberadas]]</f>
        <v/>
      </c>
      <c r="I640" s="170" t="n">
        <v>7466.3228</v>
      </c>
      <c r="J640" s="59">
        <f>Tabela10[[#This Row],[ERP]]/Tabela10[[#This Row],[M² Da chapa]]</f>
        <v/>
      </c>
      <c r="K640" s="170">
        <f>Tabela10[[#This Row],[M² CHAPAS]]-Tabela10[[#This Row],[ERP]]</f>
        <v/>
      </c>
      <c r="L640" s="170">
        <f>Tabela10[[#This Row],[DIFERENÇA M²]]/Tabela10[[#This Row],[M² Da chapa]]</f>
        <v/>
      </c>
    </row>
    <row r="641" hidden="1">
      <c r="A641" s="6" t="n">
        <v>46118</v>
      </c>
      <c r="B641" s="8" t="inlineStr">
        <is>
          <t>M26014</t>
        </is>
      </c>
      <c r="C641" s="168">
        <f>VLOOKUP(LEFT(B641,1),Tabela5[],2,0)</f>
        <v/>
      </c>
      <c r="D641" s="57" t="inlineStr">
        <is>
          <t>EUCADUR NT - 2,5MM</t>
        </is>
      </c>
      <c r="E641" s="169">
        <f>VLOOKUP(Tabela10[[#This Row],[Tipo de Chapa]],Tabela11[],2,FALSE)</f>
        <v/>
      </c>
      <c r="F641" s="151" t="n">
        <v>394</v>
      </c>
      <c r="G641" s="152" t="n">
        <v>0.0622</v>
      </c>
      <c r="H641" s="170">
        <f>Tabela10[[#This Row],[M² Da chapa]]*Tabela10[[#This Row],[Qtde Chapas
Liberadas]]</f>
        <v/>
      </c>
      <c r="I641" s="170" t="n">
        <v>2264.5509</v>
      </c>
      <c r="J641" s="59">
        <f>Tabela10[[#This Row],[ERP]]/Tabela10[[#This Row],[M² Da chapa]]</f>
        <v/>
      </c>
      <c r="K641" s="170">
        <f>Tabela10[[#This Row],[M² CHAPAS]]-Tabela10[[#This Row],[ERP]]</f>
        <v/>
      </c>
      <c r="L641" s="170">
        <f>Tabela10[[#This Row],[DIFERENÇA M²]]/Tabela10[[#This Row],[M² Da chapa]]</f>
        <v/>
      </c>
    </row>
    <row r="642" hidden="1">
      <c r="A642" s="6" t="n">
        <v>46118</v>
      </c>
      <c r="B642" s="8" t="inlineStr">
        <is>
          <t>M26014</t>
        </is>
      </c>
      <c r="C642" s="168">
        <f>VLOOKUP(LEFT(B642,1),Tabela5[],2,0)</f>
        <v/>
      </c>
      <c r="D642" s="57" t="inlineStr">
        <is>
          <t>EUCADUR FRJ - 2,5MM</t>
        </is>
      </c>
      <c r="E642" s="169">
        <f>VLOOKUP(Tabela10[[#This Row],[Tipo de Chapa]],Tabela11[],2,FALSE)</f>
        <v/>
      </c>
      <c r="F642" s="151" t="n">
        <v>84</v>
      </c>
      <c r="G642" s="152" t="n">
        <v>0.0518</v>
      </c>
      <c r="H642" s="170">
        <f>Tabela10[[#This Row],[M² Da chapa]]*Tabela10[[#This Row],[Qtde Chapas
Liberadas]]</f>
        <v/>
      </c>
      <c r="I642" s="170" t="n">
        <v>521.7442</v>
      </c>
      <c r="J642" s="59">
        <f>Tabela10[[#This Row],[ERP]]/Tabela10[[#This Row],[M² Da chapa]]</f>
        <v/>
      </c>
      <c r="K642" s="170">
        <f>Tabela10[[#This Row],[M² CHAPAS]]-Tabela10[[#This Row],[ERP]]</f>
        <v/>
      </c>
      <c r="L642" s="170">
        <f>Tabela10[[#This Row],[DIFERENÇA M²]]/Tabela10[[#This Row],[M² Da chapa]]</f>
        <v/>
      </c>
    </row>
    <row r="643" hidden="1">
      <c r="A643" s="6" t="n">
        <v>46126</v>
      </c>
      <c r="B643" s="8" t="inlineStr">
        <is>
          <t>I26012</t>
        </is>
      </c>
      <c r="C643" s="168">
        <f>VLOOKUP(LEFT(B643,1),Tabela5[],2,0)</f>
        <v/>
      </c>
      <c r="D643" s="57" t="inlineStr">
        <is>
          <t>MDF - 15MM</t>
        </is>
      </c>
      <c r="E643" s="169">
        <f>VLOOKUP(Tabela10[[#This Row],[Tipo de Chapa]],Tabela11[],2,FALSE)</f>
        <v/>
      </c>
      <c r="F643" s="151" t="n">
        <v>1193</v>
      </c>
      <c r="G643" s="152" t="n">
        <v>0.0588</v>
      </c>
      <c r="H643" s="170">
        <f>Tabela10[[#This Row],[M² Da chapa]]*Tabela10[[#This Row],[Qtde Chapas
Liberadas]]</f>
        <v/>
      </c>
      <c r="I643" s="170" t="n">
        <v>6979.3362</v>
      </c>
      <c r="J643" s="59">
        <f>Tabela10[[#This Row],[ERP]]/Tabela10[[#This Row],[M² Da chapa]]</f>
        <v/>
      </c>
      <c r="K643" s="170">
        <f>Tabela10[[#This Row],[M² CHAPAS]]-Tabela10[[#This Row],[ERP]]</f>
        <v/>
      </c>
      <c r="L643" s="170">
        <f>Tabela10[[#This Row],[DIFERENÇA M²]]/Tabela10[[#This Row],[M² Da chapa]]</f>
        <v/>
      </c>
    </row>
    <row r="644" hidden="1">
      <c r="A644" s="6" t="n">
        <v>46126</v>
      </c>
      <c r="B644" s="8" t="inlineStr">
        <is>
          <t>I26012</t>
        </is>
      </c>
      <c r="C644" s="168">
        <f>VLOOKUP(LEFT(B644,1),Tabela5[],2,0)</f>
        <v/>
      </c>
      <c r="D644" s="57" t="inlineStr">
        <is>
          <t>EUCADUR NT - 2,5MM</t>
        </is>
      </c>
      <c r="E644" s="169">
        <f>VLOOKUP(Tabela10[[#This Row],[Tipo de Chapa]],Tabela11[],2,FALSE)</f>
        <v/>
      </c>
      <c r="F644" s="151" t="n">
        <v>379</v>
      </c>
      <c r="G644" s="152" t="n">
        <v>0.0623</v>
      </c>
      <c r="H644" s="170">
        <f>Tabela10[[#This Row],[M² Da chapa]]*Tabela10[[#This Row],[Qtde Chapas
Liberadas]]</f>
        <v/>
      </c>
      <c r="I644" s="170" t="n">
        <v>2862.2644</v>
      </c>
      <c r="J644" s="59">
        <f>Tabela10[[#This Row],[ERP]]/Tabela10[[#This Row],[M² Da chapa]]</f>
        <v/>
      </c>
      <c r="K644" s="170">
        <f>Tabela10[[#This Row],[M² CHAPAS]]-Tabela10[[#This Row],[ERP]]</f>
        <v/>
      </c>
      <c r="L644" s="170">
        <f>Tabela10[[#This Row],[DIFERENÇA M²]]/Tabela10[[#This Row],[M² Da chapa]]</f>
        <v/>
      </c>
    </row>
    <row r="645" hidden="1">
      <c r="A645" s="6" t="n">
        <v>46126</v>
      </c>
      <c r="B645" s="8" t="inlineStr">
        <is>
          <t>M26016</t>
        </is>
      </c>
      <c r="C645" s="168">
        <f>VLOOKUP(LEFT(B645,1),Tabela5[],2,0)</f>
        <v/>
      </c>
      <c r="D645" s="57" t="inlineStr">
        <is>
          <t>EUCADUR NT - 2,5MM</t>
        </is>
      </c>
      <c r="E645" s="169">
        <f>VLOOKUP(Tabela10[[#This Row],[Tipo de Chapa]],Tabela11[],2,FALSE)</f>
        <v/>
      </c>
      <c r="F645" s="151" t="n">
        <v>575</v>
      </c>
      <c r="G645" s="152" t="n">
        <v>0.0548</v>
      </c>
      <c r="H645" s="170">
        <f>Tabela10[[#This Row],[M² Da chapa]]*Tabela10[[#This Row],[Qtde Chapas
Liberadas]]</f>
        <v/>
      </c>
      <c r="I645" s="170" t="n">
        <v>3427.7278</v>
      </c>
      <c r="J645" s="59">
        <f>Tabela10[[#This Row],[ERP]]/Tabela10[[#This Row],[M² Da chapa]]</f>
        <v/>
      </c>
      <c r="K645" s="170">
        <f>Tabela10[[#This Row],[M² CHAPAS]]-Tabela10[[#This Row],[ERP]]</f>
        <v/>
      </c>
      <c r="L645" s="170">
        <f>Tabela10[[#This Row],[DIFERENÇA M²]]/Tabela10[[#This Row],[M² Da chapa]]</f>
        <v/>
      </c>
    </row>
    <row r="646" hidden="1">
      <c r="A646" s="6" t="n">
        <v>46126</v>
      </c>
      <c r="B646" s="8" t="inlineStr">
        <is>
          <t>M26017</t>
        </is>
      </c>
      <c r="C646" s="168">
        <f>VLOOKUP(LEFT(B646,1),Tabela5[],2,0)</f>
        <v/>
      </c>
      <c r="D646" s="57" t="inlineStr">
        <is>
          <t>EUCADUR NT - 2,5MM</t>
        </is>
      </c>
      <c r="E646" s="169">
        <f>VLOOKUP(Tabela10[[#This Row],[Tipo de Chapa]],Tabela11[],2,FALSE)</f>
        <v/>
      </c>
      <c r="F646" s="151" t="n">
        <v>148</v>
      </c>
      <c r="G646" s="152" t="n">
        <v>0.0709</v>
      </c>
      <c r="H646" s="170">
        <f>Tabela10[[#This Row],[M² Da chapa]]*Tabela10[[#This Row],[Qtde Chapas
Liberadas]]</f>
        <v/>
      </c>
      <c r="I646" s="170" t="n">
        <v>924.5081</v>
      </c>
      <c r="J646" s="59">
        <f>Tabela10[[#This Row],[ERP]]/Tabela10[[#This Row],[M² Da chapa]]</f>
        <v/>
      </c>
      <c r="K646" s="170">
        <f>Tabela10[[#This Row],[M² CHAPAS]]-Tabela10[[#This Row],[ERP]]</f>
        <v/>
      </c>
      <c r="L646" s="170">
        <f>Tabela10[[#This Row],[DIFERENÇA M²]]/Tabela10[[#This Row],[M² Da chapa]]</f>
        <v/>
      </c>
    </row>
    <row r="647" hidden="1">
      <c r="A647" s="6" t="n">
        <v>46126</v>
      </c>
      <c r="B647" s="8" t="inlineStr">
        <is>
          <t>M26017</t>
        </is>
      </c>
      <c r="C647" s="168">
        <f>VLOOKUP(LEFT(B647,1),Tabela5[],2,0)</f>
        <v/>
      </c>
      <c r="D647" s="57" t="inlineStr">
        <is>
          <t>EUCADUR BR - 2,5MM</t>
        </is>
      </c>
      <c r="E647" s="169">
        <f>VLOOKUP(Tabela10[[#This Row],[Tipo de Chapa]],Tabela11[],2,FALSE)</f>
        <v/>
      </c>
      <c r="F647" s="151" t="n">
        <v>118</v>
      </c>
      <c r="G647" s="152" t="n">
        <v>0.0591</v>
      </c>
      <c r="H647" s="170">
        <f>Tabela10[[#This Row],[M² Da chapa]]*Tabela10[[#This Row],[Qtde Chapas
Liberadas]]</f>
        <v/>
      </c>
      <c r="I647" s="170" t="n">
        <v>598.2909</v>
      </c>
      <c r="J647" s="59">
        <f>Tabela10[[#This Row],[ERP]]/Tabela10[[#This Row],[M² Da chapa]]</f>
        <v/>
      </c>
      <c r="K647" s="170">
        <f>Tabela10[[#This Row],[M² CHAPAS]]-Tabela10[[#This Row],[ERP]]</f>
        <v/>
      </c>
      <c r="L647" s="170">
        <f>Tabela10[[#This Row],[DIFERENÇA M²]]/Tabela10[[#This Row],[M² Da chapa]]</f>
        <v/>
      </c>
    </row>
    <row r="648">
      <c r="A648" s="6" t="n">
        <v>46126</v>
      </c>
      <c r="B648" s="8" t="inlineStr">
        <is>
          <t>N26039</t>
        </is>
      </c>
      <c r="C648" s="168">
        <f>VLOOKUP(LEFT(B648,1),Tabela5[],2,0)</f>
        <v/>
      </c>
      <c r="D648" s="57" t="inlineStr">
        <is>
          <t>MDF - 15MM</t>
        </is>
      </c>
      <c r="E648" s="169">
        <f>VLOOKUP(Tabela10[[#This Row],[Tipo de Chapa]],Tabela11[],2,FALSE)</f>
        <v/>
      </c>
      <c r="F648" s="151" t="n">
        <v>663</v>
      </c>
      <c r="G648" s="152" t="n">
        <v>0.06</v>
      </c>
      <c r="H648" s="170">
        <f>Tabela10[[#This Row],[M² Da chapa]]*Tabela10[[#This Row],[Qtde Chapas
Liberadas]]</f>
        <v/>
      </c>
      <c r="J648" s="59">
        <f>Tabela10[[#This Row],[ERP]]/Tabela10[[#This Row],[M² Da chapa]]</f>
        <v/>
      </c>
      <c r="K648" s="170">
        <f>Tabela10[[#This Row],[M² CHAPAS]]-Tabela10[[#This Row],[ERP]]</f>
        <v/>
      </c>
      <c r="L648" s="170">
        <f>Tabela10[[#This Row],[DIFERENÇA M²]]/Tabela10[[#This Row],[M² Da chapa]]</f>
        <v/>
      </c>
    </row>
    <row r="649">
      <c r="A649" s="6" t="n">
        <v>46126</v>
      </c>
      <c r="B649" s="8" t="inlineStr">
        <is>
          <t>N26039</t>
        </is>
      </c>
      <c r="C649" s="168">
        <f>VLOOKUP(LEFT(B649,1),Tabela5[],2,0)</f>
        <v/>
      </c>
      <c r="D649" s="57" t="inlineStr">
        <is>
          <t>EUCADUR NT - 2,5MM</t>
        </is>
      </c>
      <c r="E649" s="169">
        <f>VLOOKUP(Tabela10[[#This Row],[Tipo de Chapa]],Tabela11[],2,FALSE)</f>
        <v/>
      </c>
      <c r="F649" s="151" t="n">
        <v>330</v>
      </c>
      <c r="G649" s="152" t="n">
        <v>0.06519999999999999</v>
      </c>
      <c r="H649" s="170">
        <f>Tabela10[[#This Row],[M² Da chapa]]*Tabela10[[#This Row],[Qtde Chapas
Liberadas]]</f>
        <v/>
      </c>
      <c r="J649" s="59">
        <f>Tabela10[[#This Row],[ERP]]/Tabela10[[#This Row],[M² Da chapa]]</f>
        <v/>
      </c>
      <c r="K649" s="170">
        <f>Tabela10[[#This Row],[M² CHAPAS]]-Tabela10[[#This Row],[ERP]]</f>
        <v/>
      </c>
      <c r="L649" s="170">
        <f>Tabela10[[#This Row],[DIFERENÇA M²]]/Tabela10[[#This Row],[M² Da chapa]]</f>
        <v/>
      </c>
    </row>
    <row r="650">
      <c r="A650" s="6" t="n">
        <v>46126</v>
      </c>
      <c r="B650" s="8" t="inlineStr">
        <is>
          <t>N26039</t>
        </is>
      </c>
      <c r="C650" s="168">
        <f>VLOOKUP(LEFT(B650,1),Tabela5[],2,0)</f>
        <v/>
      </c>
      <c r="D650" s="57" t="inlineStr">
        <is>
          <t>MDF - 25MM 2750x2200</t>
        </is>
      </c>
      <c r="E650" s="169">
        <f>VLOOKUP(Tabela10[[#This Row],[Tipo de Chapa]],Tabela11[],2,FALSE)</f>
        <v/>
      </c>
      <c r="F650" s="151" t="n">
        <v>150</v>
      </c>
      <c r="G650" s="152" t="n">
        <v>0.0781</v>
      </c>
      <c r="H650" s="170">
        <f>Tabela10[[#This Row],[M² Da chapa]]*Tabela10[[#This Row],[Qtde Chapas
Liberadas]]</f>
        <v/>
      </c>
      <c r="J650" s="59">
        <f>Tabela10[[#This Row],[ERP]]/Tabela10[[#This Row],[M² Da chapa]]</f>
        <v/>
      </c>
      <c r="K650" s="170">
        <f>Tabela10[[#This Row],[M² CHAPAS]]-Tabela10[[#This Row],[ERP]]</f>
        <v/>
      </c>
      <c r="L650" s="170">
        <f>Tabela10[[#This Row],[DIFERENÇA M²]]/Tabela10[[#This Row],[M² Da chapa]]</f>
        <v/>
      </c>
    </row>
    <row r="651">
      <c r="A651" s="6" t="n">
        <v>46126</v>
      </c>
      <c r="B651" s="8" t="inlineStr">
        <is>
          <t>N26039</t>
        </is>
      </c>
      <c r="C651" s="168">
        <f>VLOOKUP(LEFT(B651,1),Tabela5[],2,0)</f>
        <v/>
      </c>
      <c r="D651" s="57" t="inlineStr">
        <is>
          <t>MDF - 9MM</t>
        </is>
      </c>
      <c r="E651" s="169">
        <f>VLOOKUP(Tabela10[[#This Row],[Tipo de Chapa]],Tabela11[],2,FALSE)</f>
        <v/>
      </c>
      <c r="F651" s="151" t="n">
        <v>38</v>
      </c>
      <c r="G651" s="152" t="n">
        <v>0.0619</v>
      </c>
      <c r="H651" s="170">
        <f>Tabela10[[#This Row],[M² Da chapa]]*Tabela10[[#This Row],[Qtde Chapas
Liberadas]]</f>
        <v/>
      </c>
      <c r="J651" s="59">
        <f>Tabela10[[#This Row],[ERP]]/Tabela10[[#This Row],[M² Da chapa]]</f>
        <v/>
      </c>
      <c r="K651" s="170">
        <f>Tabela10[[#This Row],[M² CHAPAS]]-Tabela10[[#This Row],[ERP]]</f>
        <v/>
      </c>
      <c r="L651" s="170">
        <f>Tabela10[[#This Row],[DIFERENÇA M²]]/Tabela10[[#This Row],[M² Da chapa]]</f>
        <v/>
      </c>
    </row>
    <row r="652">
      <c r="A652" s="6" t="n">
        <v>46126</v>
      </c>
      <c r="B652" s="8" t="inlineStr">
        <is>
          <t>N26040</t>
        </is>
      </c>
      <c r="C652" s="168">
        <f>VLOOKUP(LEFT(B652,1),Tabela5[],2,0)</f>
        <v/>
      </c>
      <c r="D652" s="57" t="inlineStr">
        <is>
          <t>MDF - 15MM</t>
        </is>
      </c>
      <c r="E652" s="169">
        <f>VLOOKUP(Tabela10[[#This Row],[Tipo de Chapa]],Tabela11[],2,FALSE)</f>
        <v/>
      </c>
      <c r="F652" s="151" t="n">
        <v>782</v>
      </c>
      <c r="G652" s="152" t="n">
        <v>0.06320000000000001</v>
      </c>
      <c r="H652" s="170">
        <f>Tabela10[[#This Row],[M² Da chapa]]*Tabela10[[#This Row],[Qtde Chapas
Liberadas]]</f>
        <v/>
      </c>
      <c r="J652" s="59">
        <f>Tabela10[[#This Row],[ERP]]/Tabela10[[#This Row],[M² Da chapa]]</f>
        <v/>
      </c>
      <c r="K652" s="170">
        <f>Tabela10[[#This Row],[M² CHAPAS]]-Tabela10[[#This Row],[ERP]]</f>
        <v/>
      </c>
      <c r="L652" s="170">
        <f>Tabela10[[#This Row],[DIFERENÇA M²]]/Tabela10[[#This Row],[M² Da chapa]]</f>
        <v/>
      </c>
    </row>
    <row r="653">
      <c r="A653" s="6" t="n">
        <v>46126</v>
      </c>
      <c r="B653" s="8" t="inlineStr">
        <is>
          <t>N26040</t>
        </is>
      </c>
      <c r="C653" s="168">
        <f>VLOOKUP(LEFT(B653,1),Tabela5[],2,0)</f>
        <v/>
      </c>
      <c r="D653" s="57" t="inlineStr">
        <is>
          <t>EUCADUR NT - 2,5MM</t>
        </is>
      </c>
      <c r="E653" s="169">
        <f>VLOOKUP(Tabela10[[#This Row],[Tipo de Chapa]],Tabela11[],2,FALSE)</f>
        <v/>
      </c>
      <c r="F653" s="151" t="n">
        <v>270</v>
      </c>
      <c r="G653" s="152" t="n">
        <v>0.0586</v>
      </c>
      <c r="H653" s="170">
        <f>Tabela10[[#This Row],[M² Da chapa]]*Tabela10[[#This Row],[Qtde Chapas
Liberadas]]</f>
        <v/>
      </c>
      <c r="J653" s="59">
        <f>Tabela10[[#This Row],[ERP]]/Tabela10[[#This Row],[M² Da chapa]]</f>
        <v/>
      </c>
      <c r="K653" s="170">
        <f>Tabela10[[#This Row],[M² CHAPAS]]-Tabela10[[#This Row],[ERP]]</f>
        <v/>
      </c>
      <c r="L653" s="170">
        <f>Tabela10[[#This Row],[DIFERENÇA M²]]/Tabela10[[#This Row],[M² Da chapa]]</f>
        <v/>
      </c>
    </row>
    <row r="654">
      <c r="A654" s="6" t="n">
        <v>46126</v>
      </c>
      <c r="B654" s="8" t="inlineStr">
        <is>
          <t>N26040</t>
        </is>
      </c>
      <c r="C654" s="168">
        <f>VLOOKUP(LEFT(B654,1),Tabela5[],2,0)</f>
        <v/>
      </c>
      <c r="D654" s="57" t="inlineStr">
        <is>
          <t>MDF - 9MM</t>
        </is>
      </c>
      <c r="E654" s="169">
        <f>VLOOKUP(Tabela10[[#This Row],[Tipo de Chapa]],Tabela11[],2,FALSE)</f>
        <v/>
      </c>
      <c r="F654" s="151" t="n">
        <v>18</v>
      </c>
      <c r="G654" s="152" t="n">
        <v>0.0571</v>
      </c>
      <c r="H654" s="170">
        <f>Tabela10[[#This Row],[M² Da chapa]]*Tabela10[[#This Row],[Qtde Chapas
Liberadas]]</f>
        <v/>
      </c>
      <c r="J654" s="59">
        <f>Tabela10[[#This Row],[ERP]]/Tabela10[[#This Row],[M² Da chapa]]</f>
        <v/>
      </c>
      <c r="K654" s="170">
        <f>Tabela10[[#This Row],[M² CHAPAS]]-Tabela10[[#This Row],[ERP]]</f>
        <v/>
      </c>
      <c r="L654" s="170">
        <f>Tabela10[[#This Row],[DIFERENÇA M²]]/Tabela10[[#This Row],[M² Da chapa]]</f>
        <v/>
      </c>
    </row>
    <row r="655">
      <c r="A655" s="6" t="n">
        <v>46129</v>
      </c>
      <c r="B655" s="8" t="inlineStr">
        <is>
          <t>N2602801</t>
        </is>
      </c>
      <c r="C655" s="168">
        <f>VLOOKUP(LEFT(B655,1),Tabela5[],2,0)</f>
        <v/>
      </c>
      <c r="D655" s="57" t="inlineStr">
        <is>
          <t>MDF - 15MM</t>
        </is>
      </c>
      <c r="E655" s="169">
        <f>VLOOKUP(Tabela10[[#This Row],[Tipo de Chapa]],Tabela11[],2,FALSE)</f>
        <v/>
      </c>
      <c r="F655" s="151" t="n">
        <v>257</v>
      </c>
      <c r="G655" s="152" t="n">
        <v>0.06759999999999999</v>
      </c>
      <c r="H655" s="170">
        <f>Tabela10[[#This Row],[M² Da chapa]]*Tabela10[[#This Row],[Qtde Chapas
Liberadas]]</f>
        <v/>
      </c>
      <c r="J655" s="59">
        <f>Tabela10[[#This Row],[ERP]]/Tabela10[[#This Row],[M² Da chapa]]</f>
        <v/>
      </c>
      <c r="K655" s="170">
        <f>Tabela10[[#This Row],[M² CHAPAS]]-Tabela10[[#This Row],[ERP]]</f>
        <v/>
      </c>
      <c r="L655" s="170">
        <f>Tabela10[[#This Row],[DIFERENÇA M²]]/Tabela10[[#This Row],[M² Da chapa]]</f>
        <v/>
      </c>
    </row>
    <row r="656">
      <c r="A656" s="6" t="n">
        <v>46129</v>
      </c>
      <c r="B656" s="8" t="inlineStr">
        <is>
          <t>N26029</t>
        </is>
      </c>
      <c r="C656" s="168">
        <f>VLOOKUP(LEFT(B656,1),Tabela5[],2,0)</f>
        <v/>
      </c>
      <c r="D656" s="57" t="inlineStr">
        <is>
          <t>MDF - 15MM</t>
        </is>
      </c>
      <c r="E656" s="169">
        <f>VLOOKUP(Tabela10[[#This Row],[Tipo de Chapa]],Tabela11[],2,FALSE)</f>
        <v/>
      </c>
      <c r="F656" s="151" t="n">
        <v>900</v>
      </c>
      <c r="G656" s="152" t="n">
        <v>0.0512</v>
      </c>
      <c r="H656" s="170">
        <f>Tabela10[[#This Row],[M² Da chapa]]*Tabela10[[#This Row],[Qtde Chapas
Liberadas]]</f>
        <v/>
      </c>
      <c r="J656" s="59">
        <f>Tabela10[[#This Row],[ERP]]/Tabela10[[#This Row],[M² Da chapa]]</f>
        <v/>
      </c>
      <c r="K656" s="170">
        <f>Tabela10[[#This Row],[M² CHAPAS]]-Tabela10[[#This Row],[ERP]]</f>
        <v/>
      </c>
      <c r="L656" s="170">
        <f>Tabela10[[#This Row],[DIFERENÇA M²]]/Tabela10[[#This Row],[M² Da chapa]]</f>
        <v/>
      </c>
    </row>
    <row r="657">
      <c r="A657" s="6" t="n">
        <v>46129</v>
      </c>
      <c r="B657" s="8" t="inlineStr">
        <is>
          <t>N26029</t>
        </is>
      </c>
      <c r="C657" s="168">
        <f>VLOOKUP(LEFT(B657,1),Tabela5[],2,0)</f>
        <v/>
      </c>
      <c r="D657" s="57" t="inlineStr">
        <is>
          <t>MDF - 9MM</t>
        </is>
      </c>
      <c r="E657" s="169">
        <f>VLOOKUP(Tabela10[[#This Row],[Tipo de Chapa]],Tabela11[],2,FALSE)</f>
        <v/>
      </c>
      <c r="F657" s="151" t="n">
        <v>31</v>
      </c>
      <c r="G657" s="152" t="n">
        <v>0.0712</v>
      </c>
      <c r="H657" s="170">
        <f>Tabela10[[#This Row],[M² Da chapa]]*Tabela10[[#This Row],[Qtde Chapas
Liberadas]]</f>
        <v/>
      </c>
      <c r="J657" s="59">
        <f>Tabela10[[#This Row],[ERP]]/Tabela10[[#This Row],[M² Da chapa]]</f>
        <v/>
      </c>
      <c r="K657" s="170">
        <f>Tabela10[[#This Row],[M² CHAPAS]]-Tabela10[[#This Row],[ERP]]</f>
        <v/>
      </c>
      <c r="L657" s="170">
        <f>Tabela10[[#This Row],[DIFERENÇA M²]]/Tabela10[[#This Row],[M² Da chapa]]</f>
        <v/>
      </c>
    </row>
    <row r="658">
      <c r="A658" s="6" t="n">
        <v>46129</v>
      </c>
      <c r="B658" s="8" t="inlineStr">
        <is>
          <t>N26029</t>
        </is>
      </c>
      <c r="C658" s="168">
        <f>VLOOKUP(LEFT(B658,1),Tabela5[],2,0)</f>
        <v/>
      </c>
      <c r="D658" s="57" t="inlineStr">
        <is>
          <t>MDF - 25MM 2750x2100</t>
        </is>
      </c>
      <c r="E658" s="169">
        <f>VLOOKUP(Tabela10[[#This Row],[Tipo de Chapa]],Tabela11[],2,FALSE)</f>
        <v/>
      </c>
      <c r="F658" s="151" t="n">
        <v>50</v>
      </c>
      <c r="G658" s="152" t="n">
        <v>0.0182</v>
      </c>
      <c r="H658" s="170">
        <f>Tabela10[[#This Row],[M² Da chapa]]*Tabela10[[#This Row],[Qtde Chapas
Liberadas]]</f>
        <v/>
      </c>
      <c r="J658" s="59">
        <f>Tabela10[[#This Row],[ERP]]/Tabela10[[#This Row],[M² Da chapa]]</f>
        <v/>
      </c>
      <c r="K658" s="170">
        <f>Tabela10[[#This Row],[M² CHAPAS]]-Tabela10[[#This Row],[ERP]]</f>
        <v/>
      </c>
      <c r="L658" s="170">
        <f>Tabela10[[#This Row],[DIFERENÇA M²]]/Tabela10[[#This Row],[M² Da chapa]]</f>
        <v/>
      </c>
    </row>
    <row r="659">
      <c r="A659" s="6" t="n">
        <v>46129</v>
      </c>
      <c r="B659" s="8" t="inlineStr">
        <is>
          <t>N26029</t>
        </is>
      </c>
      <c r="C659" s="168">
        <f>VLOOKUP(LEFT(B659,1),Tabela5[],2,0)</f>
        <v/>
      </c>
      <c r="D659" s="57" t="inlineStr">
        <is>
          <t>MDF - 25MM 2750x2200</t>
        </is>
      </c>
      <c r="E659" s="169">
        <f>VLOOKUP(Tabela10[[#This Row],[Tipo de Chapa]],Tabela11[],2,FALSE)</f>
        <v/>
      </c>
      <c r="F659" s="151" t="n">
        <v>40</v>
      </c>
      <c r="G659" s="152" t="n">
        <v>0.0182</v>
      </c>
      <c r="H659" s="170">
        <f>Tabela10[[#This Row],[M² Da chapa]]*Tabela10[[#This Row],[Qtde Chapas
Liberadas]]</f>
        <v/>
      </c>
      <c r="J659" s="59">
        <f>Tabela10[[#This Row],[ERP]]/Tabela10[[#This Row],[M² Da chapa]]</f>
        <v/>
      </c>
      <c r="K659" s="170">
        <f>Tabela10[[#This Row],[M² CHAPAS]]-Tabela10[[#This Row],[ERP]]</f>
        <v/>
      </c>
      <c r="L659" s="170">
        <f>Tabela10[[#This Row],[DIFERENÇA M²]]/Tabela10[[#This Row],[M² Da chapa]]</f>
        <v/>
      </c>
    </row>
    <row r="660">
      <c r="A660" s="6" t="n">
        <v>46129</v>
      </c>
      <c r="B660" s="8" t="inlineStr">
        <is>
          <t>N26029</t>
        </is>
      </c>
      <c r="C660" s="168">
        <f>VLOOKUP(LEFT(B660,1),Tabela5[],2,0)</f>
        <v/>
      </c>
      <c r="D660" s="57" t="inlineStr">
        <is>
          <t>EUCADUR NT - 2,5MM</t>
        </is>
      </c>
      <c r="E660" s="169">
        <f>VLOOKUP(Tabela10[[#This Row],[Tipo de Chapa]],Tabela11[],2,FALSE)</f>
        <v/>
      </c>
      <c r="F660" s="151" t="n">
        <v>509</v>
      </c>
      <c r="G660" s="152" t="n">
        <v>0.0659</v>
      </c>
      <c r="H660" s="170">
        <f>Tabela10[[#This Row],[M² Da chapa]]*Tabela10[[#This Row],[Qtde Chapas
Liberadas]]</f>
        <v/>
      </c>
      <c r="J660" s="59">
        <f>Tabela10[[#This Row],[ERP]]/Tabela10[[#This Row],[M² Da chapa]]</f>
        <v/>
      </c>
      <c r="K660" s="170">
        <f>Tabela10[[#This Row],[M² CHAPAS]]-Tabela10[[#This Row],[ERP]]</f>
        <v/>
      </c>
      <c r="L660" s="170">
        <f>Tabela10[[#This Row],[DIFERENÇA M²]]/Tabela10[[#This Row],[M² Da chapa]]</f>
        <v/>
      </c>
    </row>
    <row r="661" hidden="1">
      <c r="A661" s="6" t="n">
        <v>46091</v>
      </c>
      <c r="B661" s="8" t="inlineStr">
        <is>
          <t>I26010</t>
        </is>
      </c>
      <c r="C661" s="168">
        <f>VLOOKUP(LEFT(B661,1),Tabela5[],2,0)</f>
        <v/>
      </c>
      <c r="D661" s="57" t="inlineStr">
        <is>
          <t>EUCADUR FRJ - 2,5MM</t>
        </is>
      </c>
      <c r="E661" s="169">
        <f>VLOOKUP(Tabela10[[#This Row],[Tipo de Chapa]],Tabela11[],2,FALSE)</f>
        <v/>
      </c>
      <c r="F661" s="151" t="n">
        <v>402</v>
      </c>
      <c r="G661" s="152" t="n">
        <v>0.0516</v>
      </c>
      <c r="H661" s="170">
        <f>Tabela10[[#This Row],[M² Da chapa]]*Tabela10[[#This Row],[Qtde Chapas
Liberadas]]</f>
        <v/>
      </c>
      <c r="J661" s="59">
        <f>Tabela10[[#This Row],[ERP]]/Tabela10[[#This Row],[M² Da chapa]]</f>
        <v/>
      </c>
      <c r="K661" s="170">
        <f>Tabela10[[#This Row],[M² CHAPAS]]-Tabela10[[#This Row],[ERP]]</f>
        <v/>
      </c>
      <c r="L661" s="170">
        <f>Tabela10[[#This Row],[DIFERENÇA M²]]/Tabela10[[#This Row],[M² Da chapa]]</f>
        <v/>
      </c>
    </row>
    <row r="662" hidden="1">
      <c r="A662" s="6" t="n">
        <v>46133</v>
      </c>
      <c r="B662" s="8" t="inlineStr">
        <is>
          <t>I26013</t>
        </is>
      </c>
      <c r="C662" s="168">
        <f>VLOOKUP(LEFT(B662,1),Tabela5[],2,0)</f>
        <v/>
      </c>
      <c r="D662" s="57" t="inlineStr">
        <is>
          <t>EUCADUR NT - 2,5MM</t>
        </is>
      </c>
      <c r="E662" s="169">
        <f>VLOOKUP(Tabela10[[#This Row],[Tipo de Chapa]],Tabela11[],2,FALSE)</f>
        <v/>
      </c>
      <c r="F662" s="151" t="n">
        <v>264</v>
      </c>
      <c r="G662" s="152" t="n">
        <v>0.0737</v>
      </c>
      <c r="H662" s="170">
        <f>Tabela10[[#This Row],[M² Da chapa]]*Tabela10[[#This Row],[Qtde Chapas
Liberadas]]</f>
        <v/>
      </c>
      <c r="J662" s="59">
        <f>Tabela10[[#This Row],[ERP]]/Tabela10[[#This Row],[M² Da chapa]]</f>
        <v/>
      </c>
      <c r="K662" s="170">
        <f>Tabela10[[#This Row],[M² CHAPAS]]-Tabela10[[#This Row],[ERP]]</f>
        <v/>
      </c>
      <c r="L662" s="170">
        <f>Tabela10[[#This Row],[DIFERENÇA M²]]/Tabela10[[#This Row],[M² Da chapa]]</f>
        <v/>
      </c>
    </row>
    <row r="663" hidden="1">
      <c r="A663" s="6" t="n">
        <v>46133</v>
      </c>
      <c r="B663" s="8" t="inlineStr">
        <is>
          <t>I26013</t>
        </is>
      </c>
      <c r="C663" s="168">
        <f>VLOOKUP(LEFT(B663,1),Tabela5[],2,0)</f>
        <v/>
      </c>
      <c r="D663" s="57" t="inlineStr">
        <is>
          <t>EUCADUR BR - 2,5MM</t>
        </is>
      </c>
      <c r="E663" s="169">
        <f>VLOOKUP(Tabela10[[#This Row],[Tipo de Chapa]],Tabela11[],2,FALSE)</f>
        <v/>
      </c>
      <c r="F663" s="151" t="n">
        <v>48</v>
      </c>
      <c r="G663" s="152" t="n">
        <v>0.075</v>
      </c>
      <c r="H663" s="170">
        <f>Tabela10[[#This Row],[M² Da chapa]]*Tabela10[[#This Row],[Qtde Chapas
Liberadas]]</f>
        <v/>
      </c>
      <c r="J663" s="59">
        <f>Tabela10[[#This Row],[ERP]]/Tabela10[[#This Row],[M² Da chapa]]</f>
        <v/>
      </c>
      <c r="K663" s="170">
        <f>Tabela10[[#This Row],[M² CHAPAS]]-Tabela10[[#This Row],[ERP]]</f>
        <v/>
      </c>
      <c r="L663" s="170">
        <f>Tabela10[[#This Row],[DIFERENÇA M²]]/Tabela10[[#This Row],[M² Da chapa]]</f>
        <v/>
      </c>
    </row>
    <row r="664" hidden="1">
      <c r="A664" s="6" t="n">
        <v>46133</v>
      </c>
      <c r="B664" s="8" t="inlineStr">
        <is>
          <t>I26013</t>
        </is>
      </c>
      <c r="C664" s="168">
        <f>VLOOKUP(LEFT(B664,1),Tabela5[],2,0)</f>
        <v/>
      </c>
      <c r="D664" s="57" t="inlineStr">
        <is>
          <t>MDF - 15MM</t>
        </is>
      </c>
      <c r="E664" s="169">
        <f>VLOOKUP(Tabela10[[#This Row],[Tipo de Chapa]],Tabela11[],2,FALSE)</f>
        <v/>
      </c>
      <c r="F664" s="151" t="n">
        <v>1245</v>
      </c>
      <c r="G664" s="152" t="n">
        <v>0.0635</v>
      </c>
      <c r="H664" s="170">
        <f>Tabela10[[#This Row],[M² Da chapa]]*Tabela10[[#This Row],[Qtde Chapas
Liberadas]]</f>
        <v/>
      </c>
      <c r="J664" s="59">
        <f>Tabela10[[#This Row],[ERP]]/Tabela10[[#This Row],[M² Da chapa]]</f>
        <v/>
      </c>
      <c r="K664" s="170">
        <f>Tabela10[[#This Row],[M² CHAPAS]]-Tabela10[[#This Row],[ERP]]</f>
        <v/>
      </c>
      <c r="L664" s="170">
        <f>Tabela10[[#This Row],[DIFERENÇA M²]]/Tabela10[[#This Row],[M² Da chapa]]</f>
        <v/>
      </c>
    </row>
    <row r="665" hidden="1">
      <c r="A665" s="6" t="n">
        <v>46134</v>
      </c>
      <c r="B665" s="8" t="inlineStr">
        <is>
          <t>U26001</t>
        </is>
      </c>
      <c r="C665" s="168">
        <f>VLOOKUP(LEFT(B665,1),Tabela5[],2,0)</f>
        <v/>
      </c>
      <c r="D665" s="57" t="inlineStr">
        <is>
          <t>EUCADUR NT - 2,5MM</t>
        </is>
      </c>
      <c r="E665" s="169">
        <f>VLOOKUP(Tabela10[[#This Row],[Tipo de Chapa]],Tabela11[],2,FALSE)</f>
        <v/>
      </c>
      <c r="F665" s="151" t="n">
        <v>323</v>
      </c>
      <c r="G665" s="152" t="n">
        <v>0.0692</v>
      </c>
      <c r="H665" s="170">
        <f>Tabela10[[#This Row],[M² Da chapa]]*Tabela10[[#This Row],[Qtde Chapas
Liberadas]]</f>
        <v/>
      </c>
      <c r="J665" s="59">
        <f>Tabela10[[#This Row],[ERP]]/Tabela10[[#This Row],[M² Da chapa]]</f>
        <v/>
      </c>
      <c r="K665" s="170">
        <f>Tabela10[[#This Row],[M² CHAPAS]]-Tabela10[[#This Row],[ERP]]</f>
        <v/>
      </c>
      <c r="L665" s="170">
        <f>Tabela10[[#This Row],[DIFERENÇA M²]]/Tabela10[[#This Row],[M² Da chapa]]</f>
        <v/>
      </c>
    </row>
    <row r="666" hidden="1">
      <c r="A666" s="6" t="n">
        <v>46134</v>
      </c>
      <c r="B666" s="8" t="inlineStr">
        <is>
          <t>U26001</t>
        </is>
      </c>
      <c r="C666" s="168">
        <f>VLOOKUP(LEFT(B666,1),Tabela5[],2,0)</f>
        <v/>
      </c>
      <c r="D666" s="57" t="inlineStr">
        <is>
          <t>MDF - 15MM</t>
        </is>
      </c>
      <c r="E666" s="169">
        <f>VLOOKUP(Tabela10[[#This Row],[Tipo de Chapa]],Tabela11[],2,FALSE)</f>
        <v/>
      </c>
      <c r="F666" s="151">
        <f>798+30+1</f>
        <v/>
      </c>
      <c r="G666" s="152" t="n">
        <v>0.0602</v>
      </c>
      <c r="H666" s="170">
        <f>Tabela10[[#This Row],[M² Da chapa]]*Tabela10[[#This Row],[Qtde Chapas
Liberadas]]</f>
        <v/>
      </c>
      <c r="J666" s="59">
        <f>Tabela10[[#This Row],[ERP]]/Tabela10[[#This Row],[M² Da chapa]]</f>
        <v/>
      </c>
      <c r="K666" s="170">
        <f>Tabela10[[#This Row],[M² CHAPAS]]-Tabela10[[#This Row],[ERP]]</f>
        <v/>
      </c>
      <c r="L666" s="170">
        <f>Tabela10[[#This Row],[DIFERENÇA M²]]/Tabela10[[#This Row],[M² Da chapa]]</f>
        <v/>
      </c>
    </row>
    <row r="667" hidden="1">
      <c r="A667" s="6" t="n">
        <v>46134</v>
      </c>
      <c r="B667" s="8" t="inlineStr">
        <is>
          <t>U26001</t>
        </is>
      </c>
      <c r="C667" s="168">
        <f>VLOOKUP(LEFT(B667,1),Tabela5[],2,0)</f>
        <v/>
      </c>
      <c r="D667" s="57" t="inlineStr">
        <is>
          <t>MDF - 9MM</t>
        </is>
      </c>
      <c r="E667" s="169">
        <f>VLOOKUP(Tabela10[[#This Row],[Tipo de Chapa]],Tabela11[],2,FALSE)</f>
        <v/>
      </c>
      <c r="F667" s="151" t="n">
        <v>40</v>
      </c>
      <c r="G667" s="152" t="n">
        <v>0.07000000000000001</v>
      </c>
      <c r="H667" s="170">
        <f>Tabela10[[#This Row],[M² Da chapa]]*Tabela10[[#This Row],[Qtde Chapas
Liberadas]]</f>
        <v/>
      </c>
      <c r="J667" s="59">
        <f>Tabela10[[#This Row],[ERP]]/Tabela10[[#This Row],[M² Da chapa]]</f>
        <v/>
      </c>
      <c r="K667" s="170">
        <f>Tabela10[[#This Row],[M² CHAPAS]]-Tabela10[[#This Row],[ERP]]</f>
        <v/>
      </c>
      <c r="L667" s="170">
        <f>Tabela10[[#This Row],[DIFERENÇA M²]]/Tabela10[[#This Row],[M² Da chapa]]</f>
        <v/>
      </c>
    </row>
    <row r="668">
      <c r="A668" s="6" t="n">
        <v>46134</v>
      </c>
      <c r="B668" s="8" t="inlineStr">
        <is>
          <t>N2603101 |N2603102 |N2603103 |N2603104</t>
        </is>
      </c>
      <c r="C668" s="168">
        <f>VLOOKUP(LEFT(B668,1),Tabela5[],2,0)</f>
        <v/>
      </c>
      <c r="D668" s="57" t="inlineStr">
        <is>
          <t>SOBRAS MDF - PORTAS DE VIDRO</t>
        </is>
      </c>
      <c r="E668" s="169">
        <f>VLOOKUP(Tabela10[[#This Row],[Tipo de Chapa]],Tabela11[],2,FALSE)</f>
        <v/>
      </c>
      <c r="F668" s="151" t="inlineStr">
        <is>
          <t>-</t>
        </is>
      </c>
      <c r="G668" s="152" t="n">
        <v>0.1657</v>
      </c>
      <c r="H668" s="170" t="n">
        <v>214.652</v>
      </c>
      <c r="I668" s="170" t="inlineStr">
        <is>
          <t>-</t>
        </is>
      </c>
      <c r="J668" s="170" t="inlineStr">
        <is>
          <t>-</t>
        </is>
      </c>
      <c r="K668" s="170" t="inlineStr">
        <is>
          <t>-</t>
        </is>
      </c>
      <c r="L668" s="170" t="inlineStr">
        <is>
          <t>-</t>
        </is>
      </c>
    </row>
    <row r="669">
      <c r="A669" s="6" t="n">
        <v>46136</v>
      </c>
      <c r="B669" s="8" t="inlineStr">
        <is>
          <t>N2603005</t>
        </is>
      </c>
      <c r="C669" s="168">
        <f>VLOOKUP(LEFT(B669,1),Tabela5[],2,0)</f>
        <v/>
      </c>
      <c r="D669" s="57" t="inlineStr">
        <is>
          <t>MDF - 15MM</t>
        </is>
      </c>
      <c r="E669" s="169">
        <f>VLOOKUP(Tabela10[[#This Row],[Tipo de Chapa]],Tabela11[],2,FALSE)</f>
        <v/>
      </c>
      <c r="F669" s="151" t="n">
        <v>38</v>
      </c>
      <c r="G669" s="152" t="n">
        <v>0.0575</v>
      </c>
      <c r="H669" s="170">
        <f>Tabela10[[#This Row],[M² Da chapa]]*Tabela10[[#This Row],[Qtde Chapas
Liberadas]]</f>
        <v/>
      </c>
      <c r="I669" s="170" t="n">
        <v>229.9</v>
      </c>
      <c r="J669" s="59">
        <f>Tabela10[[#This Row],[ERP]]/Tabela10[[#This Row],[M² Da chapa]]</f>
        <v/>
      </c>
      <c r="K669" s="170">
        <f>Tabela10[[#This Row],[M² CHAPAS]]-Tabela10[[#This Row],[ERP]]</f>
        <v/>
      </c>
      <c r="L669" s="170">
        <f>Tabela10[[#This Row],[DIFERENÇA M²]]/Tabela10[[#This Row],[M² Da chapa]]</f>
        <v/>
      </c>
    </row>
    <row r="670">
      <c r="A670" s="6" t="n">
        <v>46136</v>
      </c>
      <c r="B670" s="8" t="inlineStr">
        <is>
          <t>N2603004</t>
        </is>
      </c>
      <c r="C670" s="168">
        <f>VLOOKUP(LEFT(B670,1),Tabela5[],2,0)</f>
        <v/>
      </c>
      <c r="D670" s="57" t="inlineStr">
        <is>
          <t>MDF - 15MM</t>
        </is>
      </c>
      <c r="E670" s="169">
        <f>VLOOKUP(Tabela10[[#This Row],[Tipo de Chapa]],Tabela11[],2,FALSE)</f>
        <v/>
      </c>
      <c r="F670" s="151" t="n">
        <v>30</v>
      </c>
      <c r="G670" s="152" t="n">
        <v>0.0646</v>
      </c>
      <c r="H670" s="170">
        <f>Tabela10[[#This Row],[M² Da chapa]]*Tabela10[[#This Row],[Qtde Chapas
Liberadas]]</f>
        <v/>
      </c>
      <c r="I670" s="170" t="n">
        <v>181.5</v>
      </c>
      <c r="J670" s="59">
        <f>Tabela10[[#This Row],[ERP]]/Tabela10[[#This Row],[M² Da chapa]]</f>
        <v/>
      </c>
      <c r="K670" s="170">
        <f>Tabela10[[#This Row],[M² CHAPAS]]-Tabela10[[#This Row],[ERP]]</f>
        <v/>
      </c>
      <c r="L670" s="170">
        <f>Tabela10[[#This Row],[DIFERENÇA M²]]/Tabela10[[#This Row],[M² Da chapa]]</f>
        <v/>
      </c>
    </row>
    <row r="671" hidden="1">
      <c r="A671" s="6" t="n">
        <v>46136</v>
      </c>
      <c r="B671" s="8" t="inlineStr">
        <is>
          <t>M26019</t>
        </is>
      </c>
      <c r="C671" s="168">
        <f>VLOOKUP(LEFT(B671,1),Tabela5[],2,0)</f>
        <v/>
      </c>
      <c r="D671" s="57" t="inlineStr">
        <is>
          <t>MDF - 15MM</t>
        </is>
      </c>
      <c r="E671" s="169">
        <f>VLOOKUP(Tabela10[[#This Row],[Tipo de Chapa]],Tabela11[],2,FALSE)</f>
        <v/>
      </c>
      <c r="F671" s="151" t="n">
        <v>508</v>
      </c>
      <c r="G671" s="152" t="n">
        <v>0.06850000000000001</v>
      </c>
      <c r="H671" s="170">
        <f>Tabela10[[#This Row],[M² Da chapa]]*Tabela10[[#This Row],[Qtde Chapas
Liberadas]]</f>
        <v/>
      </c>
      <c r="J671" s="59">
        <f>Tabela10[[#This Row],[ERP]]/Tabela10[[#This Row],[M² Da chapa]]</f>
        <v/>
      </c>
      <c r="K671" s="170">
        <f>Tabela10[[#This Row],[M² CHAPAS]]-Tabela10[[#This Row],[ERP]]</f>
        <v/>
      </c>
      <c r="L671" s="170">
        <f>Tabela10[[#This Row],[DIFERENÇA M²]]/Tabela10[[#This Row],[M² Da chapa]]</f>
        <v/>
      </c>
    </row>
    <row r="672">
      <c r="A672" s="6" t="n">
        <v>46139</v>
      </c>
      <c r="B672" s="8" t="inlineStr">
        <is>
          <t>N26030</t>
        </is>
      </c>
      <c r="C672" s="168">
        <f>VLOOKUP(LEFT(B672,1),Tabela5[],2,0)</f>
        <v/>
      </c>
      <c r="D672" s="57" t="inlineStr">
        <is>
          <t>MDF - 15MM</t>
        </is>
      </c>
      <c r="E672" s="169">
        <f>VLOOKUP(Tabela10[[#This Row],[Tipo de Chapa]],Tabela11[],2,FALSE)</f>
        <v/>
      </c>
      <c r="F672" s="151">
        <f>844+24+15</f>
        <v/>
      </c>
      <c r="G672" s="152" t="n">
        <v>0.0565</v>
      </c>
      <c r="H672" s="170">
        <f>Tabela10[[#This Row],[M² Da chapa]]*Tabela10[[#This Row],[Qtde Chapas
Liberadas]]</f>
        <v/>
      </c>
      <c r="I672" s="170" t="n">
        <v>6378.66303</v>
      </c>
      <c r="J672" s="59">
        <f>Tabela10[[#This Row],[ERP]]/Tabela10[[#This Row],[M² Da chapa]]</f>
        <v/>
      </c>
      <c r="K672" s="170">
        <f>Tabela10[[#This Row],[M² CHAPAS]]-Tabela10[[#This Row],[ERP]]</f>
        <v/>
      </c>
      <c r="L672" s="170">
        <f>Tabela10[[#This Row],[DIFERENÇA M²]]/Tabela10[[#This Row],[M² Da chapa]]</f>
        <v/>
      </c>
    </row>
    <row r="673">
      <c r="A673" s="6" t="n">
        <v>46139</v>
      </c>
      <c r="B673" s="8" t="inlineStr">
        <is>
          <t>N26030</t>
        </is>
      </c>
      <c r="C673" s="168">
        <f>VLOOKUP(LEFT(B673,1),Tabela5[],2,0)</f>
        <v/>
      </c>
      <c r="D673" s="57" t="inlineStr">
        <is>
          <t>EUCADUR NT - 2,5MM</t>
        </is>
      </c>
      <c r="E673" s="169">
        <f>VLOOKUP(Tabela10[[#This Row],[Tipo de Chapa]],Tabela11[],2,FALSE)</f>
        <v/>
      </c>
      <c r="F673" s="151" t="n">
        <v>388</v>
      </c>
      <c r="G673" s="152" t="n">
        <v>0.0683</v>
      </c>
      <c r="H673" s="170">
        <f>Tabela10[[#This Row],[M² Da chapa]]*Tabela10[[#This Row],[Qtde Chapas
Liberadas]]</f>
        <v/>
      </c>
      <c r="I673" s="170" t="n">
        <v>2214.2314</v>
      </c>
      <c r="J673" s="59">
        <f>Tabela10[[#This Row],[ERP]]/Tabela10[[#This Row],[M² Da chapa]]</f>
        <v/>
      </c>
      <c r="K673" s="170">
        <f>Tabela10[[#This Row],[M² CHAPAS]]-Tabela10[[#This Row],[ERP]]</f>
        <v/>
      </c>
      <c r="L673" s="170">
        <f>Tabela10[[#This Row],[DIFERENÇA M²]]/Tabela10[[#This Row],[M² Da chapa]]</f>
        <v/>
      </c>
    </row>
    <row r="674" hidden="1">
      <c r="A674" s="6" t="n">
        <v>46108</v>
      </c>
      <c r="B674" s="8" t="inlineStr">
        <is>
          <t>I26012</t>
        </is>
      </c>
      <c r="C674" s="168">
        <f>VLOOKUP(LEFT(B674,1),Tabela5[],2,0)</f>
        <v/>
      </c>
      <c r="D674" s="57" t="inlineStr">
        <is>
          <t>MDF - 9MM</t>
        </is>
      </c>
      <c r="E674" s="169">
        <f>VLOOKUP(Tabela10[[#This Row],[Tipo de Chapa]],Tabela11[],2,FALSE)</f>
        <v/>
      </c>
      <c r="F674" s="151" t="n">
        <v>35</v>
      </c>
      <c r="G674" s="152" t="n">
        <v>0.0393</v>
      </c>
      <c r="H674" s="170">
        <f>Tabela10[[#This Row],[M² Da chapa]]*Tabela10[[#This Row],[Qtde Chapas
Liberadas]]</f>
        <v/>
      </c>
      <c r="J674" s="59">
        <f>Tabela10[[#This Row],[ERP]]/Tabela10[[#This Row],[M² Da chapa]]</f>
        <v/>
      </c>
      <c r="K674" s="170">
        <f>Tabela10[[#This Row],[M² CHAPAS]]-Tabela10[[#This Row],[ERP]]</f>
        <v/>
      </c>
      <c r="L674" s="170">
        <f>Tabela10[[#This Row],[DIFERENÇA M²]]/Tabela10[[#This Row],[M² Da chapa]]</f>
        <v/>
      </c>
    </row>
    <row r="675" hidden="1">
      <c r="A675" s="6" t="n">
        <v>46139</v>
      </c>
      <c r="B675" s="8" t="inlineStr">
        <is>
          <t>I26013</t>
        </is>
      </c>
      <c r="C675" s="168">
        <f>VLOOKUP(LEFT(B675,1),Tabela5[],2,0)</f>
        <v/>
      </c>
      <c r="D675" s="57" t="inlineStr">
        <is>
          <t>MDF - 9MM</t>
        </is>
      </c>
      <c r="E675" s="169">
        <f>VLOOKUP(Tabela10[[#This Row],[Tipo de Chapa]],Tabela11[],2,FALSE)</f>
        <v/>
      </c>
      <c r="F675" s="151" t="n">
        <v>67</v>
      </c>
      <c r="G675" s="152" t="n">
        <v>0.0386</v>
      </c>
      <c r="H675" s="170">
        <f>Tabela10[[#This Row],[M² Da chapa]]*Tabela10[[#This Row],[Qtde Chapas
Liberadas]]</f>
        <v/>
      </c>
      <c r="J675" s="59">
        <f>Tabela10[[#This Row],[ERP]]/Tabela10[[#This Row],[M² Da chapa]]</f>
        <v/>
      </c>
      <c r="K675" s="170">
        <f>Tabela10[[#This Row],[M² CHAPAS]]-Tabela10[[#This Row],[ERP]]</f>
        <v/>
      </c>
      <c r="L675" s="170">
        <f>Tabela10[[#This Row],[DIFERENÇA M²]]/Tabela10[[#This Row],[M² Da chapa]]</f>
        <v/>
      </c>
    </row>
    <row r="676" hidden="1">
      <c r="A676" s="6" t="n">
        <v>46139</v>
      </c>
      <c r="B676" s="8" t="inlineStr">
        <is>
          <t>I26014</t>
        </is>
      </c>
      <c r="C676" s="168">
        <f>VLOOKUP(LEFT(B676,1),Tabela5[],2,0)</f>
        <v/>
      </c>
      <c r="D676" s="57" t="inlineStr">
        <is>
          <t>MDF - 9MM</t>
        </is>
      </c>
      <c r="E676" s="169">
        <f>VLOOKUP(Tabela10[[#This Row],[Tipo de Chapa]],Tabela11[],2,FALSE)</f>
        <v/>
      </c>
      <c r="F676" s="151" t="n">
        <v>167</v>
      </c>
      <c r="G676" s="152" t="n">
        <v>0.0427</v>
      </c>
      <c r="H676" s="170">
        <f>Tabela10[[#This Row],[M² Da chapa]]*Tabela10[[#This Row],[Qtde Chapas
Liberadas]]</f>
        <v/>
      </c>
      <c r="J676" s="59">
        <f>Tabela10[[#This Row],[ERP]]/Tabela10[[#This Row],[M² Da chapa]]</f>
        <v/>
      </c>
      <c r="K676" s="170">
        <f>Tabela10[[#This Row],[M² CHAPAS]]-Tabela10[[#This Row],[ERP]]</f>
        <v/>
      </c>
      <c r="L676" s="170">
        <f>Tabela10[[#This Row],[DIFERENÇA M²]]/Tabela10[[#This Row],[M² Da chapa]]</f>
        <v/>
      </c>
    </row>
    <row r="677" hidden="1">
      <c r="A677" s="6" t="n">
        <v>46139</v>
      </c>
      <c r="B677" s="8" t="inlineStr">
        <is>
          <t>I26014</t>
        </is>
      </c>
      <c r="C677" s="168">
        <f>VLOOKUP(LEFT(B677,1),Tabela5[],2,0)</f>
        <v/>
      </c>
      <c r="D677" s="57" t="inlineStr">
        <is>
          <t>MDF - 15MM</t>
        </is>
      </c>
      <c r="E677" s="169">
        <f>VLOOKUP(Tabela10[[#This Row],[Tipo de Chapa]],Tabela11[],2,FALSE)</f>
        <v/>
      </c>
      <c r="F677" s="151" t="n">
        <v>1314</v>
      </c>
      <c r="G677" s="152" t="n">
        <v>0.0624</v>
      </c>
      <c r="H677" s="170">
        <f>Tabela10[[#This Row],[M² Da chapa]]*Tabela10[[#This Row],[Qtde Chapas
Liberadas]]</f>
        <v/>
      </c>
      <c r="J677" s="59">
        <f>Tabela10[[#This Row],[ERP]]/Tabela10[[#This Row],[M² Da chapa]]</f>
        <v/>
      </c>
      <c r="K677" s="170">
        <f>Tabela10[[#This Row],[M² CHAPAS]]-Tabela10[[#This Row],[ERP]]</f>
        <v/>
      </c>
      <c r="L677" s="170">
        <f>Tabela10[[#This Row],[DIFERENÇA M²]]/Tabela10[[#This Row],[M² Da chapa]]</f>
        <v/>
      </c>
    </row>
    <row r="678">
      <c r="A678" s="6" t="n">
        <v>46140</v>
      </c>
      <c r="B678" s="8" t="inlineStr">
        <is>
          <t>N26031</t>
        </is>
      </c>
      <c r="C678" s="168">
        <f>VLOOKUP(LEFT(B678,1),Tabela5[],2,0)</f>
        <v/>
      </c>
      <c r="D678" s="57" t="inlineStr">
        <is>
          <t>MDF - 15MM</t>
        </is>
      </c>
      <c r="E678" s="169">
        <f>VLOOKUP(Tabela10[[#This Row],[Tipo de Chapa]],Tabela11[],2,FALSE)</f>
        <v/>
      </c>
      <c r="F678" s="151" t="n">
        <v>1085</v>
      </c>
      <c r="G678" s="152" t="n">
        <v>0.053</v>
      </c>
      <c r="H678" s="170">
        <f>Tabela10[[#This Row],[M² Da chapa]]*Tabela10[[#This Row],[Qtde Chapas
Liberadas]]</f>
        <v/>
      </c>
      <c r="I678" s="170" t="n">
        <v>6538.3556</v>
      </c>
      <c r="J678" s="59">
        <f>Tabela10[[#This Row],[ERP]]/Tabela10[[#This Row],[M² Da chapa]]</f>
        <v/>
      </c>
      <c r="K678" s="170">
        <f>Tabela10[[#This Row],[M² CHAPAS]]-Tabela10[[#This Row],[ERP]]</f>
        <v/>
      </c>
      <c r="L678" s="170">
        <f>Tabela10[[#This Row],[DIFERENÇA M²]]/Tabela10[[#This Row],[M² Da chapa]]</f>
        <v/>
      </c>
    </row>
    <row r="679">
      <c r="A679" s="6" t="n">
        <v>46140</v>
      </c>
      <c r="B679" s="8" t="inlineStr">
        <is>
          <t>N26031</t>
        </is>
      </c>
      <c r="C679" s="168">
        <f>VLOOKUP(LEFT(B679,1),Tabela5[],2,0)</f>
        <v/>
      </c>
      <c r="D679" s="57" t="inlineStr">
        <is>
          <t>EUCADUR NT - 2,5MM</t>
        </is>
      </c>
      <c r="E679" s="169">
        <f>VLOOKUP(Tabela10[[#This Row],[Tipo de Chapa]],Tabela11[],2,FALSE)</f>
        <v/>
      </c>
      <c r="F679" s="151" t="n">
        <v>58</v>
      </c>
      <c r="G679" s="152" t="n">
        <v>0.06</v>
      </c>
      <c r="H679" s="170">
        <f>Tabela10[[#This Row],[M² Da chapa]]*Tabela10[[#This Row],[Qtde Chapas
Liberadas]]</f>
        <v/>
      </c>
      <c r="I679" s="170" t="n">
        <v>420.3629</v>
      </c>
      <c r="J679" s="59">
        <f>Tabela10[[#This Row],[ERP]]/Tabela10[[#This Row],[M² Da chapa]]</f>
        <v/>
      </c>
      <c r="K679" s="170">
        <f>Tabela10[[#This Row],[M² CHAPAS]]-Tabela10[[#This Row],[ERP]]</f>
        <v/>
      </c>
      <c r="L679" s="170">
        <f>Tabela10[[#This Row],[DIFERENÇA M²]]/Tabela10[[#This Row],[M² Da chapa]]</f>
        <v/>
      </c>
    </row>
    <row r="680" hidden="1">
      <c r="A680" s="6" t="n">
        <v>46140</v>
      </c>
      <c r="B680" s="8" t="inlineStr">
        <is>
          <t>M26019</t>
        </is>
      </c>
      <c r="C680" s="168">
        <f>VLOOKUP(LEFT(B680,1),Tabela5[],2,0)</f>
        <v/>
      </c>
      <c r="D680" s="57" t="inlineStr">
        <is>
          <t>EUCADUR FRJ - 2,5MM</t>
        </is>
      </c>
      <c r="E680" s="169">
        <f>VLOOKUP(Tabela10[[#This Row],[Tipo de Chapa]],Tabela11[],2,FALSE)</f>
        <v/>
      </c>
      <c r="F680" s="151" t="n">
        <v>196</v>
      </c>
      <c r="G680" s="152" t="n">
        <v>0.0551</v>
      </c>
      <c r="H680" s="170">
        <f>Tabela10[[#This Row],[M² Da chapa]]*Tabela10[[#This Row],[Qtde Chapas
Liberadas]]</f>
        <v/>
      </c>
      <c r="J680" s="59">
        <f>Tabela10[[#This Row],[ERP]]/Tabela10[[#This Row],[M² Da chapa]]</f>
        <v/>
      </c>
      <c r="K680" s="170">
        <f>Tabela10[[#This Row],[M² CHAPAS]]-Tabela10[[#This Row],[ERP]]</f>
        <v/>
      </c>
      <c r="L680" s="170">
        <f>Tabela10[[#This Row],[DIFERENÇA M²]]/Tabela10[[#This Row],[M² Da chapa]]</f>
        <v/>
      </c>
    </row>
    <row r="681">
      <c r="A681" s="6" t="n">
        <v>46141</v>
      </c>
      <c r="B681" s="8" t="inlineStr">
        <is>
          <t>N26031</t>
        </is>
      </c>
      <c r="C681" s="168">
        <f>VLOOKUP(LEFT(B681,1),Tabela5[],2,0)</f>
        <v/>
      </c>
      <c r="D681" s="57" t="inlineStr">
        <is>
          <t>EUCADUR FRJ - 2,5MM</t>
        </is>
      </c>
      <c r="E681" s="169">
        <f>VLOOKUP(Tabela10[[#This Row],[Tipo de Chapa]],Tabela11[],2,FALSE)</f>
        <v/>
      </c>
      <c r="F681" s="151" t="n">
        <v>332</v>
      </c>
      <c r="G681" s="152" t="n">
        <v>0.0726</v>
      </c>
      <c r="H681" s="170">
        <f>Tabela10[[#This Row],[M² Da chapa]]*Tabela10[[#This Row],[Qtde Chapas
Liberadas]]</f>
        <v/>
      </c>
      <c r="I681" s="170" t="n">
        <v>1763.8806</v>
      </c>
      <c r="J681" s="59">
        <f>Tabela10[[#This Row],[ERP]]/Tabela10[[#This Row],[M² Da chapa]]</f>
        <v/>
      </c>
      <c r="K681" s="170">
        <f>Tabela10[[#This Row],[M² CHAPAS]]-Tabela10[[#This Row],[ERP]]</f>
        <v/>
      </c>
      <c r="L681" s="170">
        <f>Tabela10[[#This Row],[DIFERENÇA M²]]/Tabela10[[#This Row],[M² Da chapa]]</f>
        <v/>
      </c>
    </row>
    <row r="682">
      <c r="A682" s="6" t="n">
        <v>46142</v>
      </c>
      <c r="B682" s="8" t="inlineStr">
        <is>
          <t>N26032</t>
        </is>
      </c>
      <c r="C682" s="168">
        <f>VLOOKUP(LEFT(B682,1),Tabela5[],2,0)</f>
        <v/>
      </c>
      <c r="D682" s="57" t="inlineStr">
        <is>
          <t>MDF - 15MM</t>
        </is>
      </c>
      <c r="E682" s="169">
        <f>VLOOKUP(Tabela10[[#This Row],[Tipo de Chapa]],Tabela11[],2,FALSE)</f>
        <v/>
      </c>
      <c r="F682" s="151">
        <f>1362+6</f>
        <v/>
      </c>
      <c r="G682" s="152" t="n">
        <v>0.0551</v>
      </c>
      <c r="H682" s="170">
        <f>Tabela10[[#This Row],[M² Da chapa]]*Tabela10[[#This Row],[Qtde Chapas
Liberadas]]</f>
        <v/>
      </c>
      <c r="I682" s="170" t="n">
        <v>8566.4211</v>
      </c>
      <c r="J682" s="59">
        <f>Tabela10[[#This Row],[ERP]]/Tabela10[[#This Row],[M² Da chapa]]</f>
        <v/>
      </c>
      <c r="K682" s="170">
        <f>Tabela10[[#This Row],[M² CHAPAS]]-Tabela10[[#This Row],[ERP]]</f>
        <v/>
      </c>
      <c r="L682" s="170">
        <f>Tabela10[[#This Row],[DIFERENÇA M²]]/Tabela10[[#This Row],[M² Da chapa]]</f>
        <v/>
      </c>
    </row>
    <row r="683" hidden="1">
      <c r="A683" s="6" t="n">
        <v>46142</v>
      </c>
      <c r="B683" s="8" t="inlineStr">
        <is>
          <t>I26014</t>
        </is>
      </c>
      <c r="C683" s="168">
        <f>VLOOKUP(LEFT(B683,1),Tabela5[],2,0)</f>
        <v/>
      </c>
      <c r="D683" s="57" t="inlineStr">
        <is>
          <t>EUCADUR NT - 2,5MM</t>
        </is>
      </c>
      <c r="E683" s="169">
        <f>VLOOKUP(Tabela10[[#This Row],[Tipo de Chapa]],Tabela11[],2,FALSE)</f>
        <v/>
      </c>
      <c r="F683" s="151" t="n">
        <v>503</v>
      </c>
      <c r="G683" s="152" t="n">
        <v>0.06909999999999999</v>
      </c>
      <c r="H683" s="170">
        <f>Tabela10[[#This Row],[M² Da chapa]]*Tabela10[[#This Row],[Qtde Chapas
Liberadas]]</f>
        <v/>
      </c>
      <c r="J683" s="59">
        <f>Tabela10[[#This Row],[ERP]]/Tabela10[[#This Row],[M² Da chapa]]</f>
        <v/>
      </c>
      <c r="K683" s="170">
        <f>Tabela10[[#This Row],[M² CHAPAS]]-Tabela10[[#This Row],[ERP]]</f>
        <v/>
      </c>
      <c r="L683" s="170">
        <f>Tabela10[[#This Row],[DIFERENÇA M²]]/Tabela10[[#This Row],[M² Da chapa]]</f>
        <v/>
      </c>
    </row>
    <row r="684" hidden="1">
      <c r="A684" s="6" t="n">
        <v>46146</v>
      </c>
      <c r="B684" s="8" t="inlineStr">
        <is>
          <t>M26020</t>
        </is>
      </c>
      <c r="C684" s="168">
        <f>VLOOKUP(LEFT(B684,1),Tabela5[],2,0)</f>
        <v/>
      </c>
      <c r="D684" s="57" t="inlineStr">
        <is>
          <t>MDF - 15MM</t>
        </is>
      </c>
      <c r="E684" s="169">
        <f>VLOOKUP(Tabela10[[#This Row],[Tipo de Chapa]],Tabela11[],2,FALSE)</f>
        <v/>
      </c>
      <c r="F684" s="151" t="n">
        <v>689</v>
      </c>
      <c r="G684" s="152" t="n">
        <v>0.0598</v>
      </c>
      <c r="H684" s="170">
        <f>Tabela10[[#This Row],[M² Da chapa]]*Tabela10[[#This Row],[Qtde Chapas
Liberadas]]</f>
        <v/>
      </c>
      <c r="J684" s="59">
        <f>Tabela10[[#This Row],[ERP]]/Tabela10[[#This Row],[M² Da chapa]]</f>
        <v/>
      </c>
      <c r="K684" s="170">
        <f>Tabela10[[#This Row],[M² CHAPAS]]-Tabela10[[#This Row],[ERP]]</f>
        <v/>
      </c>
      <c r="L684" s="170">
        <f>Tabela10[[#This Row],[DIFERENÇA M²]]/Tabela10[[#This Row],[M² Da chapa]]</f>
        <v/>
      </c>
    </row>
    <row r="685">
      <c r="A685" s="6" t="n">
        <v>46146</v>
      </c>
      <c r="B685" s="8" t="inlineStr">
        <is>
          <t>N2603204</t>
        </is>
      </c>
      <c r="C685" s="168">
        <f>VLOOKUP(LEFT(B685,1),Tabela5[],2,0)</f>
        <v/>
      </c>
      <c r="D685" s="57" t="inlineStr">
        <is>
          <t>MDF - 25MM 2750x2100</t>
        </is>
      </c>
      <c r="E685" s="169">
        <f>VLOOKUP(Tabela10[[#This Row],[Tipo de Chapa]],Tabela11[],2,FALSE)</f>
        <v/>
      </c>
      <c r="F685" s="151" t="n">
        <v>50</v>
      </c>
      <c r="G685" s="152" t="n">
        <v>0.0377</v>
      </c>
      <c r="H685" s="170">
        <f>Tabela10[[#This Row],[M² Da chapa]]*Tabela10[[#This Row],[Qtde Chapas
Liberadas]]</f>
        <v/>
      </c>
      <c r="I685" s="170">
        <f>Tabela10[[#This Row],[M² Da chapa]]*Tabela10[[#This Row],[Qtde Chapas
Liberadas]]</f>
        <v/>
      </c>
      <c r="J685" s="59">
        <f>Tabela10[[#This Row],[ERP]]/Tabela10[[#This Row],[M² Da chapa]]</f>
        <v/>
      </c>
      <c r="K685" s="170">
        <f>Tabela10[[#This Row],[M² CHAPAS]]-Tabela10[[#This Row],[ERP]]</f>
        <v/>
      </c>
      <c r="L685" s="170">
        <f>Tabela10[[#This Row],[DIFERENÇA M²]]/Tabela10[[#This Row],[M² Da chapa]]</f>
        <v/>
      </c>
    </row>
    <row r="686">
      <c r="A686" s="6" t="n">
        <v>46146</v>
      </c>
      <c r="B686" s="8" t="inlineStr">
        <is>
          <t>N2603207</t>
        </is>
      </c>
      <c r="C686" s="168">
        <f>VLOOKUP(LEFT(B686,1),Tabela5[],2,0)</f>
        <v/>
      </c>
      <c r="D686" s="57" t="inlineStr">
        <is>
          <t>MDF - 25MM 2750x2200</t>
        </is>
      </c>
      <c r="E686" s="169">
        <f>VLOOKUP(Tabela10[[#This Row],[Tipo de Chapa]],Tabela11[],2,FALSE)</f>
        <v/>
      </c>
      <c r="F686" s="151" t="n">
        <v>50</v>
      </c>
      <c r="G686" s="152" t="n">
        <v>0.0182</v>
      </c>
      <c r="H686" s="170">
        <f>Tabela10[[#This Row],[M² Da chapa]]*Tabela10[[#This Row],[Qtde Chapas
Liberadas]]</f>
        <v/>
      </c>
      <c r="I686" s="170">
        <f>Tabela10[[#This Row],[M² Da chapa]]*Tabela10[[#This Row],[Qtde Chapas
Liberadas]]</f>
        <v/>
      </c>
      <c r="J686" s="59">
        <f>Tabela10[[#This Row],[ERP]]/Tabela10[[#This Row],[M² Da chapa]]</f>
        <v/>
      </c>
      <c r="K686" s="170">
        <f>Tabela10[[#This Row],[M² CHAPAS]]-Tabela10[[#This Row],[ERP]]</f>
        <v/>
      </c>
      <c r="L686" s="170">
        <f>Tabela10[[#This Row],[DIFERENÇA M²]]/Tabela10[[#This Row],[M² Da chapa]]</f>
        <v/>
      </c>
    </row>
    <row r="687">
      <c r="A687" s="6" t="n">
        <v>46146</v>
      </c>
      <c r="B687" s="8" t="inlineStr">
        <is>
          <t>N26032</t>
        </is>
      </c>
      <c r="C687" s="168">
        <f>VLOOKUP(LEFT(B687,1),Tabela5[],2,0)</f>
        <v/>
      </c>
      <c r="D687" s="57" t="inlineStr">
        <is>
          <t>EUCADUR NT - 2,5MM</t>
        </is>
      </c>
      <c r="E687" s="169">
        <f>VLOOKUP(Tabela10[[#This Row],[Tipo de Chapa]],Tabela11[],2,FALSE)</f>
        <v/>
      </c>
      <c r="F687" s="151" t="n">
        <v>449</v>
      </c>
      <c r="G687" s="152" t="n">
        <v>0.06809999999999999</v>
      </c>
      <c r="H687" s="170">
        <f>Tabela10[[#This Row],[M² Da chapa]]*Tabela10[[#This Row],[Qtde Chapas
Liberadas]]</f>
        <v/>
      </c>
      <c r="I687" s="170">
        <f>Tabela10[[#This Row],[M² Da chapa]]*Tabela10[[#This Row],[Qtde Chapas
Liberadas]]</f>
        <v/>
      </c>
      <c r="J687" s="59">
        <f>Tabela10[[#This Row],[ERP]]/Tabela10[[#This Row],[M² Da chapa]]</f>
        <v/>
      </c>
      <c r="K687" s="170">
        <f>Tabela10[[#This Row],[M² CHAPAS]]-Tabela10[[#This Row],[ERP]]</f>
        <v/>
      </c>
      <c r="L687" s="170">
        <f>Tabela10[[#This Row],[DIFERENÇA M²]]/Tabela10[[#This Row],[M² Da chapa]]</f>
        <v/>
      </c>
    </row>
    <row r="688" hidden="1">
      <c r="A688" s="6" t="n">
        <v>46146</v>
      </c>
      <c r="B688" s="8" t="inlineStr">
        <is>
          <t>M26020</t>
        </is>
      </c>
      <c r="C688" s="168">
        <f>VLOOKUP(LEFT(B688,1),Tabela5[],2,0)</f>
        <v/>
      </c>
      <c r="D688" s="57" t="inlineStr">
        <is>
          <t>EUCADUR FRJ - 2,5MM</t>
        </is>
      </c>
      <c r="E688" s="169">
        <f>VLOOKUP(Tabela10[[#This Row],[Tipo de Chapa]],Tabela11[],2,FALSE)</f>
        <v/>
      </c>
      <c r="F688" s="151" t="n">
        <v>200</v>
      </c>
      <c r="G688" s="152" t="n">
        <v>0.06320000000000001</v>
      </c>
      <c r="H688" s="170">
        <f>Tabela10[[#This Row],[M² Da chapa]]*Tabela10[[#This Row],[Qtde Chapas
Liberadas]]</f>
        <v/>
      </c>
      <c r="J688" s="59">
        <f>Tabela10[[#This Row],[ERP]]/Tabela10[[#This Row],[M² Da chapa]]</f>
        <v/>
      </c>
      <c r="K688" s="170">
        <f>Tabela10[[#This Row],[M² CHAPAS]]-Tabela10[[#This Row],[ERP]]</f>
        <v/>
      </c>
      <c r="L688" s="170">
        <f>Tabela10[[#This Row],[DIFERENÇA M²]]/Tabela10[[#This Row],[M² Da chapa]]</f>
        <v/>
      </c>
    </row>
    <row r="689" hidden="1">
      <c r="A689" s="6" t="n">
        <v>46113</v>
      </c>
      <c r="B689" s="8" t="inlineStr">
        <is>
          <t>V26057</t>
        </is>
      </c>
      <c r="C689" s="168">
        <f>VLOOKUP(LEFT(B689,1),Tabela5[],2,0)</f>
        <v/>
      </c>
      <c r="D689" s="57" t="inlineStr">
        <is>
          <t>CAPA DURATREE -2,5MM</t>
        </is>
      </c>
      <c r="E689" s="169">
        <f>VLOOKUP(Tabela10[[#This Row],[Tipo de Chapa]],Tabela11[],2,FALSE)</f>
        <v/>
      </c>
      <c r="F689" s="151" t="n">
        <v>10</v>
      </c>
      <c r="G689" s="152" t="n">
        <v>0.08699999999999999</v>
      </c>
      <c r="H689" s="170">
        <f>Tabela10[[#This Row],[M² Da chapa]]*Tabela10[[#This Row],[Qtde Chapas
Liberadas]]</f>
        <v/>
      </c>
      <c r="J689" s="59">
        <f>Tabela10[[#This Row],[ERP]]/Tabela10[[#This Row],[M² Da chapa]]</f>
        <v/>
      </c>
      <c r="K689" s="170">
        <f>Tabela10[[#This Row],[M² CHAPAS]]-Tabela10[[#This Row],[ERP]]</f>
        <v/>
      </c>
      <c r="L689" s="170">
        <f>Tabela10[[#This Row],[DIFERENÇA M²]]/Tabela10[[#This Row],[M² Da chapa]]</f>
        <v/>
      </c>
    </row>
    <row r="690" hidden="1">
      <c r="A690" s="6" t="n">
        <v>46147</v>
      </c>
      <c r="B690" s="8" t="inlineStr">
        <is>
          <t>V26058</t>
        </is>
      </c>
      <c r="C690" s="168">
        <f>VLOOKUP(LEFT(B690,1),Tabela5[],2,0)</f>
        <v/>
      </c>
      <c r="D690" s="57" t="inlineStr">
        <is>
          <t>CAPA MDF - 15MM</t>
        </is>
      </c>
      <c r="E690" s="169">
        <f>VLOOKUP(Tabela10[[#This Row],[Tipo de Chapa]],Tabela11[],2,FALSE)</f>
        <v/>
      </c>
      <c r="F690" s="151">
        <f>7+9</f>
        <v/>
      </c>
      <c r="G690" s="152" t="n">
        <v>0.0665</v>
      </c>
      <c r="H690" s="170">
        <f>Tabela10[[#This Row],[M² Da chapa]]*Tabela10[[#This Row],[Qtde Chapas
Liberadas]]</f>
        <v/>
      </c>
      <c r="J690" s="59">
        <f>Tabela10[[#This Row],[ERP]]/Tabela10[[#This Row],[M² Da chapa]]</f>
        <v/>
      </c>
      <c r="K690" s="170">
        <f>Tabela10[[#This Row],[M² CHAPAS]]-Tabela10[[#This Row],[ERP]]</f>
        <v/>
      </c>
      <c r="L690" s="170">
        <f>Tabela10[[#This Row],[DIFERENÇA M²]]/Tabela10[[#This Row],[M² Da chapa]]</f>
        <v/>
      </c>
    </row>
    <row r="691" hidden="1">
      <c r="A691" s="6" t="n">
        <v>46147</v>
      </c>
      <c r="B691" s="8" t="inlineStr">
        <is>
          <t>V26058</t>
        </is>
      </c>
      <c r="C691" s="168">
        <f>VLOOKUP(LEFT(B691,1),Tabela5[],2,0)</f>
        <v/>
      </c>
      <c r="D691" s="57" t="inlineStr">
        <is>
          <t>MDF - 25MM 2750x2200</t>
        </is>
      </c>
      <c r="E691" s="169">
        <f>VLOOKUP(Tabela10[[#This Row],[Tipo de Chapa]],Tabela11[],2,FALSE)</f>
        <v/>
      </c>
      <c r="F691" s="151" t="n">
        <v>45</v>
      </c>
      <c r="G691" s="152" t="n">
        <v>0.0533</v>
      </c>
      <c r="H691" s="170">
        <f>Tabela10[[#This Row],[M² Da chapa]]*Tabela10[[#This Row],[Qtde Chapas
Liberadas]]</f>
        <v/>
      </c>
      <c r="J691" s="59">
        <f>Tabela10[[#This Row],[ERP]]/Tabela10[[#This Row],[M² Da chapa]]</f>
        <v/>
      </c>
      <c r="K691" s="170">
        <f>Tabela10[[#This Row],[M² CHAPAS]]-Tabela10[[#This Row],[ERP]]</f>
        <v/>
      </c>
      <c r="L691" s="170">
        <f>Tabela10[[#This Row],[DIFERENÇA M²]]/Tabela10[[#This Row],[M² Da chapa]]</f>
        <v/>
      </c>
    </row>
    <row r="692" hidden="1">
      <c r="A692" s="6" t="n">
        <v>46147</v>
      </c>
      <c r="B692" s="8" t="inlineStr">
        <is>
          <t>V26058</t>
        </is>
      </c>
      <c r="C692" s="168">
        <f>VLOOKUP(LEFT(B692,1),Tabela5[],2,0)</f>
        <v/>
      </c>
      <c r="D692" s="57" t="inlineStr">
        <is>
          <t>CAPA DURATREE -2,5MM</t>
        </is>
      </c>
      <c r="E692" s="169">
        <f>VLOOKUP(Tabela10[[#This Row],[Tipo de Chapa]],Tabela11[],2,FALSE)</f>
        <v/>
      </c>
      <c r="F692" s="151" t="n">
        <v>10</v>
      </c>
      <c r="G692" s="152" t="n">
        <v>0.08699999999999999</v>
      </c>
      <c r="H692" s="170">
        <f>Tabela10[[#This Row],[M² Da chapa]]*Tabela10[[#This Row],[Qtde Chapas
Liberadas]]</f>
        <v/>
      </c>
      <c r="J692" s="59">
        <f>Tabela10[[#This Row],[ERP]]/Tabela10[[#This Row],[M² Da chapa]]</f>
        <v/>
      </c>
      <c r="K692" s="170">
        <f>Tabela10[[#This Row],[M² CHAPAS]]-Tabela10[[#This Row],[ERP]]</f>
        <v/>
      </c>
      <c r="L692" s="170">
        <f>Tabela10[[#This Row],[DIFERENÇA M²]]/Tabela10[[#This Row],[M² Da chapa]]</f>
        <v/>
      </c>
    </row>
    <row r="693" hidden="1">
      <c r="A693" s="6" t="n">
        <v>46147</v>
      </c>
      <c r="B693" s="8" t="inlineStr">
        <is>
          <t>V26059</t>
        </is>
      </c>
      <c r="C693" s="168">
        <f>VLOOKUP(LEFT(B693,1),Tabela5[],2,0)</f>
        <v/>
      </c>
      <c r="D693" s="57" t="inlineStr">
        <is>
          <t>CAPA MDF - 15MM</t>
        </is>
      </c>
      <c r="E693" s="169">
        <f>VLOOKUP(Tabela10[[#This Row],[Tipo de Chapa]],Tabela11[],2,FALSE)</f>
        <v/>
      </c>
      <c r="F693" s="151">
        <f>6+9</f>
        <v/>
      </c>
      <c r="G693" s="152" t="n">
        <v>0.06850000000000001</v>
      </c>
      <c r="H693" s="170">
        <f>Tabela10[[#This Row],[M² Da chapa]]*Tabela10[[#This Row],[Qtde Chapas
Liberadas]]</f>
        <v/>
      </c>
      <c r="J693" s="59">
        <f>Tabela10[[#This Row],[ERP]]/Tabela10[[#This Row],[M² Da chapa]]</f>
        <v/>
      </c>
      <c r="K693" s="170">
        <f>Tabela10[[#This Row],[M² CHAPAS]]-Tabela10[[#This Row],[ERP]]</f>
        <v/>
      </c>
      <c r="L693" s="170">
        <f>Tabela10[[#This Row],[DIFERENÇA M²]]/Tabela10[[#This Row],[M² Da chapa]]</f>
        <v/>
      </c>
    </row>
    <row r="694" hidden="1">
      <c r="A694" s="6" t="n">
        <v>46147</v>
      </c>
      <c r="B694" s="8" t="inlineStr">
        <is>
          <t>V26059</t>
        </is>
      </c>
      <c r="C694" s="168">
        <f>VLOOKUP(LEFT(B694,1),Tabela5[],2,0)</f>
        <v/>
      </c>
      <c r="D694" s="57" t="inlineStr">
        <is>
          <t>MDF - 25MM 2750x2200</t>
        </is>
      </c>
      <c r="E694" s="169">
        <f>VLOOKUP(Tabela10[[#This Row],[Tipo de Chapa]],Tabela11[],2,FALSE)</f>
        <v/>
      </c>
      <c r="F694" s="151" t="n">
        <v>43</v>
      </c>
      <c r="G694" s="152" t="n">
        <v>0.0533</v>
      </c>
      <c r="H694" s="170">
        <f>Tabela10[[#This Row],[M² Da chapa]]*Tabela10[[#This Row],[Qtde Chapas
Liberadas]]</f>
        <v/>
      </c>
      <c r="J694" s="59">
        <f>Tabela10[[#This Row],[ERP]]/Tabela10[[#This Row],[M² Da chapa]]</f>
        <v/>
      </c>
      <c r="K694" s="170">
        <f>Tabela10[[#This Row],[M² CHAPAS]]-Tabela10[[#This Row],[ERP]]</f>
        <v/>
      </c>
      <c r="L694" s="170">
        <f>Tabela10[[#This Row],[DIFERENÇA M²]]/Tabela10[[#This Row],[M² Da chapa]]</f>
        <v/>
      </c>
    </row>
    <row r="695" hidden="1">
      <c r="A695" s="6" t="n">
        <v>46147</v>
      </c>
      <c r="B695" s="8" t="inlineStr">
        <is>
          <t>V26059</t>
        </is>
      </c>
      <c r="C695" s="168">
        <f>VLOOKUP(LEFT(B695,1),Tabela5[],2,0)</f>
        <v/>
      </c>
      <c r="D695" s="57" t="inlineStr">
        <is>
          <t>CAPA DURATREE -2,5MM</t>
        </is>
      </c>
      <c r="E695" s="169">
        <f>VLOOKUP(Tabela10[[#This Row],[Tipo de Chapa]],Tabela11[],2,FALSE)</f>
        <v/>
      </c>
      <c r="F695" s="151" t="n">
        <v>10</v>
      </c>
      <c r="G695" s="152" t="n">
        <v>0.08699999999999999</v>
      </c>
      <c r="H695" s="170">
        <f>Tabela10[[#This Row],[M² Da chapa]]*Tabela10[[#This Row],[Qtde Chapas
Liberadas]]</f>
        <v/>
      </c>
      <c r="J695" s="59">
        <f>Tabela10[[#This Row],[ERP]]/Tabela10[[#This Row],[M² Da chapa]]</f>
        <v/>
      </c>
      <c r="K695" s="170">
        <f>Tabela10[[#This Row],[M² CHAPAS]]-Tabela10[[#This Row],[ERP]]</f>
        <v/>
      </c>
      <c r="L695" s="170">
        <f>Tabela10[[#This Row],[DIFERENÇA M²]]/Tabela10[[#This Row],[M² Da chapa]]</f>
        <v/>
      </c>
    </row>
    <row r="696" hidden="1">
      <c r="A696" s="6" t="n">
        <v>46147</v>
      </c>
      <c r="B696" s="8" t="inlineStr">
        <is>
          <t>V26060</t>
        </is>
      </c>
      <c r="C696" s="168">
        <f>VLOOKUP(LEFT(B696,1),Tabela5[],2,0)</f>
        <v/>
      </c>
      <c r="D696" s="57" t="inlineStr">
        <is>
          <t>CAPA MDF - 15MM</t>
        </is>
      </c>
      <c r="E696" s="169">
        <f>VLOOKUP(Tabela10[[#This Row],[Tipo de Chapa]],Tabela11[],2,FALSE)</f>
        <v/>
      </c>
      <c r="F696" s="151">
        <f>7+9</f>
        <v/>
      </c>
      <c r="G696" s="152" t="n">
        <v>0.0665</v>
      </c>
      <c r="H696" s="170">
        <f>Tabela10[[#This Row],[M² Da chapa]]*Tabela10[[#This Row],[Qtde Chapas
Liberadas]]</f>
        <v/>
      </c>
      <c r="J696" s="59">
        <f>Tabela10[[#This Row],[ERP]]/Tabela10[[#This Row],[M² Da chapa]]</f>
        <v/>
      </c>
      <c r="K696" s="170">
        <f>Tabela10[[#This Row],[M² CHAPAS]]-Tabela10[[#This Row],[ERP]]</f>
        <v/>
      </c>
      <c r="L696" s="170">
        <f>Tabela10[[#This Row],[DIFERENÇA M²]]/Tabela10[[#This Row],[M² Da chapa]]</f>
        <v/>
      </c>
    </row>
    <row r="697" hidden="1">
      <c r="A697" s="6" t="n">
        <v>46147</v>
      </c>
      <c r="B697" s="8" t="inlineStr">
        <is>
          <t>V26060</t>
        </is>
      </c>
      <c r="C697" s="168">
        <f>VLOOKUP(LEFT(B697,1),Tabela5[],2,0)</f>
        <v/>
      </c>
      <c r="D697" s="57" t="inlineStr">
        <is>
          <t>MDF - 25MM 2750x2200</t>
        </is>
      </c>
      <c r="E697" s="169">
        <f>VLOOKUP(Tabela10[[#This Row],[Tipo de Chapa]],Tabela11[],2,FALSE)</f>
        <v/>
      </c>
      <c r="F697" s="151" t="n">
        <v>45</v>
      </c>
      <c r="G697" s="152" t="n">
        <v>0.0533</v>
      </c>
      <c r="H697" s="170">
        <f>Tabela10[[#This Row],[M² Da chapa]]*Tabela10[[#This Row],[Qtde Chapas
Liberadas]]</f>
        <v/>
      </c>
      <c r="J697" s="59">
        <f>Tabela10[[#This Row],[ERP]]/Tabela10[[#This Row],[M² Da chapa]]</f>
        <v/>
      </c>
      <c r="K697" s="170">
        <f>Tabela10[[#This Row],[M² CHAPAS]]-Tabela10[[#This Row],[ERP]]</f>
        <v/>
      </c>
      <c r="L697" s="170">
        <f>Tabela10[[#This Row],[DIFERENÇA M²]]/Tabela10[[#This Row],[M² Da chapa]]</f>
        <v/>
      </c>
    </row>
    <row r="698" hidden="1">
      <c r="A698" s="6" t="n">
        <v>46147</v>
      </c>
      <c r="B698" s="8" t="inlineStr">
        <is>
          <t>V26060</t>
        </is>
      </c>
      <c r="C698" s="168">
        <f>VLOOKUP(LEFT(B698,1),Tabela5[],2,0)</f>
        <v/>
      </c>
      <c r="D698" s="57" t="inlineStr">
        <is>
          <t>CAPA DURATREE -2,5MM</t>
        </is>
      </c>
      <c r="E698" s="169">
        <f>VLOOKUP(Tabela10[[#This Row],[Tipo de Chapa]],Tabela11[],2,FALSE)</f>
        <v/>
      </c>
      <c r="F698" s="151" t="n">
        <v>10</v>
      </c>
      <c r="G698" s="152" t="n">
        <v>0.08699999999999999</v>
      </c>
      <c r="H698" s="170">
        <f>Tabela10[[#This Row],[M² Da chapa]]*Tabela10[[#This Row],[Qtde Chapas
Liberadas]]</f>
        <v/>
      </c>
      <c r="J698" s="59">
        <f>Tabela10[[#This Row],[ERP]]/Tabela10[[#This Row],[M² Da chapa]]</f>
        <v/>
      </c>
      <c r="K698" s="170">
        <f>Tabela10[[#This Row],[M² CHAPAS]]-Tabela10[[#This Row],[ERP]]</f>
        <v/>
      </c>
      <c r="L698" s="170">
        <f>Tabela10[[#This Row],[DIFERENÇA M²]]/Tabela10[[#This Row],[M² Da chapa]]</f>
        <v/>
      </c>
    </row>
    <row r="699" hidden="1">
      <c r="A699" s="6" t="n">
        <v>46147</v>
      </c>
      <c r="B699" s="8" t="inlineStr">
        <is>
          <t>V26061</t>
        </is>
      </c>
      <c r="C699" s="168">
        <f>VLOOKUP(LEFT(B699,1),Tabela5[],2,0)</f>
        <v/>
      </c>
      <c r="D699" s="57" t="inlineStr">
        <is>
          <t>CAPA MDF - 15MM</t>
        </is>
      </c>
      <c r="E699" s="169">
        <f>VLOOKUP(Tabela10[[#This Row],[Tipo de Chapa]],Tabela11[],2,FALSE)</f>
        <v/>
      </c>
      <c r="F699" s="151">
        <f>6+9</f>
        <v/>
      </c>
      <c r="G699" s="152" t="n">
        <v>0.06850000000000001</v>
      </c>
      <c r="H699" s="170">
        <f>Tabela10[[#This Row],[M² Da chapa]]*Tabela10[[#This Row],[Qtde Chapas
Liberadas]]</f>
        <v/>
      </c>
      <c r="J699" s="59">
        <f>Tabela10[[#This Row],[ERP]]/Tabela10[[#This Row],[M² Da chapa]]</f>
        <v/>
      </c>
      <c r="K699" s="170">
        <f>Tabela10[[#This Row],[M² CHAPAS]]-Tabela10[[#This Row],[ERP]]</f>
        <v/>
      </c>
      <c r="L699" s="170">
        <f>Tabela10[[#This Row],[DIFERENÇA M²]]/Tabela10[[#This Row],[M² Da chapa]]</f>
        <v/>
      </c>
    </row>
    <row r="700" hidden="1">
      <c r="A700" s="6" t="n">
        <v>46147</v>
      </c>
      <c r="B700" s="8" t="inlineStr">
        <is>
          <t>V26061</t>
        </is>
      </c>
      <c r="C700" s="168">
        <f>VLOOKUP(LEFT(B700,1),Tabela5[],2,0)</f>
        <v/>
      </c>
      <c r="D700" s="57" t="inlineStr">
        <is>
          <t>MDF - 25MM 2750x2200</t>
        </is>
      </c>
      <c r="E700" s="169">
        <f>VLOOKUP(Tabela10[[#This Row],[Tipo de Chapa]],Tabela11[],2,FALSE)</f>
        <v/>
      </c>
      <c r="F700" s="151" t="n">
        <v>45</v>
      </c>
      <c r="G700" s="152" t="n">
        <v>0.0533</v>
      </c>
      <c r="H700" s="170">
        <f>Tabela10[[#This Row],[M² Da chapa]]*Tabela10[[#This Row],[Qtde Chapas
Liberadas]]</f>
        <v/>
      </c>
      <c r="J700" s="59">
        <f>Tabela10[[#This Row],[ERP]]/Tabela10[[#This Row],[M² Da chapa]]</f>
        <v/>
      </c>
      <c r="K700" s="170">
        <f>Tabela10[[#This Row],[M² CHAPAS]]-Tabela10[[#This Row],[ERP]]</f>
        <v/>
      </c>
      <c r="L700" s="170">
        <f>Tabela10[[#This Row],[DIFERENÇA M²]]/Tabela10[[#This Row],[M² Da chapa]]</f>
        <v/>
      </c>
    </row>
    <row r="701" hidden="1">
      <c r="A701" s="6" t="n">
        <v>46147</v>
      </c>
      <c r="B701" s="8" t="inlineStr">
        <is>
          <t>V26061</t>
        </is>
      </c>
      <c r="C701" s="168">
        <f>VLOOKUP(LEFT(B701,1),Tabela5[],2,0)</f>
        <v/>
      </c>
      <c r="D701" s="57" t="inlineStr">
        <is>
          <t>CAPA DURATREE -2,5MM</t>
        </is>
      </c>
      <c r="E701" s="169">
        <f>VLOOKUP(Tabela10[[#This Row],[Tipo de Chapa]],Tabela11[],2,FALSE)</f>
        <v/>
      </c>
      <c r="F701" s="151" t="n">
        <v>10</v>
      </c>
      <c r="G701" s="152" t="n">
        <v>0.08699999999999999</v>
      </c>
      <c r="H701" s="170">
        <f>Tabela10[[#This Row],[M² Da chapa]]*Tabela10[[#This Row],[Qtde Chapas
Liberadas]]</f>
        <v/>
      </c>
      <c r="J701" s="59">
        <f>Tabela10[[#This Row],[ERP]]/Tabela10[[#This Row],[M² Da chapa]]</f>
        <v/>
      </c>
      <c r="K701" s="170">
        <f>Tabela10[[#This Row],[M² CHAPAS]]-Tabela10[[#This Row],[ERP]]</f>
        <v/>
      </c>
      <c r="L701" s="170">
        <f>Tabela10[[#This Row],[DIFERENÇA M²]]/Tabela10[[#This Row],[M² Da chapa]]</f>
        <v/>
      </c>
    </row>
    <row r="702" hidden="1">
      <c r="A702" s="6" t="n">
        <v>46147</v>
      </c>
      <c r="B702" s="8" t="inlineStr">
        <is>
          <t>V26062</t>
        </is>
      </c>
      <c r="C702" s="168">
        <f>VLOOKUP(LEFT(B702,1),Tabela5[],2,0)</f>
        <v/>
      </c>
      <c r="D702" s="57" t="inlineStr">
        <is>
          <t>CAPA MDF - 15MM</t>
        </is>
      </c>
      <c r="E702" s="169">
        <f>VLOOKUP(Tabela10[[#This Row],[Tipo de Chapa]],Tabela11[],2,FALSE)</f>
        <v/>
      </c>
      <c r="F702" s="151">
        <f>7+8</f>
        <v/>
      </c>
      <c r="G702" s="152" t="n">
        <v>0.0649</v>
      </c>
      <c r="H702" s="170">
        <f>Tabela10[[#This Row],[M² Da chapa]]*Tabela10[[#This Row],[Qtde Chapas
Liberadas]]</f>
        <v/>
      </c>
      <c r="J702" s="59">
        <f>Tabela10[[#This Row],[ERP]]/Tabela10[[#This Row],[M² Da chapa]]</f>
        <v/>
      </c>
      <c r="K702" s="170">
        <f>Tabela10[[#This Row],[M² CHAPAS]]-Tabela10[[#This Row],[ERP]]</f>
        <v/>
      </c>
      <c r="L702" s="170">
        <f>Tabela10[[#This Row],[DIFERENÇA M²]]/Tabela10[[#This Row],[M² Da chapa]]</f>
        <v/>
      </c>
    </row>
    <row r="703" hidden="1">
      <c r="A703" s="6" t="n">
        <v>46147</v>
      </c>
      <c r="B703" s="8" t="inlineStr">
        <is>
          <t>V26062</t>
        </is>
      </c>
      <c r="C703" s="168">
        <f>VLOOKUP(LEFT(B703,1),Tabela5[],2,0)</f>
        <v/>
      </c>
      <c r="D703" s="57" t="inlineStr">
        <is>
          <t>MDF - 25MM 2750x2200</t>
        </is>
      </c>
      <c r="E703" s="169">
        <f>VLOOKUP(Tabela10[[#This Row],[Tipo de Chapa]],Tabela11[],2,FALSE)</f>
        <v/>
      </c>
      <c r="F703" s="151" t="n">
        <v>43</v>
      </c>
      <c r="G703" s="152" t="n">
        <v>0.0533</v>
      </c>
      <c r="H703" s="170">
        <f>Tabela10[[#This Row],[M² Da chapa]]*Tabela10[[#This Row],[Qtde Chapas
Liberadas]]</f>
        <v/>
      </c>
      <c r="J703" s="59">
        <f>Tabela10[[#This Row],[ERP]]/Tabela10[[#This Row],[M² Da chapa]]</f>
        <v/>
      </c>
      <c r="K703" s="170">
        <f>Tabela10[[#This Row],[M² CHAPAS]]-Tabela10[[#This Row],[ERP]]</f>
        <v/>
      </c>
      <c r="L703" s="170">
        <f>Tabela10[[#This Row],[DIFERENÇA M²]]/Tabela10[[#This Row],[M² Da chapa]]</f>
        <v/>
      </c>
    </row>
    <row r="704" hidden="1">
      <c r="A704" s="6" t="n">
        <v>46147</v>
      </c>
      <c r="B704" s="8" t="inlineStr">
        <is>
          <t>V26062</t>
        </is>
      </c>
      <c r="C704" s="168">
        <f>VLOOKUP(LEFT(B704,1),Tabela5[],2,0)</f>
        <v/>
      </c>
      <c r="D704" s="57" t="inlineStr">
        <is>
          <t>CAPA DURATREE -2,5MM</t>
        </is>
      </c>
      <c r="E704" s="169">
        <f>VLOOKUP(Tabela10[[#This Row],[Tipo de Chapa]],Tabela11[],2,FALSE)</f>
        <v/>
      </c>
      <c r="F704" s="151" t="n">
        <v>9</v>
      </c>
      <c r="G704" s="152" t="n">
        <v>0.08699999999999999</v>
      </c>
      <c r="H704" s="170">
        <f>Tabela10[[#This Row],[M² Da chapa]]*Tabela10[[#This Row],[Qtde Chapas
Liberadas]]</f>
        <v/>
      </c>
      <c r="J704" s="59">
        <f>Tabela10[[#This Row],[ERP]]/Tabela10[[#This Row],[M² Da chapa]]</f>
        <v/>
      </c>
      <c r="K704" s="170">
        <f>Tabela10[[#This Row],[M² CHAPAS]]-Tabela10[[#This Row],[ERP]]</f>
        <v/>
      </c>
      <c r="L704" s="170">
        <f>Tabela10[[#This Row],[DIFERENÇA M²]]/Tabela10[[#This Row],[M² Da chapa]]</f>
        <v/>
      </c>
    </row>
    <row r="705" hidden="1">
      <c r="A705" s="6" t="n">
        <v>46147</v>
      </c>
      <c r="B705" s="8" t="inlineStr">
        <is>
          <t>V-U26002</t>
        </is>
      </c>
      <c r="C705" s="168">
        <f>VLOOKUP(LEFT(B705,1),Tabela5[],2,0)</f>
        <v/>
      </c>
      <c r="D705" s="57" t="inlineStr">
        <is>
          <t>CAPA MDF - 15MM</t>
        </is>
      </c>
      <c r="E705" s="169">
        <f>VLOOKUP(Tabela10[[#This Row],[Tipo de Chapa]],Tabela11[],2,FALSE)</f>
        <v/>
      </c>
      <c r="F705" s="151">
        <f>3+19</f>
        <v/>
      </c>
      <c r="G705" s="152" t="n">
        <v>0.0828</v>
      </c>
      <c r="H705" s="170">
        <f>Tabela10[[#This Row],[M² Da chapa]]*Tabela10[[#This Row],[Qtde Chapas
Liberadas]]</f>
        <v/>
      </c>
      <c r="J705" s="59">
        <f>Tabela10[[#This Row],[ERP]]/Tabela10[[#This Row],[M² Da chapa]]</f>
        <v/>
      </c>
      <c r="K705" s="170">
        <f>Tabela10[[#This Row],[M² CHAPAS]]-Tabela10[[#This Row],[ERP]]</f>
        <v/>
      </c>
      <c r="L705" s="170">
        <f>Tabela10[[#This Row],[DIFERENÇA M²]]/Tabela10[[#This Row],[M² Da chapa]]</f>
        <v/>
      </c>
    </row>
    <row r="706" hidden="1">
      <c r="A706" s="6" t="n">
        <v>46147</v>
      </c>
      <c r="B706" s="8" t="inlineStr">
        <is>
          <t>V-U26002</t>
        </is>
      </c>
      <c r="C706" s="168">
        <f>VLOOKUP(LEFT(B706,1),Tabela5[],2,0)</f>
        <v/>
      </c>
      <c r="D706" s="57" t="inlineStr">
        <is>
          <t>MDF - 25MM 2750x2200</t>
        </is>
      </c>
      <c r="E706" s="169">
        <f>VLOOKUP(Tabela10[[#This Row],[Tipo de Chapa]],Tabela11[],2,FALSE)</f>
        <v/>
      </c>
      <c r="F706" s="151" t="n">
        <v>20</v>
      </c>
      <c r="G706" s="152" t="n">
        <v>0.0533</v>
      </c>
      <c r="H706" s="170">
        <f>Tabela10[[#This Row],[M² Da chapa]]*Tabela10[[#This Row],[Qtde Chapas
Liberadas]]</f>
        <v/>
      </c>
      <c r="J706" s="59">
        <f>Tabela10[[#This Row],[ERP]]/Tabela10[[#This Row],[M² Da chapa]]</f>
        <v/>
      </c>
      <c r="K706" s="170">
        <f>Tabela10[[#This Row],[M² CHAPAS]]-Tabela10[[#This Row],[ERP]]</f>
        <v/>
      </c>
      <c r="L706" s="170">
        <f>Tabela10[[#This Row],[DIFERENÇA M²]]/Tabela10[[#This Row],[M² Da chapa]]</f>
        <v/>
      </c>
    </row>
    <row r="707" hidden="1">
      <c r="A707" s="6" t="n">
        <v>46147</v>
      </c>
      <c r="B707" s="8" t="inlineStr">
        <is>
          <t>V-U26002</t>
        </is>
      </c>
      <c r="C707" s="168">
        <f>VLOOKUP(LEFT(B707,1),Tabela5[],2,0)</f>
        <v/>
      </c>
      <c r="D707" s="57" t="inlineStr">
        <is>
          <t>CAPA DURATREE -2,5MM</t>
        </is>
      </c>
      <c r="E707" s="169">
        <f>VLOOKUP(Tabela10[[#This Row],[Tipo de Chapa]],Tabela11[],2,FALSE)</f>
        <v/>
      </c>
      <c r="F707" s="151" t="n">
        <v>21</v>
      </c>
      <c r="G707" s="152" t="n">
        <v>0.08699999999999999</v>
      </c>
      <c r="H707" s="170">
        <f>Tabela10[[#This Row],[M² Da chapa]]*Tabela10[[#This Row],[Qtde Chapas
Liberadas]]</f>
        <v/>
      </c>
      <c r="J707" s="59">
        <f>Tabela10[[#This Row],[ERP]]/Tabela10[[#This Row],[M² Da chapa]]</f>
        <v/>
      </c>
      <c r="K707" s="170">
        <f>Tabela10[[#This Row],[M² CHAPAS]]-Tabela10[[#This Row],[ERP]]</f>
        <v/>
      </c>
      <c r="L707" s="170">
        <f>Tabela10[[#This Row],[DIFERENÇA M²]]/Tabela10[[#This Row],[M² Da chapa]]</f>
        <v/>
      </c>
    </row>
    <row r="708" hidden="1">
      <c r="A708" s="6" t="n">
        <v>46147</v>
      </c>
      <c r="B708" s="8" t="inlineStr">
        <is>
          <t>V-U26003</t>
        </is>
      </c>
      <c r="C708" s="168">
        <f>VLOOKUP(LEFT(B708,1),Tabela5[],2,0)</f>
        <v/>
      </c>
      <c r="D708" s="57" t="inlineStr">
        <is>
          <t>CAPA MDF - 15MM</t>
        </is>
      </c>
      <c r="E708" s="169">
        <f>VLOOKUP(Tabela10[[#This Row],[Tipo de Chapa]],Tabela11[],2,FALSE)</f>
        <v/>
      </c>
      <c r="F708" s="151">
        <f>3+19</f>
        <v/>
      </c>
      <c r="G708" s="152" t="n">
        <v>0.0828</v>
      </c>
      <c r="H708" s="170">
        <f>Tabela10[[#This Row],[M² Da chapa]]*Tabela10[[#This Row],[Qtde Chapas
Liberadas]]</f>
        <v/>
      </c>
      <c r="J708" s="59">
        <f>Tabela10[[#This Row],[ERP]]/Tabela10[[#This Row],[M² Da chapa]]</f>
        <v/>
      </c>
      <c r="K708" s="170">
        <f>Tabela10[[#This Row],[M² CHAPAS]]-Tabela10[[#This Row],[ERP]]</f>
        <v/>
      </c>
      <c r="L708" s="170">
        <f>Tabela10[[#This Row],[DIFERENÇA M²]]/Tabela10[[#This Row],[M² Da chapa]]</f>
        <v/>
      </c>
    </row>
    <row r="709" hidden="1">
      <c r="A709" s="6" t="n">
        <v>46147</v>
      </c>
      <c r="B709" s="8" t="inlineStr">
        <is>
          <t>V-U26003</t>
        </is>
      </c>
      <c r="C709" s="168">
        <f>VLOOKUP(LEFT(B709,1),Tabela5[],2,0)</f>
        <v/>
      </c>
      <c r="D709" s="57" t="inlineStr">
        <is>
          <t>MDF - 25MM 2750x2200</t>
        </is>
      </c>
      <c r="E709" s="169">
        <f>VLOOKUP(Tabela10[[#This Row],[Tipo de Chapa]],Tabela11[],2,FALSE)</f>
        <v/>
      </c>
      <c r="F709" s="151" t="n">
        <v>20</v>
      </c>
      <c r="G709" s="152" t="n">
        <v>0.0533</v>
      </c>
      <c r="H709" s="170">
        <f>Tabela10[[#This Row],[M² Da chapa]]*Tabela10[[#This Row],[Qtde Chapas
Liberadas]]</f>
        <v/>
      </c>
      <c r="J709" s="59">
        <f>Tabela10[[#This Row],[ERP]]/Tabela10[[#This Row],[M² Da chapa]]</f>
        <v/>
      </c>
      <c r="K709" s="170">
        <f>Tabela10[[#This Row],[M² CHAPAS]]-Tabela10[[#This Row],[ERP]]</f>
        <v/>
      </c>
      <c r="L709" s="170">
        <f>Tabela10[[#This Row],[DIFERENÇA M²]]/Tabela10[[#This Row],[M² Da chapa]]</f>
        <v/>
      </c>
    </row>
    <row r="710" hidden="1">
      <c r="A710" s="6" t="n">
        <v>46147</v>
      </c>
      <c r="B710" s="8" t="inlineStr">
        <is>
          <t>V-U26003</t>
        </is>
      </c>
      <c r="C710" s="168">
        <f>VLOOKUP(LEFT(B710,1),Tabela5[],2,0)</f>
        <v/>
      </c>
      <c r="D710" s="57" t="inlineStr">
        <is>
          <t>CAPA DURATREE -2,5MM</t>
        </is>
      </c>
      <c r="E710" s="169">
        <f>VLOOKUP(Tabela10[[#This Row],[Tipo de Chapa]],Tabela11[],2,FALSE)</f>
        <v/>
      </c>
      <c r="F710" s="151" t="n">
        <v>21</v>
      </c>
      <c r="G710" s="152" t="n">
        <v>0.08699999999999999</v>
      </c>
      <c r="H710" s="170">
        <f>Tabela10[[#This Row],[M² Da chapa]]*Tabela10[[#This Row],[Qtde Chapas
Liberadas]]</f>
        <v/>
      </c>
      <c r="J710" s="59">
        <f>Tabela10[[#This Row],[ERP]]/Tabela10[[#This Row],[M² Da chapa]]</f>
        <v/>
      </c>
      <c r="K710" s="170">
        <f>Tabela10[[#This Row],[M² CHAPAS]]-Tabela10[[#This Row],[ERP]]</f>
        <v/>
      </c>
      <c r="L710" s="170">
        <f>Tabela10[[#This Row],[DIFERENÇA M²]]/Tabela10[[#This Row],[M² Da chapa]]</f>
        <v/>
      </c>
    </row>
    <row r="711" hidden="1">
      <c r="A711" s="6" t="n">
        <v>46147</v>
      </c>
      <c r="B711" s="8" t="inlineStr">
        <is>
          <t>V-U26004</t>
        </is>
      </c>
      <c r="C711" s="168">
        <f>VLOOKUP(LEFT(B711,1),Tabela5[],2,0)</f>
        <v/>
      </c>
      <c r="D711" s="57" t="inlineStr">
        <is>
          <t>CAPA MDF - 15MM</t>
        </is>
      </c>
      <c r="E711" s="169">
        <f>VLOOKUP(Tabela10[[#This Row],[Tipo de Chapa]],Tabela11[],2,FALSE)</f>
        <v/>
      </c>
      <c r="F711" s="151">
        <f>3+18</f>
        <v/>
      </c>
      <c r="G711" s="152" t="n">
        <v>0.0825</v>
      </c>
      <c r="H711" s="170">
        <f>Tabela10[[#This Row],[M² Da chapa]]*Tabela10[[#This Row],[Qtde Chapas
Liberadas]]</f>
        <v/>
      </c>
      <c r="J711" s="59">
        <f>Tabela10[[#This Row],[ERP]]/Tabela10[[#This Row],[M² Da chapa]]</f>
        <v/>
      </c>
      <c r="K711" s="170">
        <f>Tabela10[[#This Row],[M² CHAPAS]]-Tabela10[[#This Row],[ERP]]</f>
        <v/>
      </c>
      <c r="L711" s="170">
        <f>Tabela10[[#This Row],[DIFERENÇA M²]]/Tabela10[[#This Row],[M² Da chapa]]</f>
        <v/>
      </c>
    </row>
    <row r="712" hidden="1">
      <c r="A712" s="6" t="n">
        <v>46147</v>
      </c>
      <c r="B712" s="8" t="inlineStr">
        <is>
          <t>V-U26004</t>
        </is>
      </c>
      <c r="C712" s="168">
        <f>VLOOKUP(LEFT(B712,1),Tabela5[],2,0)</f>
        <v/>
      </c>
      <c r="D712" s="57" t="inlineStr">
        <is>
          <t>MDF - 25MM 2750x2200</t>
        </is>
      </c>
      <c r="E712" s="169">
        <f>VLOOKUP(Tabela10[[#This Row],[Tipo de Chapa]],Tabela11[],2,FALSE)</f>
        <v/>
      </c>
      <c r="F712" s="151" t="n">
        <v>20</v>
      </c>
      <c r="G712" s="152" t="n">
        <v>0.0533</v>
      </c>
      <c r="H712" s="170">
        <f>Tabela10[[#This Row],[M² Da chapa]]*Tabela10[[#This Row],[Qtde Chapas
Liberadas]]</f>
        <v/>
      </c>
      <c r="J712" s="59">
        <f>Tabela10[[#This Row],[ERP]]/Tabela10[[#This Row],[M² Da chapa]]</f>
        <v/>
      </c>
      <c r="K712" s="170">
        <f>Tabela10[[#This Row],[M² CHAPAS]]-Tabela10[[#This Row],[ERP]]</f>
        <v/>
      </c>
      <c r="L712" s="170">
        <f>Tabela10[[#This Row],[DIFERENÇA M²]]/Tabela10[[#This Row],[M² Da chapa]]</f>
        <v/>
      </c>
    </row>
    <row r="713" hidden="1">
      <c r="A713" s="6" t="n">
        <v>46147</v>
      </c>
      <c r="B713" s="8" t="inlineStr">
        <is>
          <t>V-U26004</t>
        </is>
      </c>
      <c r="C713" s="168">
        <f>VLOOKUP(LEFT(B713,1),Tabela5[],2,0)</f>
        <v/>
      </c>
      <c r="D713" s="57" t="inlineStr">
        <is>
          <t>CAPA DURATREE -2,5MM</t>
        </is>
      </c>
      <c r="E713" s="169">
        <f>VLOOKUP(Tabela10[[#This Row],[Tipo de Chapa]],Tabela11[],2,FALSE)</f>
        <v/>
      </c>
      <c r="F713" s="151" t="n">
        <v>21</v>
      </c>
      <c r="G713" s="152" t="n">
        <v>0.08699999999999999</v>
      </c>
      <c r="H713" s="170">
        <f>Tabela10[[#This Row],[M² Da chapa]]*Tabela10[[#This Row],[Qtde Chapas
Liberadas]]</f>
        <v/>
      </c>
      <c r="J713" s="59">
        <f>Tabela10[[#This Row],[ERP]]/Tabela10[[#This Row],[M² Da chapa]]</f>
        <v/>
      </c>
      <c r="K713" s="170">
        <f>Tabela10[[#This Row],[M² CHAPAS]]-Tabela10[[#This Row],[ERP]]</f>
        <v/>
      </c>
      <c r="L713" s="170">
        <f>Tabela10[[#This Row],[DIFERENÇA M²]]/Tabela10[[#This Row],[M² Da chapa]]</f>
        <v/>
      </c>
    </row>
    <row r="714" hidden="1">
      <c r="A714" s="6" t="n">
        <v>46147</v>
      </c>
      <c r="B714" s="8" t="inlineStr">
        <is>
          <t>V-U26005</t>
        </is>
      </c>
      <c r="C714" s="168">
        <f>VLOOKUP(LEFT(B714,1),Tabela5[],2,0)</f>
        <v/>
      </c>
      <c r="D714" s="57" t="inlineStr">
        <is>
          <t>CAPA MDF - 15MM</t>
        </is>
      </c>
      <c r="E714" s="169">
        <f>VLOOKUP(Tabela10[[#This Row],[Tipo de Chapa]],Tabela11[],2,FALSE)</f>
        <v/>
      </c>
      <c r="F714" s="151">
        <f>3+19</f>
        <v/>
      </c>
      <c r="G714" s="152" t="n">
        <v>0.0828</v>
      </c>
      <c r="H714" s="170">
        <f>Tabela10[[#This Row],[M² Da chapa]]*Tabela10[[#This Row],[Qtde Chapas
Liberadas]]</f>
        <v/>
      </c>
      <c r="J714" s="59">
        <f>Tabela10[[#This Row],[ERP]]/Tabela10[[#This Row],[M² Da chapa]]</f>
        <v/>
      </c>
      <c r="K714" s="170">
        <f>Tabela10[[#This Row],[M² CHAPAS]]-Tabela10[[#This Row],[ERP]]</f>
        <v/>
      </c>
      <c r="L714" s="170">
        <f>Tabela10[[#This Row],[DIFERENÇA M²]]/Tabela10[[#This Row],[M² Da chapa]]</f>
        <v/>
      </c>
    </row>
    <row r="715" hidden="1">
      <c r="A715" s="6" t="n">
        <v>46147</v>
      </c>
      <c r="B715" s="8" t="inlineStr">
        <is>
          <t>V-U26005</t>
        </is>
      </c>
      <c r="C715" s="168">
        <f>VLOOKUP(LEFT(B715,1),Tabela5[],2,0)</f>
        <v/>
      </c>
      <c r="D715" s="57" t="inlineStr">
        <is>
          <t>MDF - 25MM 2750x2200</t>
        </is>
      </c>
      <c r="E715" s="169">
        <f>VLOOKUP(Tabela10[[#This Row],[Tipo de Chapa]],Tabela11[],2,FALSE)</f>
        <v/>
      </c>
      <c r="F715" s="151" t="n">
        <v>20</v>
      </c>
      <c r="G715" s="152" t="n">
        <v>0.0533</v>
      </c>
      <c r="H715" s="170">
        <f>Tabela10[[#This Row],[M² Da chapa]]*Tabela10[[#This Row],[Qtde Chapas
Liberadas]]</f>
        <v/>
      </c>
      <c r="J715" s="59">
        <f>Tabela10[[#This Row],[ERP]]/Tabela10[[#This Row],[M² Da chapa]]</f>
        <v/>
      </c>
      <c r="K715" s="170">
        <f>Tabela10[[#This Row],[M² CHAPAS]]-Tabela10[[#This Row],[ERP]]</f>
        <v/>
      </c>
      <c r="L715" s="170">
        <f>Tabela10[[#This Row],[DIFERENÇA M²]]/Tabela10[[#This Row],[M² Da chapa]]</f>
        <v/>
      </c>
    </row>
    <row r="716" hidden="1">
      <c r="A716" s="6" t="n">
        <v>46147</v>
      </c>
      <c r="B716" s="8" t="inlineStr">
        <is>
          <t>V-U26005</t>
        </is>
      </c>
      <c r="C716" s="168">
        <f>VLOOKUP(LEFT(B716,1),Tabela5[],2,0)</f>
        <v/>
      </c>
      <c r="D716" s="57" t="inlineStr">
        <is>
          <t>CAPA DURATREE -2,5MM</t>
        </is>
      </c>
      <c r="E716" s="169">
        <f>VLOOKUP(Tabela10[[#This Row],[Tipo de Chapa]],Tabela11[],2,FALSE)</f>
        <v/>
      </c>
      <c r="F716" s="151" t="n">
        <v>20</v>
      </c>
      <c r="G716" s="152" t="n">
        <v>0.08699999999999999</v>
      </c>
      <c r="H716" s="170">
        <f>Tabela10[[#This Row],[M² Da chapa]]*Tabela10[[#This Row],[Qtde Chapas
Liberadas]]</f>
        <v/>
      </c>
      <c r="J716" s="59">
        <f>Tabela10[[#This Row],[ERP]]/Tabela10[[#This Row],[M² Da chapa]]</f>
        <v/>
      </c>
      <c r="K716" s="170">
        <f>Tabela10[[#This Row],[M² CHAPAS]]-Tabela10[[#This Row],[ERP]]</f>
        <v/>
      </c>
      <c r="L716" s="170">
        <f>Tabela10[[#This Row],[DIFERENÇA M²]]/Tabela10[[#This Row],[M² Da chapa]]</f>
        <v/>
      </c>
    </row>
    <row r="717" hidden="1">
      <c r="A717" s="6" t="n">
        <v>46147</v>
      </c>
      <c r="B717" s="8" t="inlineStr">
        <is>
          <t>V-U26006</t>
        </is>
      </c>
      <c r="C717" s="168">
        <f>VLOOKUP(LEFT(B717,1),Tabela5[],2,0)</f>
        <v/>
      </c>
      <c r="D717" s="57" t="inlineStr">
        <is>
          <t>CAPA MDF - 15MM</t>
        </is>
      </c>
      <c r="E717" s="169">
        <f>VLOOKUP(Tabela10[[#This Row],[Tipo de Chapa]],Tabela11[],2,FALSE)</f>
        <v/>
      </c>
      <c r="F717" s="151">
        <f>3+19</f>
        <v/>
      </c>
      <c r="G717" s="152" t="n">
        <v>0.0828</v>
      </c>
      <c r="H717" s="170">
        <f>Tabela10[[#This Row],[M² Da chapa]]*Tabela10[[#This Row],[Qtde Chapas
Liberadas]]</f>
        <v/>
      </c>
      <c r="J717" s="59">
        <f>Tabela10[[#This Row],[ERP]]/Tabela10[[#This Row],[M² Da chapa]]</f>
        <v/>
      </c>
      <c r="K717" s="170">
        <f>Tabela10[[#This Row],[M² CHAPAS]]-Tabela10[[#This Row],[ERP]]</f>
        <v/>
      </c>
      <c r="L717" s="170">
        <f>Tabela10[[#This Row],[DIFERENÇA M²]]/Tabela10[[#This Row],[M² Da chapa]]</f>
        <v/>
      </c>
    </row>
    <row r="718" hidden="1">
      <c r="A718" s="6" t="n">
        <v>46147</v>
      </c>
      <c r="B718" s="8" t="inlineStr">
        <is>
          <t>V-U26006</t>
        </is>
      </c>
      <c r="C718" s="168">
        <f>VLOOKUP(LEFT(B718,1),Tabela5[],2,0)</f>
        <v/>
      </c>
      <c r="D718" s="57" t="inlineStr">
        <is>
          <t>MDF - 25MM 2750x2200</t>
        </is>
      </c>
      <c r="E718" s="169">
        <f>VLOOKUP(Tabela10[[#This Row],[Tipo de Chapa]],Tabela11[],2,FALSE)</f>
        <v/>
      </c>
      <c r="F718" s="151" t="n">
        <v>20</v>
      </c>
      <c r="G718" s="152" t="n">
        <v>0.0533</v>
      </c>
      <c r="H718" s="170">
        <f>Tabela10[[#This Row],[M² Da chapa]]*Tabela10[[#This Row],[Qtde Chapas
Liberadas]]</f>
        <v/>
      </c>
      <c r="J718" s="59">
        <f>Tabela10[[#This Row],[ERP]]/Tabela10[[#This Row],[M² Da chapa]]</f>
        <v/>
      </c>
      <c r="K718" s="170">
        <f>Tabela10[[#This Row],[M² CHAPAS]]-Tabela10[[#This Row],[ERP]]</f>
        <v/>
      </c>
      <c r="L718" s="170">
        <f>Tabela10[[#This Row],[DIFERENÇA M²]]/Tabela10[[#This Row],[M² Da chapa]]</f>
        <v/>
      </c>
    </row>
    <row r="719" hidden="1">
      <c r="A719" s="6" t="n">
        <v>46148</v>
      </c>
      <c r="B719" s="8" t="inlineStr">
        <is>
          <t>M26021</t>
        </is>
      </c>
      <c r="C719" s="168">
        <f>VLOOKUP(LEFT(B719,1),Tabela5[],2,0)</f>
        <v/>
      </c>
      <c r="D719" s="57" t="inlineStr">
        <is>
          <t>MDF - 15MM</t>
        </is>
      </c>
      <c r="E719" s="169">
        <f>VLOOKUP(Tabela10[[#This Row],[Tipo de Chapa]],Tabela11[],2,FALSE)</f>
        <v/>
      </c>
      <c r="F719" s="151" t="n">
        <v>1286</v>
      </c>
      <c r="G719" s="152" t="n">
        <v>0.0596</v>
      </c>
      <c r="H719" s="170">
        <f>Tabela10[[#This Row],[M² Da chapa]]*Tabela10[[#This Row],[Qtde Chapas
Liberadas]]</f>
        <v/>
      </c>
      <c r="J719" s="59">
        <f>Tabela10[[#This Row],[ERP]]/Tabela10[[#This Row],[M² Da chapa]]</f>
        <v/>
      </c>
      <c r="K719" s="170">
        <f>Tabela10[[#This Row],[M² CHAPAS]]-Tabela10[[#This Row],[ERP]]</f>
        <v/>
      </c>
      <c r="L719" s="170">
        <f>Tabela10[[#This Row],[DIFERENÇA M²]]/Tabela10[[#This Row],[M² Da chapa]]</f>
        <v/>
      </c>
    </row>
    <row r="720" hidden="1">
      <c r="A720" s="6" t="n">
        <v>46148</v>
      </c>
      <c r="B720" s="8" t="inlineStr">
        <is>
          <t>M26021</t>
        </is>
      </c>
      <c r="C720" s="168">
        <f>VLOOKUP(LEFT(B720,1),Tabela5[],2,0)</f>
        <v/>
      </c>
      <c r="D720" s="57" t="inlineStr">
        <is>
          <t>EUCADUR NT - 2,5MM</t>
        </is>
      </c>
      <c r="E720" s="169">
        <f>VLOOKUP(Tabela10[[#This Row],[Tipo de Chapa]],Tabela11[],2,FALSE)</f>
        <v/>
      </c>
      <c r="F720" s="151" t="n">
        <v>294</v>
      </c>
      <c r="G720" s="152" t="n">
        <v>0.06569999999999999</v>
      </c>
      <c r="H720" s="170">
        <f>Tabela10[[#This Row],[M² Da chapa]]*Tabela10[[#This Row],[Qtde Chapas
Liberadas]]</f>
        <v/>
      </c>
      <c r="J720" s="59">
        <f>Tabela10[[#This Row],[ERP]]/Tabela10[[#This Row],[M² Da chapa]]</f>
        <v/>
      </c>
      <c r="K720" s="170">
        <f>Tabela10[[#This Row],[M² CHAPAS]]-Tabela10[[#This Row],[ERP]]</f>
        <v/>
      </c>
      <c r="L720" s="170">
        <f>Tabela10[[#This Row],[DIFERENÇA M²]]/Tabela10[[#This Row],[M² Da chapa]]</f>
        <v/>
      </c>
    </row>
    <row r="721" hidden="1">
      <c r="A721" s="6" t="n">
        <v>46148</v>
      </c>
      <c r="B721" s="8" t="inlineStr">
        <is>
          <t>M26021</t>
        </is>
      </c>
      <c r="C721" s="168">
        <f>VLOOKUP(LEFT(B721,1),Tabela5[],2,0)</f>
        <v/>
      </c>
      <c r="D721" s="57" t="inlineStr">
        <is>
          <t>EUCADUR BR - 2,5MM</t>
        </is>
      </c>
      <c r="E721" s="169">
        <f>VLOOKUP(Tabela10[[#This Row],[Tipo de Chapa]],Tabela11[],2,FALSE)</f>
        <v/>
      </c>
      <c r="F721" s="151" t="n">
        <v>132</v>
      </c>
      <c r="G721" s="152" t="n">
        <v>0.1031</v>
      </c>
      <c r="H721" s="170">
        <f>Tabela10[[#This Row],[M² Da chapa]]*Tabela10[[#This Row],[Qtde Chapas
Liberadas]]</f>
        <v/>
      </c>
      <c r="J721" s="59">
        <f>Tabela10[[#This Row],[ERP]]/Tabela10[[#This Row],[M² Da chapa]]</f>
        <v/>
      </c>
      <c r="K721" s="170">
        <f>Tabela10[[#This Row],[M² CHAPAS]]-Tabela10[[#This Row],[ERP]]</f>
        <v/>
      </c>
      <c r="L721" s="170">
        <f>Tabela10[[#This Row],[DIFERENÇA M²]]/Tabela10[[#This Row],[M² Da chapa]]</f>
        <v/>
      </c>
    </row>
    <row r="722">
      <c r="A722" s="6" t="n">
        <v>46149</v>
      </c>
      <c r="B722" s="8" t="inlineStr">
        <is>
          <t>N26032</t>
        </is>
      </c>
      <c r="C722" s="168">
        <f>VLOOKUP(LEFT(B722,1),Tabela5[],2,0)</f>
        <v/>
      </c>
      <c r="D722" s="57" t="inlineStr">
        <is>
          <t>MDF - 9MM</t>
        </is>
      </c>
      <c r="E722" s="169">
        <f>VLOOKUP(Tabela10[[#This Row],[Tipo de Chapa]],Tabela11[],2,FALSE)</f>
        <v/>
      </c>
      <c r="F722" s="151" t="n">
        <v>28</v>
      </c>
      <c r="G722" s="152" t="n">
        <v>0.09130000000000001</v>
      </c>
      <c r="H722" s="170">
        <f>Tabela10[[#This Row],[M² Da chapa]]*Tabela10[[#This Row],[Qtde Chapas
Liberadas]]</f>
        <v/>
      </c>
      <c r="I722" s="170">
        <f>Tabela10[[#This Row],[M² Da chapa]]*Tabela10[[#This Row],[Qtde Chapas
Liberadas]]</f>
        <v/>
      </c>
      <c r="J722" s="59">
        <f>Tabela10[[#This Row],[ERP]]/Tabela10[[#This Row],[M² Da chapa]]</f>
        <v/>
      </c>
      <c r="K722" s="170">
        <f>Tabela10[[#This Row],[M² CHAPAS]]-Tabela10[[#This Row],[ERP]]</f>
        <v/>
      </c>
      <c r="L722" s="170">
        <f>Tabela10[[#This Row],[DIFERENÇA M²]]/Tabela10[[#This Row],[M² Da chapa]]</f>
        <v/>
      </c>
    </row>
    <row r="723">
      <c r="A723" s="6" t="n">
        <v>46149</v>
      </c>
      <c r="B723" s="8" t="inlineStr">
        <is>
          <t>N26036</t>
        </is>
      </c>
      <c r="C723" s="168">
        <f>VLOOKUP(LEFT(B723,1),Tabela5[],2,0)</f>
        <v/>
      </c>
      <c r="D723" s="57" t="inlineStr">
        <is>
          <t>EUCADUR NT - 2,5MM</t>
        </is>
      </c>
      <c r="E723" s="169">
        <f>VLOOKUP(Tabela10[[#This Row],[Tipo de Chapa]],Tabela11[],2,FALSE)</f>
        <v/>
      </c>
      <c r="F723" s="151" t="n">
        <v>214</v>
      </c>
      <c r="G723" s="152" t="n">
        <v>0.0767</v>
      </c>
      <c r="H723" s="170">
        <f>Tabela10[[#This Row],[M² Da chapa]]*Tabela10[[#This Row],[Qtde Chapas
Liberadas]]</f>
        <v/>
      </c>
      <c r="J723" s="59">
        <f>Tabela10[[#This Row],[ERP]]/Tabela10[[#This Row],[M² Da chapa]]</f>
        <v/>
      </c>
      <c r="K723" s="170">
        <f>Tabela10[[#This Row],[M² CHAPAS]]-Tabela10[[#This Row],[ERP]]</f>
        <v/>
      </c>
      <c r="L723" s="170">
        <f>Tabela10[[#This Row],[DIFERENÇA M²]]/Tabela10[[#This Row],[M² Da chapa]]</f>
        <v/>
      </c>
    </row>
    <row r="724">
      <c r="A724" s="145" t="n">
        <v>46149</v>
      </c>
      <c r="B724" s="90" t="inlineStr">
        <is>
          <t>N2603601 | N2603602</t>
        </is>
      </c>
      <c r="C724" s="146">
        <f>VLOOKUP(LEFT(B724,1),Tabela5[],2,0)</f>
        <v/>
      </c>
      <c r="D724" s="66" t="inlineStr">
        <is>
          <t>MDF - 15MM</t>
        </is>
      </c>
      <c r="E724" s="169">
        <f>VLOOKUP(Tabela10[[#This Row],[Tipo de Chapa]],Tabela11[],2,FALSE)</f>
        <v/>
      </c>
      <c r="F724" s="147" t="n">
        <v>254</v>
      </c>
      <c r="G724" s="67" t="n">
        <v>0.0546</v>
      </c>
      <c r="H724" s="42">
        <f>Tabela10[[#This Row],[M² Da chapa]]*Tabela10[[#This Row],[Qtde Chapas
Liberadas]]</f>
        <v/>
      </c>
      <c r="J724" s="59">
        <f>Tabela10[[#This Row],[ERP]]/Tabela10[[#This Row],[M² Da chapa]]</f>
        <v/>
      </c>
      <c r="K724" s="170">
        <f>Tabela10[[#This Row],[M² CHAPAS]]-Tabela10[[#This Row],[ERP]]</f>
        <v/>
      </c>
      <c r="L724" s="170">
        <f>Tabela10[[#This Row],[DIFERENÇA M²]]/Tabela10[[#This Row],[M² Da chapa]]</f>
        <v/>
      </c>
    </row>
    <row r="725">
      <c r="A725" s="145" t="n">
        <v>46150</v>
      </c>
      <c r="B725" s="90" t="inlineStr">
        <is>
          <t>N2603301</t>
        </is>
      </c>
      <c r="C725" s="146">
        <f>VLOOKUP(LEFT(B725,1),Tabela5[],2,0)</f>
        <v/>
      </c>
      <c r="D725" s="66" t="inlineStr">
        <is>
          <t>MDF - 15MM</t>
        </is>
      </c>
      <c r="E725" s="169">
        <f>VLOOKUP(Tabela10[[#This Row],[Tipo de Chapa]],Tabela11[],2,FALSE)</f>
        <v/>
      </c>
      <c r="F725" s="147" t="n">
        <v>40</v>
      </c>
      <c r="G725" s="67" t="n">
        <v>0.0576</v>
      </c>
      <c r="H725" s="42">
        <f>Tabela10[[#This Row],[M² Da chapa]]*Tabela10[[#This Row],[Qtde Chapas
Liberadas]]</f>
        <v/>
      </c>
      <c r="J725" s="59">
        <f>Tabela10[[#This Row],[ERP]]/Tabela10[[#This Row],[M² Da chapa]]</f>
        <v/>
      </c>
      <c r="K725" s="170">
        <f>Tabela10[[#This Row],[M² CHAPAS]]-Tabela10[[#This Row],[ERP]]</f>
        <v/>
      </c>
      <c r="L725" s="170">
        <f>Tabela10[[#This Row],[DIFERENÇA M²]]/Tabela10[[#This Row],[M² Da chapa]]</f>
        <v/>
      </c>
    </row>
    <row r="726">
      <c r="A726" s="145" t="n">
        <v>46150</v>
      </c>
      <c r="B726" s="90" t="inlineStr">
        <is>
          <t>N2603703</t>
        </is>
      </c>
      <c r="C726" s="146">
        <f>VLOOKUP(LEFT(B726,1),Tabela5[],2,0)</f>
        <v/>
      </c>
      <c r="D726" s="66" t="inlineStr">
        <is>
          <t>MDF - 15MM</t>
        </is>
      </c>
      <c r="E726" s="169">
        <f>VLOOKUP(Tabela10[[#This Row],[Tipo de Chapa]],Tabela11[],2,FALSE)</f>
        <v/>
      </c>
      <c r="F726" s="147" t="n">
        <v>38</v>
      </c>
      <c r="G726" s="67" t="n">
        <v>0.0521</v>
      </c>
      <c r="H726" s="42">
        <f>Tabela10[[#This Row],[M² Da chapa]]*Tabela10[[#This Row],[Qtde Chapas
Liberadas]]</f>
        <v/>
      </c>
      <c r="J726" s="59">
        <f>Tabela10[[#This Row],[ERP]]/Tabela10[[#This Row],[M² Da chapa]]</f>
        <v/>
      </c>
      <c r="K726" s="170">
        <f>Tabela10[[#This Row],[M² CHAPAS]]-Tabela10[[#This Row],[ERP]]</f>
        <v/>
      </c>
      <c r="L726" s="170">
        <f>Tabela10[[#This Row],[DIFERENÇA M²]]/Tabela10[[#This Row],[M² Da chapa]]</f>
        <v/>
      </c>
    </row>
    <row r="727">
      <c r="A727" s="145" t="n">
        <v>46150</v>
      </c>
      <c r="B727" s="90" t="inlineStr">
        <is>
          <t>N2604601 | N2604602 | N2604603</t>
        </is>
      </c>
      <c r="C727" s="146">
        <f>VLOOKUP(LEFT(B727,1),Tabela5[],2,0)</f>
        <v/>
      </c>
      <c r="D727" s="66" t="inlineStr">
        <is>
          <t>MDF - 15MM</t>
        </is>
      </c>
      <c r="E727" s="169">
        <f>VLOOKUP(Tabela10[[#This Row],[Tipo de Chapa]],Tabela11[],2,FALSE)</f>
        <v/>
      </c>
      <c r="F727" s="147" t="n">
        <v>323</v>
      </c>
      <c r="G727" s="67" t="n">
        <v>0.047</v>
      </c>
      <c r="H727" s="42">
        <f>Tabela10[[#This Row],[M² Da chapa]]*Tabela10[[#This Row],[Qtde Chapas
Liberadas]]</f>
        <v/>
      </c>
      <c r="J727" s="59">
        <f>Tabela10[[#This Row],[ERP]]/Tabela10[[#This Row],[M² Da chapa]]</f>
        <v/>
      </c>
      <c r="K727" s="170">
        <f>Tabela10[[#This Row],[M² CHAPAS]]-Tabela10[[#This Row],[ERP]]</f>
        <v/>
      </c>
      <c r="L727" s="170">
        <f>Tabela10[[#This Row],[DIFERENÇA M²]]/Tabela10[[#This Row],[M² Da chapa]]</f>
        <v/>
      </c>
    </row>
    <row r="728">
      <c r="A728" s="6" t="n">
        <v>46153</v>
      </c>
      <c r="B728" s="8" t="inlineStr">
        <is>
          <t>N2604601 | N2604602 | N2604603</t>
        </is>
      </c>
      <c r="C728" s="168">
        <f>VLOOKUP(LEFT(B728,1),Tabela5[],2,0)</f>
        <v/>
      </c>
      <c r="D728" s="57" t="inlineStr">
        <is>
          <t>EUCADUR NT - 2,5MM</t>
        </is>
      </c>
      <c r="E728" s="169">
        <f>VLOOKUP(Tabela10[[#This Row],[Tipo de Chapa]],Tabela11[],2,FALSE)</f>
        <v/>
      </c>
      <c r="F728" s="151" t="n">
        <v>204</v>
      </c>
      <c r="G728" s="152" t="n">
        <v>0.0706</v>
      </c>
      <c r="H728" s="170">
        <f>Tabela10[[#This Row],[M² Da chapa]]*Tabela10[[#This Row],[Qtde Chapas
Liberadas]]</f>
        <v/>
      </c>
      <c r="J728" s="59">
        <f>Tabela10[[#This Row],[ERP]]/Tabela10[[#This Row],[M² Da chapa]]</f>
        <v/>
      </c>
      <c r="K728" s="170">
        <f>Tabela10[[#This Row],[M² CHAPAS]]-Tabela10[[#This Row],[ERP]]</f>
        <v/>
      </c>
      <c r="L728" s="170">
        <f>Tabela10[[#This Row],[DIFERENÇA M²]]/Tabela10[[#This Row],[M² Da chapa]]</f>
        <v/>
      </c>
    </row>
    <row r="729" hidden="1">
      <c r="A729" s="6" t="n">
        <v>46147</v>
      </c>
      <c r="B729" s="8" t="inlineStr">
        <is>
          <t>V-U26006</t>
        </is>
      </c>
      <c r="C729" s="168">
        <f>VLOOKUP(LEFT(B729,1),Tabela5[],2,0)</f>
        <v/>
      </c>
      <c r="D729" s="57" t="inlineStr">
        <is>
          <t>CAPA DURATREE -2,5MM</t>
        </is>
      </c>
      <c r="E729" s="169">
        <f>VLOOKUP(Tabela10[[#This Row],[Tipo de Chapa]],Tabela11[],2,FALSE)</f>
        <v/>
      </c>
      <c r="F729" s="151" t="n">
        <v>21</v>
      </c>
      <c r="G729" s="152" t="n">
        <v>0.08699999999999999</v>
      </c>
      <c r="H729" s="170">
        <f>Tabela10[[#This Row],[M² Da chapa]]*Tabela10[[#This Row],[Qtde Chapas
Liberadas]]</f>
        <v/>
      </c>
      <c r="J729" s="59">
        <f>Tabela10[[#This Row],[ERP]]/Tabela10[[#This Row],[M² Da chapa]]</f>
        <v/>
      </c>
      <c r="K729" s="170">
        <f>Tabela10[[#This Row],[M² CHAPAS]]-Tabela10[[#This Row],[ERP]]</f>
        <v/>
      </c>
      <c r="L729" s="170">
        <f>Tabela10[[#This Row],[DIFERENÇA M²]]/Tabela10[[#This Row],[M² Da chapa]]</f>
        <v/>
      </c>
    </row>
    <row r="730">
      <c r="A730" s="6" t="n">
        <v>46153</v>
      </c>
      <c r="B730" s="8" t="inlineStr">
        <is>
          <t>N2604601</t>
        </is>
      </c>
      <c r="C730" s="168">
        <f>VLOOKUP(LEFT(B730,1),Tabela5[],2,0)</f>
        <v/>
      </c>
      <c r="D730" s="57" t="inlineStr">
        <is>
          <t>MDF - 25MM 2750x2100</t>
        </is>
      </c>
      <c r="E730" s="169">
        <f>VLOOKUP(Tabela10[[#This Row],[Tipo de Chapa]],Tabela11[],2,FALSE)</f>
        <v/>
      </c>
      <c r="F730" s="151" t="n">
        <v>50</v>
      </c>
      <c r="G730" s="152" t="n">
        <v>0.0367</v>
      </c>
      <c r="H730" s="170">
        <f>Tabela10[[#This Row],[M² Da chapa]]*Tabela10[[#This Row],[Qtde Chapas
Liberadas]]</f>
        <v/>
      </c>
      <c r="J730" s="59">
        <f>Tabela10[[#This Row],[ERP]]/Tabela10[[#This Row],[M² Da chapa]]</f>
        <v/>
      </c>
      <c r="K730" s="170">
        <f>Tabela10[[#This Row],[M² CHAPAS]]-Tabela10[[#This Row],[ERP]]</f>
        <v/>
      </c>
      <c r="L730" s="170">
        <f>Tabela10[[#This Row],[DIFERENÇA M²]]/Tabela10[[#This Row],[M² Da chapa]]</f>
        <v/>
      </c>
    </row>
    <row r="731">
      <c r="A731" s="145" t="n">
        <v>46153</v>
      </c>
      <c r="B731" s="90" t="inlineStr">
        <is>
          <t>N2603801</t>
        </is>
      </c>
      <c r="C731" s="146">
        <f>VLOOKUP(LEFT(B731,1),Tabela5[],2,0)</f>
        <v/>
      </c>
      <c r="D731" s="66" t="inlineStr">
        <is>
          <t>MDF - 15MM</t>
        </is>
      </c>
      <c r="E731" s="169">
        <f>VLOOKUP(Tabela10[[#This Row],[Tipo de Chapa]],Tabela11[],2,FALSE)</f>
        <v/>
      </c>
      <c r="F731" s="147" t="n">
        <v>30</v>
      </c>
      <c r="G731" s="67" t="n">
        <v>0.05</v>
      </c>
      <c r="H731" s="42">
        <f>Tabela10[[#This Row],[M² Da chapa]]*Tabela10[[#This Row],[Qtde Chapas
Liberadas]]</f>
        <v/>
      </c>
      <c r="J731" s="59">
        <f>Tabela10[[#This Row],[ERP]]/Tabela10[[#This Row],[M² Da chapa]]</f>
        <v/>
      </c>
      <c r="K731" s="170">
        <f>Tabela10[[#This Row],[M² CHAPAS]]-Tabela10[[#This Row],[ERP]]</f>
        <v/>
      </c>
      <c r="L731" s="170">
        <f>Tabela10[[#This Row],[DIFERENÇA M²]]/Tabela10[[#This Row],[M² Da chapa]]</f>
        <v/>
      </c>
    </row>
    <row r="732">
      <c r="A732" s="145" t="n">
        <v>46153</v>
      </c>
      <c r="B732" s="90" t="inlineStr">
        <is>
          <t>N2604201</t>
        </is>
      </c>
      <c r="C732" s="146">
        <f>VLOOKUP(LEFT(B732,1),Tabela5[],2,0)</f>
        <v/>
      </c>
      <c r="D732" s="66" t="inlineStr">
        <is>
          <t>MDF - 15MM</t>
        </is>
      </c>
      <c r="E732" s="169">
        <f>VLOOKUP(Tabela10[[#This Row],[Tipo de Chapa]],Tabela11[],2,FALSE)</f>
        <v/>
      </c>
      <c r="F732" s="147" t="n">
        <v>172</v>
      </c>
      <c r="G732" s="67" t="n">
        <v>0.0453</v>
      </c>
      <c r="H732" s="42">
        <f>Tabela10[[#This Row],[M² Da chapa]]*Tabela10[[#This Row],[Qtde Chapas
Liberadas]]</f>
        <v/>
      </c>
      <c r="J732" s="59">
        <f>Tabela10[[#This Row],[ERP]]/Tabela10[[#This Row],[M² Da chapa]]</f>
        <v/>
      </c>
      <c r="K732" s="170">
        <f>Tabela10[[#This Row],[M² CHAPAS]]-Tabela10[[#This Row],[ERP]]</f>
        <v/>
      </c>
      <c r="L732" s="170">
        <f>Tabela10[[#This Row],[DIFERENÇA M²]]/Tabela10[[#This Row],[M² Da chapa]]</f>
        <v/>
      </c>
    </row>
    <row r="733">
      <c r="A733" s="6" t="n">
        <v>46154</v>
      </c>
      <c r="B733" s="8" t="inlineStr">
        <is>
          <t>N2603603</t>
        </is>
      </c>
      <c r="C733" s="168">
        <f>VLOOKUP(LEFT(B733,1),Tabela5[],2,0)</f>
        <v/>
      </c>
      <c r="D733" s="57" t="inlineStr">
        <is>
          <t>MDF - 15MM</t>
        </is>
      </c>
      <c r="E733" s="169">
        <f>VLOOKUP(Tabela10[[#This Row],[Tipo de Chapa]],Tabela11[],2,FALSE)</f>
        <v/>
      </c>
      <c r="F733" s="151" t="n">
        <v>327</v>
      </c>
      <c r="G733" s="152" t="n">
        <v>0.0579</v>
      </c>
      <c r="H733" s="170">
        <f>Tabela10[[#This Row],[M² Da chapa]]*Tabela10[[#This Row],[Qtde Chapas
Liberadas]]</f>
        <v/>
      </c>
      <c r="J733" s="59">
        <f>Tabela10[[#This Row],[ERP]]/Tabela10[[#This Row],[M² Da chapa]]</f>
        <v/>
      </c>
      <c r="K733" s="170">
        <f>Tabela10[[#This Row],[M² CHAPAS]]-Tabela10[[#This Row],[ERP]]</f>
        <v/>
      </c>
      <c r="L733" s="170">
        <f>Tabela10[[#This Row],[DIFERENÇA M²]]/Tabela10[[#This Row],[M² Da chapa]]</f>
        <v/>
      </c>
    </row>
    <row r="734">
      <c r="A734" s="6" t="n">
        <v>46154</v>
      </c>
      <c r="B734" s="8" t="inlineStr">
        <is>
          <t>N2603301</t>
        </is>
      </c>
      <c r="C734" s="168">
        <f>VLOOKUP(LEFT(B734,1),Tabela5[],2,0)</f>
        <v/>
      </c>
      <c r="D734" s="57" t="inlineStr">
        <is>
          <t>MDF - 15MM</t>
        </is>
      </c>
      <c r="E734" s="169">
        <f>VLOOKUP(Tabela10[[#This Row],[Tipo de Chapa]],Tabela11[],2,FALSE)</f>
        <v/>
      </c>
      <c r="F734" s="151" t="n">
        <v>60</v>
      </c>
      <c r="G734" s="152" t="n">
        <v>0.0584</v>
      </c>
      <c r="H734" s="170">
        <f>Tabela10[[#This Row],[M² Da chapa]]*Tabela10[[#This Row],[Qtde Chapas
Liberadas]]</f>
        <v/>
      </c>
      <c r="J734" s="59">
        <f>Tabela10[[#This Row],[ERP]]/Tabela10[[#This Row],[M² Da chapa]]</f>
        <v/>
      </c>
      <c r="K734" s="170">
        <f>Tabela10[[#This Row],[M² CHAPAS]]-Tabela10[[#This Row],[ERP]]</f>
        <v/>
      </c>
      <c r="L734" s="170">
        <f>Tabela10[[#This Row],[DIFERENÇA M²]]/Tabela10[[#This Row],[M² Da chapa]]</f>
        <v/>
      </c>
    </row>
    <row r="735">
      <c r="A735" s="6" t="n">
        <v>46154</v>
      </c>
      <c r="B735" s="8" t="inlineStr">
        <is>
          <t>N2603701</t>
        </is>
      </c>
      <c r="C735" s="168">
        <f>VLOOKUP(LEFT(B735,1),Tabela5[],2,0)</f>
        <v/>
      </c>
      <c r="D735" s="57" t="inlineStr">
        <is>
          <t>MDF - 15MM</t>
        </is>
      </c>
      <c r="E735" s="169">
        <f>VLOOKUP(Tabela10[[#This Row],[Tipo de Chapa]],Tabela11[],2,FALSE)</f>
        <v/>
      </c>
      <c r="F735" s="151" t="n">
        <v>278</v>
      </c>
      <c r="G735" s="152" t="n">
        <v>0.0503</v>
      </c>
      <c r="H735" s="170">
        <f>Tabela10[[#This Row],[M² Da chapa]]*Tabela10[[#This Row],[Qtde Chapas
Liberadas]]</f>
        <v/>
      </c>
      <c r="J735" s="59">
        <f>Tabela10[[#This Row],[ERP]]/Tabela10[[#This Row],[M² Da chapa]]</f>
        <v/>
      </c>
      <c r="K735" s="170">
        <f>Tabela10[[#This Row],[M² CHAPAS]]-Tabela10[[#This Row],[ERP]]</f>
        <v/>
      </c>
      <c r="L735" s="170">
        <f>Tabela10[[#This Row],[DIFERENÇA M²]]/Tabela10[[#This Row],[M² Da chapa]]</f>
        <v/>
      </c>
    </row>
    <row r="736" hidden="1">
      <c r="A736" s="6" t="n">
        <v>46155</v>
      </c>
      <c r="B736" s="8" t="inlineStr">
        <is>
          <t>M26022</t>
        </is>
      </c>
      <c r="C736" s="168">
        <f>VLOOKUP(LEFT(B736,1),Tabela5[],2,0)</f>
        <v/>
      </c>
      <c r="D736" s="57" t="inlineStr">
        <is>
          <t>MDF - 15MM</t>
        </is>
      </c>
      <c r="E736" s="169">
        <f>VLOOKUP(Tabela10[[#This Row],[Tipo de Chapa]],Tabela11[],2,FALSE)</f>
        <v/>
      </c>
      <c r="F736" s="151" t="n">
        <v>1579</v>
      </c>
      <c r="G736" s="152" t="n">
        <v>0.0612</v>
      </c>
      <c r="H736" s="170">
        <f>Tabela10[[#This Row],[M² Da chapa]]*Tabela10[[#This Row],[Qtde Chapas
Liberadas]]</f>
        <v/>
      </c>
      <c r="J736" s="59">
        <f>Tabela10[[#This Row],[ERP]]/Tabela10[[#This Row],[M² Da chapa]]</f>
        <v/>
      </c>
      <c r="K736" s="170">
        <f>Tabela10[[#This Row],[M² CHAPAS]]-Tabela10[[#This Row],[ERP]]</f>
        <v/>
      </c>
      <c r="L736" s="170">
        <f>Tabela10[[#This Row],[DIFERENÇA M²]]/Tabela10[[#This Row],[M² Da chapa]]</f>
        <v/>
      </c>
    </row>
    <row r="737" hidden="1">
      <c r="A737" s="6" t="n">
        <v>46155</v>
      </c>
      <c r="B737" s="8" t="inlineStr">
        <is>
          <t>M26022</t>
        </is>
      </c>
      <c r="C737" s="168">
        <f>VLOOKUP(LEFT(B737,1),Tabela5[],2,0)</f>
        <v/>
      </c>
      <c r="D737" s="57" t="inlineStr">
        <is>
          <t>MDF - 9MM</t>
        </is>
      </c>
      <c r="E737" s="169">
        <f>VLOOKUP(Tabela10[[#This Row],[Tipo de Chapa]],Tabela11[],2,FALSE)</f>
        <v/>
      </c>
      <c r="F737" s="151" t="n">
        <v>63</v>
      </c>
      <c r="G737" s="152" t="n">
        <v>0.0473</v>
      </c>
      <c r="H737" s="170">
        <f>Tabela10[[#This Row],[M² Da chapa]]*Tabela10[[#This Row],[Qtde Chapas
Liberadas]]</f>
        <v/>
      </c>
      <c r="J737" s="59">
        <f>Tabela10[[#This Row],[ERP]]/Tabela10[[#This Row],[M² Da chapa]]</f>
        <v/>
      </c>
      <c r="K737" s="170">
        <f>Tabela10[[#This Row],[M² CHAPAS]]-Tabela10[[#This Row],[ERP]]</f>
        <v/>
      </c>
      <c r="L737" s="170">
        <f>Tabela10[[#This Row],[DIFERENÇA M²]]/Tabela10[[#This Row],[M² Da chapa]]</f>
        <v/>
      </c>
    </row>
    <row r="738" hidden="1">
      <c r="A738" s="6" t="n">
        <v>46155</v>
      </c>
      <c r="B738" s="8" t="inlineStr">
        <is>
          <t>M26022</t>
        </is>
      </c>
      <c r="C738" s="168">
        <f>VLOOKUP(LEFT(B738,1),Tabela5[],2,0)</f>
        <v/>
      </c>
      <c r="D738" s="57" t="inlineStr">
        <is>
          <t>EUCADUR NT - 2,5MM</t>
        </is>
      </c>
      <c r="E738" s="169">
        <f>VLOOKUP(Tabela10[[#This Row],[Tipo de Chapa]],Tabela11[],2,FALSE)</f>
        <v/>
      </c>
      <c r="F738" s="151" t="n">
        <v>614</v>
      </c>
      <c r="G738" s="152" t="n">
        <v>0.0704</v>
      </c>
      <c r="H738" s="170">
        <f>Tabela10[[#This Row],[M² Da chapa]]*Tabela10[[#This Row],[Qtde Chapas
Liberadas]]</f>
        <v/>
      </c>
      <c r="J738" s="59">
        <f>Tabela10[[#This Row],[ERP]]/Tabela10[[#This Row],[M² Da chapa]]</f>
        <v/>
      </c>
      <c r="K738" s="170">
        <f>Tabela10[[#This Row],[M² CHAPAS]]-Tabela10[[#This Row],[ERP]]</f>
        <v/>
      </c>
      <c r="L738" s="170">
        <f>Tabela10[[#This Row],[DIFERENÇA M²]]/Tabela10[[#This Row],[M² Da chapa]]</f>
        <v/>
      </c>
    </row>
    <row r="739" hidden="1">
      <c r="A739" s="6" t="n">
        <v>46155</v>
      </c>
      <c r="B739" s="8" t="inlineStr">
        <is>
          <t>M26022</t>
        </is>
      </c>
      <c r="C739" s="168">
        <f>VLOOKUP(LEFT(B739,1),Tabela5[],2,0)</f>
        <v/>
      </c>
      <c r="D739" s="57" t="inlineStr">
        <is>
          <t>MDF - 25MM 2750x2200</t>
        </is>
      </c>
      <c r="E739" s="169">
        <f>VLOOKUP(Tabela10[[#This Row],[Tipo de Chapa]],Tabela11[],2,FALSE)</f>
        <v/>
      </c>
      <c r="F739" s="151" t="n">
        <v>50</v>
      </c>
      <c r="G739" s="152" t="n">
        <v>0.0738</v>
      </c>
      <c r="H739" s="170">
        <f>Tabela10[[#This Row],[M² Da chapa]]*Tabela10[[#This Row],[Qtde Chapas
Liberadas]]</f>
        <v/>
      </c>
      <c r="J739" s="59">
        <f>Tabela10[[#This Row],[ERP]]/Tabela10[[#This Row],[M² Da chapa]]</f>
        <v/>
      </c>
      <c r="K739" s="170">
        <f>Tabela10[[#This Row],[M² CHAPAS]]-Tabela10[[#This Row],[ERP]]</f>
        <v/>
      </c>
      <c r="L739" s="170">
        <f>Tabela10[[#This Row],[DIFERENÇA M²]]/Tabela10[[#This Row],[M² Da chapa]]</f>
        <v/>
      </c>
    </row>
    <row r="740" hidden="1">
      <c r="A740" s="6" t="n">
        <v>46155</v>
      </c>
      <c r="B740" s="8" t="inlineStr">
        <is>
          <t>M26023</t>
        </is>
      </c>
      <c r="C740" s="168">
        <f>VLOOKUP(LEFT(B740,1),Tabela5[],2,0)</f>
        <v/>
      </c>
      <c r="D740" s="57" t="inlineStr">
        <is>
          <t>MDF - 15MM</t>
        </is>
      </c>
      <c r="E740" s="169">
        <f>VLOOKUP(Tabela10[[#This Row],[Tipo de Chapa]],Tabela11[],2,FALSE)</f>
        <v/>
      </c>
      <c r="F740" s="151" t="n">
        <v>1433</v>
      </c>
      <c r="G740" s="152" t="n">
        <v>0.0644</v>
      </c>
      <c r="H740" s="170">
        <f>Tabela10[[#This Row],[M² Da chapa]]*Tabela10[[#This Row],[Qtde Chapas
Liberadas]]</f>
        <v/>
      </c>
      <c r="J740" s="59">
        <f>Tabela10[[#This Row],[ERP]]/Tabela10[[#This Row],[M² Da chapa]]</f>
        <v/>
      </c>
      <c r="K740" s="170">
        <f>Tabela10[[#This Row],[M² CHAPAS]]-Tabela10[[#This Row],[ERP]]</f>
        <v/>
      </c>
      <c r="L740" s="170">
        <f>Tabela10[[#This Row],[DIFERENÇA M²]]/Tabela10[[#This Row],[M² Da chapa]]</f>
        <v/>
      </c>
    </row>
    <row r="741" hidden="1">
      <c r="A741" s="6" t="n">
        <v>46155</v>
      </c>
      <c r="B741" s="8" t="inlineStr">
        <is>
          <t>M26023</t>
        </is>
      </c>
      <c r="C741" s="168">
        <f>VLOOKUP(LEFT(B741,1),Tabela5[],2,0)</f>
        <v/>
      </c>
      <c r="D741" s="57" t="inlineStr">
        <is>
          <t>EUCADUR NT - 2,5MM</t>
        </is>
      </c>
      <c r="E741" s="169">
        <f>VLOOKUP(Tabela10[[#This Row],[Tipo de Chapa]],Tabela11[],2,FALSE)</f>
        <v/>
      </c>
      <c r="F741" s="151" t="n">
        <v>421</v>
      </c>
      <c r="G741" s="152" t="n">
        <v>0.0747</v>
      </c>
      <c r="H741" s="170">
        <f>Tabela10[[#This Row],[M² Da chapa]]*Tabela10[[#This Row],[Qtde Chapas
Liberadas]]</f>
        <v/>
      </c>
      <c r="J741" s="59">
        <f>Tabela10[[#This Row],[ERP]]/Tabela10[[#This Row],[M² Da chapa]]</f>
        <v/>
      </c>
      <c r="K741" s="170">
        <f>Tabela10[[#This Row],[M² CHAPAS]]-Tabela10[[#This Row],[ERP]]</f>
        <v/>
      </c>
      <c r="L741" s="170">
        <f>Tabela10[[#This Row],[DIFERENÇA M²]]/Tabela10[[#This Row],[M² Da chapa]]</f>
        <v/>
      </c>
    </row>
    <row r="742" hidden="1">
      <c r="A742" s="6" t="n">
        <v>46155</v>
      </c>
      <c r="B742" s="8" t="inlineStr">
        <is>
          <t>I26015</t>
        </is>
      </c>
      <c r="C742" s="168">
        <f>VLOOKUP(LEFT(B742,1),Tabela5[],2,0)</f>
        <v/>
      </c>
      <c r="D742" s="57" t="inlineStr">
        <is>
          <t>MDF - 9MM</t>
        </is>
      </c>
      <c r="E742" s="169">
        <f>VLOOKUP(Tabela10[[#This Row],[Tipo de Chapa]],Tabela11[],2,FALSE)</f>
        <v/>
      </c>
      <c r="F742" s="151" t="n">
        <v>130</v>
      </c>
      <c r="G742" s="152" t="n">
        <v>0.0462</v>
      </c>
      <c r="H742" s="170">
        <f>Tabela10[[#This Row],[M² Da chapa]]*Tabela10[[#This Row],[Qtde Chapas
Liberadas]]</f>
        <v/>
      </c>
      <c r="J742" s="59">
        <f>Tabela10[[#This Row],[ERP]]/Tabela10[[#This Row],[M² Da chapa]]</f>
        <v/>
      </c>
      <c r="K742" s="170">
        <f>Tabela10[[#This Row],[M² CHAPAS]]-Tabela10[[#This Row],[ERP]]</f>
        <v/>
      </c>
      <c r="L742" s="170">
        <f>Tabela10[[#This Row],[DIFERENÇA M²]]/Tabela10[[#This Row],[M² Da chapa]]</f>
        <v/>
      </c>
    </row>
    <row r="743" hidden="1">
      <c r="A743" s="6" t="n">
        <v>46155</v>
      </c>
      <c r="B743" s="8" t="inlineStr">
        <is>
          <t>I26016</t>
        </is>
      </c>
      <c r="C743" s="168">
        <f>VLOOKUP(LEFT(B743,1),Tabela5[],2,0)</f>
        <v/>
      </c>
      <c r="D743" s="57" t="inlineStr">
        <is>
          <t>MDF - 9MM</t>
        </is>
      </c>
      <c r="E743" s="169">
        <f>VLOOKUP(Tabela10[[#This Row],[Tipo de Chapa]],Tabela11[],2,FALSE)</f>
        <v/>
      </c>
      <c r="F743" s="151" t="n">
        <v>88</v>
      </c>
      <c r="G743" s="152" t="n">
        <v>0.0456</v>
      </c>
      <c r="H743" s="170">
        <f>Tabela10[[#This Row],[M² Da chapa]]*Tabela10[[#This Row],[Qtde Chapas
Liberadas]]</f>
        <v/>
      </c>
      <c r="J743" s="59">
        <f>Tabela10[[#This Row],[ERP]]/Tabela10[[#This Row],[M² Da chapa]]</f>
        <v/>
      </c>
      <c r="K743" s="170">
        <f>Tabela10[[#This Row],[M² CHAPAS]]-Tabela10[[#This Row],[ERP]]</f>
        <v/>
      </c>
      <c r="L743" s="170">
        <f>Tabela10[[#This Row],[DIFERENÇA M²]]/Tabela10[[#This Row],[M² Da chapa]]</f>
        <v/>
      </c>
    </row>
    <row r="744" hidden="1">
      <c r="A744" s="6" t="n">
        <v>46155</v>
      </c>
      <c r="B744" s="8" t="inlineStr">
        <is>
          <t>M26024</t>
        </is>
      </c>
      <c r="C744" s="168">
        <f>VLOOKUP(LEFT(B744,1),Tabela5[],2,0)</f>
        <v/>
      </c>
      <c r="D744" s="57" t="inlineStr">
        <is>
          <t>MDF - 9MM</t>
        </is>
      </c>
      <c r="E744" s="169">
        <f>VLOOKUP(Tabela10[[#This Row],[Tipo de Chapa]],Tabela11[],2,FALSE)</f>
        <v/>
      </c>
      <c r="F744" s="151" t="n">
        <v>38</v>
      </c>
      <c r="G744" s="152" t="n">
        <v>0.0318</v>
      </c>
      <c r="H744" s="170">
        <f>Tabela10[[#This Row],[M² Da chapa]]*Tabela10[[#This Row],[Qtde Chapas
Liberadas]]</f>
        <v/>
      </c>
      <c r="J744" s="59">
        <f>Tabela10[[#This Row],[ERP]]/Tabela10[[#This Row],[M² Da chapa]]</f>
        <v/>
      </c>
      <c r="K744" s="170">
        <f>Tabela10[[#This Row],[M² CHAPAS]]-Tabela10[[#This Row],[ERP]]</f>
        <v/>
      </c>
      <c r="L744" s="170">
        <f>Tabela10[[#This Row],[DIFERENÇA M²]]/Tabela10[[#This Row],[M² Da chapa]]</f>
        <v/>
      </c>
    </row>
    <row r="745" hidden="1">
      <c r="A745" s="6" t="n">
        <v>46155</v>
      </c>
      <c r="B745" s="8" t="inlineStr">
        <is>
          <t>M26026</t>
        </is>
      </c>
      <c r="C745" s="168">
        <f>VLOOKUP(LEFT(B745,1),Tabela5[],2,0)</f>
        <v/>
      </c>
      <c r="D745" s="57" t="inlineStr">
        <is>
          <t>MDF - 9MM</t>
        </is>
      </c>
      <c r="E745" s="169">
        <f>VLOOKUP(Tabela10[[#This Row],[Tipo de Chapa]],Tabela11[],2,FALSE)</f>
        <v/>
      </c>
      <c r="F745" s="151" t="n">
        <v>180</v>
      </c>
      <c r="G745" s="152" t="n">
        <v>0.0473</v>
      </c>
      <c r="H745" s="170">
        <f>Tabela10[[#This Row],[M² Da chapa]]*Tabela10[[#This Row],[Qtde Chapas
Liberadas]]</f>
        <v/>
      </c>
      <c r="J745" s="59">
        <f>Tabela10[[#This Row],[ERP]]/Tabela10[[#This Row],[M² Da chapa]]</f>
        <v/>
      </c>
      <c r="K745" s="170">
        <f>Tabela10[[#This Row],[M² CHAPAS]]-Tabela10[[#This Row],[ERP]]</f>
        <v/>
      </c>
      <c r="L745" s="170">
        <f>Tabela10[[#This Row],[DIFERENÇA M²]]/Tabela10[[#This Row],[M² Da chapa]]</f>
        <v/>
      </c>
    </row>
    <row r="746" hidden="1">
      <c r="A746" s="6" t="n">
        <v>46155</v>
      </c>
      <c r="B746" s="8" t="inlineStr">
        <is>
          <t>M26026</t>
        </is>
      </c>
      <c r="C746" s="168">
        <f>VLOOKUP(LEFT(B746,1),Tabela5[],2,0)</f>
        <v/>
      </c>
      <c r="D746" s="57" t="inlineStr">
        <is>
          <t>MDF - 18MM 2750X1850</t>
        </is>
      </c>
      <c r="E746" s="169">
        <f>VLOOKUP(Tabela10[[#This Row],[Tipo de Chapa]],Tabela11[],2,FALSE)</f>
        <v/>
      </c>
      <c r="F746" s="151" t="n">
        <v>3</v>
      </c>
      <c r="G746" s="152" t="n">
        <v>0.08740000000000001</v>
      </c>
      <c r="H746" s="170">
        <f>Tabela10[[#This Row],[M² Da chapa]]*Tabela10[[#This Row],[Qtde Chapas
Liberadas]]</f>
        <v/>
      </c>
      <c r="J746" s="59">
        <f>Tabela10[[#This Row],[ERP]]/Tabela10[[#This Row],[M² Da chapa]]</f>
        <v/>
      </c>
      <c r="K746" s="170">
        <f>Tabela10[[#This Row],[M² CHAPAS]]-Tabela10[[#This Row],[ERP]]</f>
        <v/>
      </c>
      <c r="L746" s="170">
        <f>Tabela10[[#This Row],[DIFERENÇA M²]]/Tabela10[[#This Row],[M² Da chapa]]</f>
        <v/>
      </c>
    </row>
    <row r="747">
      <c r="A747" s="6" t="n">
        <v>46155</v>
      </c>
      <c r="B747" s="8" t="inlineStr">
        <is>
          <t>N2603301</t>
        </is>
      </c>
      <c r="C747" s="168">
        <f>VLOOKUP(LEFT(B747,1),Tabela5[],2,0)</f>
        <v/>
      </c>
      <c r="D747" s="57" t="inlineStr">
        <is>
          <t>EUCADUR NT - 2,5MM</t>
        </is>
      </c>
      <c r="E747" s="169">
        <f>VLOOKUP(Tabela10[[#This Row],[Tipo de Chapa]],Tabela11[],2,FALSE)</f>
        <v/>
      </c>
      <c r="F747" s="151" t="n">
        <v>160</v>
      </c>
      <c r="G747" s="152" t="n">
        <v>0.0515</v>
      </c>
      <c r="H747" s="170">
        <f>Tabela10[[#This Row],[M² Da chapa]]*Tabela10[[#This Row],[Qtde Chapas
Liberadas]]</f>
        <v/>
      </c>
      <c r="J747" s="59">
        <f>Tabela10[[#This Row],[ERP]]/Tabela10[[#This Row],[M² Da chapa]]</f>
        <v/>
      </c>
      <c r="K747" s="170">
        <f>Tabela10[[#This Row],[M² CHAPAS]]-Tabela10[[#This Row],[ERP]]</f>
        <v/>
      </c>
      <c r="L747" s="170">
        <f>Tabela10[[#This Row],[DIFERENÇA M²]]/Tabela10[[#This Row],[M² Da chapa]]</f>
        <v/>
      </c>
    </row>
    <row r="748">
      <c r="A748" s="6" t="n">
        <v>46155</v>
      </c>
      <c r="B748" s="8" t="inlineStr">
        <is>
          <t>N26037</t>
        </is>
      </c>
      <c r="C748" s="168">
        <f>VLOOKUP(LEFT(B748,1),Tabela5[],2,0)</f>
        <v/>
      </c>
      <c r="D748" s="57" t="inlineStr">
        <is>
          <t>EUCADUR NT - 2,5MM</t>
        </is>
      </c>
      <c r="E748" s="169">
        <f>VLOOKUP(Tabela10[[#This Row],[Tipo de Chapa]],Tabela11[],2,FALSE)</f>
        <v/>
      </c>
      <c r="F748" s="151" t="n">
        <v>205</v>
      </c>
      <c r="G748" s="152" t="n">
        <v>0.0672</v>
      </c>
      <c r="H748" s="170">
        <f>Tabela10[[#This Row],[M² Da chapa]]*Tabela10[[#This Row],[Qtde Chapas
Liberadas]]</f>
        <v/>
      </c>
      <c r="J748" s="59">
        <f>Tabela10[[#This Row],[ERP]]/Tabela10[[#This Row],[M² Da chapa]]</f>
        <v/>
      </c>
      <c r="K748" s="170">
        <f>Tabela10[[#This Row],[M² CHAPAS]]-Tabela10[[#This Row],[ERP]]</f>
        <v/>
      </c>
      <c r="L748" s="170">
        <f>Tabela10[[#This Row],[DIFERENÇA M²]]/Tabela10[[#This Row],[M² Da chapa]]</f>
        <v/>
      </c>
    </row>
    <row r="749">
      <c r="A749" s="6" t="n">
        <v>46156</v>
      </c>
      <c r="B749" s="8" t="inlineStr">
        <is>
          <t>N2603702 | N2603703</t>
        </is>
      </c>
      <c r="C749" s="168">
        <f>VLOOKUP(LEFT(B749,1),Tabela5[],2,0)</f>
        <v/>
      </c>
      <c r="D749" s="57" t="inlineStr">
        <is>
          <t>MDF - 15MM</t>
        </is>
      </c>
      <c r="E749" s="169">
        <f>VLOOKUP(Tabela10[[#This Row],[Tipo de Chapa]],Tabela11[],2,FALSE)</f>
        <v/>
      </c>
      <c r="F749" s="151" t="n">
        <v>409</v>
      </c>
      <c r="G749" s="152" t="n">
        <v>0.0565</v>
      </c>
      <c r="H749" s="170">
        <f>Tabela10[[#This Row],[M² Da chapa]]*Tabela10[[#This Row],[Qtde Chapas
Liberadas]]</f>
        <v/>
      </c>
      <c r="J749" s="59">
        <f>Tabela10[[#This Row],[ERP]]/Tabela10[[#This Row],[M² Da chapa]]</f>
        <v/>
      </c>
      <c r="K749" s="170">
        <f>Tabela10[[#This Row],[M² CHAPAS]]-Tabela10[[#This Row],[ERP]]</f>
        <v/>
      </c>
      <c r="L749" s="170">
        <f>Tabela10[[#This Row],[DIFERENÇA M²]]/Tabela10[[#This Row],[M² Da chapa]]</f>
        <v/>
      </c>
    </row>
    <row r="750">
      <c r="A750" s="6" t="n">
        <v>46157</v>
      </c>
      <c r="B750" s="8" t="inlineStr">
        <is>
          <t>N26041</t>
        </is>
      </c>
      <c r="C750" s="168">
        <f>VLOOKUP(LEFT(B750,1),Tabela5[],2,0)</f>
        <v/>
      </c>
      <c r="D750" s="57" t="inlineStr">
        <is>
          <t>MDF - 15MM</t>
        </is>
      </c>
      <c r="E750" s="169">
        <f>VLOOKUP(Tabela10[[#This Row],[Tipo de Chapa]],Tabela11[],2,FALSE)</f>
        <v/>
      </c>
      <c r="F750" s="151" t="n">
        <v>583</v>
      </c>
      <c r="G750" s="152" t="n">
        <v>0.0586</v>
      </c>
      <c r="H750" s="170">
        <f>Tabela10[[#This Row],[M² Da chapa]]*Tabela10[[#This Row],[Qtde Chapas
Liberadas]]</f>
        <v/>
      </c>
      <c r="J750" s="59">
        <f>Tabela10[[#This Row],[ERP]]/Tabela10[[#This Row],[M² Da chapa]]</f>
        <v/>
      </c>
      <c r="K750" s="170">
        <f>Tabela10[[#This Row],[M² CHAPAS]]-Tabela10[[#This Row],[ERP]]</f>
        <v/>
      </c>
      <c r="L750" s="170">
        <f>Tabela10[[#This Row],[DIFERENÇA M²]]/Tabela10[[#This Row],[M² Da chapa]]</f>
        <v/>
      </c>
    </row>
    <row r="751">
      <c r="A751" s="6" t="n">
        <v>46157</v>
      </c>
      <c r="B751" s="8" t="inlineStr">
        <is>
          <t>N26041</t>
        </is>
      </c>
      <c r="C751" s="168">
        <f>VLOOKUP(LEFT(B751,1),Tabela5[],2,0)</f>
        <v/>
      </c>
      <c r="D751" s="57" t="inlineStr">
        <is>
          <t>MDF - 25MM 2750x2100</t>
        </is>
      </c>
      <c r="E751" s="169">
        <f>VLOOKUP(Tabela10[[#This Row],[Tipo de Chapa]],Tabela11[],2,FALSE)</f>
        <v/>
      </c>
      <c r="F751" s="151" t="n">
        <v>22</v>
      </c>
      <c r="G751" s="152" t="n">
        <v>0.0225</v>
      </c>
      <c r="H751" s="170">
        <f>Tabela10[[#This Row],[M² Da chapa]]*Tabela10[[#This Row],[Qtde Chapas
Liberadas]]</f>
        <v/>
      </c>
      <c r="J751" s="59">
        <f>Tabela10[[#This Row],[ERP]]/Tabela10[[#This Row],[M² Da chapa]]</f>
        <v/>
      </c>
      <c r="K751" s="170">
        <f>Tabela10[[#This Row],[M² CHAPAS]]-Tabela10[[#This Row],[ERP]]</f>
        <v/>
      </c>
      <c r="L751" s="170">
        <f>Tabela10[[#This Row],[DIFERENÇA M²]]/Tabela10[[#This Row],[M² Da chapa]]</f>
        <v/>
      </c>
    </row>
    <row r="752" hidden="1">
      <c r="A752" s="6" t="n">
        <v>46157</v>
      </c>
      <c r="B752" s="8" t="inlineStr">
        <is>
          <t>I26015</t>
        </is>
      </c>
      <c r="C752" s="168">
        <f>VLOOKUP(LEFT(B752,1),Tabela5[],2,0)</f>
        <v/>
      </c>
      <c r="D752" s="57" t="inlineStr">
        <is>
          <t>MDF - 15MM</t>
        </is>
      </c>
      <c r="E752" s="169">
        <f>VLOOKUP(Tabela10[[#This Row],[Tipo de Chapa]],Tabela11[],2,FALSE)</f>
        <v/>
      </c>
      <c r="F752" s="151" t="n">
        <v>466</v>
      </c>
      <c r="G752" s="152" t="n">
        <v>0.0578</v>
      </c>
      <c r="H752" s="170">
        <f>Tabela10[[#This Row],[M² Da chapa]]*Tabela10[[#This Row],[Qtde Chapas
Liberadas]]</f>
        <v/>
      </c>
      <c r="J752" s="59">
        <f>Tabela10[[#This Row],[ERP]]/Tabela10[[#This Row],[M² Da chapa]]</f>
        <v/>
      </c>
      <c r="K752" s="170">
        <f>Tabela10[[#This Row],[M² CHAPAS]]-Tabela10[[#This Row],[ERP]]</f>
        <v/>
      </c>
      <c r="L752" s="170">
        <f>Tabela10[[#This Row],[DIFERENÇA M²]]/Tabela10[[#This Row],[M² Da chapa]]</f>
        <v/>
      </c>
    </row>
    <row r="753" hidden="1">
      <c r="A753" s="6" t="n">
        <v>46157</v>
      </c>
      <c r="B753" s="8" t="inlineStr">
        <is>
          <t>I26016</t>
        </is>
      </c>
      <c r="C753" s="168">
        <f>VLOOKUP(LEFT(B753,1),Tabela5[],2,0)</f>
        <v/>
      </c>
      <c r="D753" s="57" t="inlineStr">
        <is>
          <t>MDF - 15MM</t>
        </is>
      </c>
      <c r="E753" s="169">
        <f>VLOOKUP(Tabela10[[#This Row],[Tipo de Chapa]],Tabela11[],2,FALSE)</f>
        <v/>
      </c>
      <c r="F753" s="151" t="n">
        <v>1694</v>
      </c>
      <c r="G753" s="152" t="n">
        <v>0.0603</v>
      </c>
      <c r="H753" s="170">
        <f>Tabela10[[#This Row],[M² Da chapa]]*Tabela10[[#This Row],[Qtde Chapas
Liberadas]]</f>
        <v/>
      </c>
      <c r="J753" s="59">
        <f>Tabela10[[#This Row],[ERP]]/Tabela10[[#This Row],[M² Da chapa]]</f>
        <v/>
      </c>
      <c r="K753" s="170">
        <f>Tabela10[[#This Row],[M² CHAPAS]]-Tabela10[[#This Row],[ERP]]</f>
        <v/>
      </c>
      <c r="L753" s="170">
        <f>Tabela10[[#This Row],[DIFERENÇA M²]]/Tabela10[[#This Row],[M² Da chapa]]</f>
        <v/>
      </c>
    </row>
    <row r="754">
      <c r="A754" s="6" t="n">
        <v>46160</v>
      </c>
      <c r="B754" s="8" t="inlineStr">
        <is>
          <t>N2603801</t>
        </is>
      </c>
      <c r="C754" s="168">
        <f>VLOOKUP(LEFT(B754,1),Tabela5[],2,0)</f>
        <v/>
      </c>
      <c r="D754" s="57" t="inlineStr">
        <is>
          <t>MDF - 9MM</t>
        </is>
      </c>
      <c r="E754" s="169">
        <f>VLOOKUP(Tabela10[[#This Row],[Tipo de Chapa]],Tabela11[],2,FALSE)</f>
        <v/>
      </c>
      <c r="F754" s="151" t="n">
        <v>2</v>
      </c>
      <c r="G754" s="152" t="n">
        <v>0.0675</v>
      </c>
      <c r="H754" s="170">
        <f>Tabela10[[#This Row],[M² Da chapa]]*Tabela10[[#This Row],[Qtde Chapas
Liberadas]]</f>
        <v/>
      </c>
      <c r="J754" s="59">
        <f>Tabela10[[#This Row],[ERP]]/Tabela10[[#This Row],[M² Da chapa]]</f>
        <v/>
      </c>
      <c r="K754" s="170">
        <f>Tabela10[[#This Row],[M² CHAPAS]]-Tabela10[[#This Row],[ERP]]</f>
        <v/>
      </c>
      <c r="L754" s="170">
        <f>Tabela10[[#This Row],[DIFERENÇA M²]]/Tabela10[[#This Row],[M² Da chapa]]</f>
        <v/>
      </c>
    </row>
    <row r="755">
      <c r="A755" s="6" t="n">
        <v>46160</v>
      </c>
      <c r="B755" s="8" t="inlineStr">
        <is>
          <t>N2604608</t>
        </is>
      </c>
      <c r="C755" s="168">
        <f>VLOOKUP(LEFT(B755,1),Tabela5[],2,0)</f>
        <v/>
      </c>
      <c r="D755" s="57" t="inlineStr">
        <is>
          <t>MDF - 9MM</t>
        </is>
      </c>
      <c r="E755" s="169">
        <f>VLOOKUP(Tabela10[[#This Row],[Tipo de Chapa]],Tabela11[],2,FALSE)</f>
        <v/>
      </c>
      <c r="F755" s="151" t="n">
        <v>18</v>
      </c>
      <c r="G755" s="152" t="n">
        <v>0.0825</v>
      </c>
      <c r="H755" s="170">
        <f>Tabela10[[#This Row],[M² Da chapa]]*Tabela10[[#This Row],[Qtde Chapas
Liberadas]]</f>
        <v/>
      </c>
      <c r="J755" s="59">
        <f>Tabela10[[#This Row],[ERP]]/Tabela10[[#This Row],[M² Da chapa]]</f>
        <v/>
      </c>
      <c r="K755" s="170">
        <f>Tabela10[[#This Row],[M² CHAPAS]]-Tabela10[[#This Row],[ERP]]</f>
        <v/>
      </c>
      <c r="L755" s="170">
        <f>Tabela10[[#This Row],[DIFERENÇA M²]]/Tabela10[[#This Row],[M² Da chapa]]</f>
        <v/>
      </c>
    </row>
    <row r="756">
      <c r="A756" s="6" t="n">
        <v>46160</v>
      </c>
      <c r="B756" s="8" t="inlineStr">
        <is>
          <t>N26041</t>
        </is>
      </c>
      <c r="C756" s="168">
        <f>VLOOKUP(LEFT(B756,1),Tabela5[],2,0)</f>
        <v/>
      </c>
      <c r="D756" s="57" t="inlineStr">
        <is>
          <t>EUCADUR NT - 2,5MM</t>
        </is>
      </c>
      <c r="E756" s="169">
        <f>VLOOKUP(Tabela10[[#This Row],[Tipo de Chapa]],Tabela11[],2,FALSE)</f>
        <v/>
      </c>
      <c r="F756" s="151" t="n">
        <v>491</v>
      </c>
      <c r="G756" s="152" t="n">
        <v>0.0665</v>
      </c>
      <c r="H756" s="170">
        <f>Tabela10[[#This Row],[M² Da chapa]]*Tabela10[[#This Row],[Qtde Chapas
Liberadas]]</f>
        <v/>
      </c>
      <c r="J756" s="59">
        <f>Tabela10[[#This Row],[ERP]]/Tabela10[[#This Row],[M² Da chapa]]</f>
        <v/>
      </c>
      <c r="K756" s="170">
        <f>Tabela10[[#This Row],[M² CHAPAS]]-Tabela10[[#This Row],[ERP]]</f>
        <v/>
      </c>
      <c r="L756" s="170">
        <f>Tabela10[[#This Row],[DIFERENÇA M²]]/Tabela10[[#This Row],[M² Da chapa]]</f>
        <v/>
      </c>
    </row>
    <row r="757">
      <c r="A757" s="6" t="n">
        <v>46160</v>
      </c>
      <c r="B757" s="8" t="inlineStr">
        <is>
          <t>N2603702</t>
        </is>
      </c>
      <c r="C757" s="168">
        <f>VLOOKUP(LEFT(B757,1),Tabela5[],2,0)</f>
        <v/>
      </c>
      <c r="D757" s="57" t="inlineStr">
        <is>
          <t>EUCADUR NT - 2,5MM</t>
        </is>
      </c>
      <c r="E757" s="169">
        <f>VLOOKUP(Tabela10[[#This Row],[Tipo de Chapa]],Tabela11[],2,FALSE)</f>
        <v/>
      </c>
      <c r="F757" s="151" t="n">
        <v>25</v>
      </c>
      <c r="G757" s="152" t="n">
        <v>0.0621</v>
      </c>
      <c r="H757" s="170">
        <f>Tabela10[[#This Row],[M² Da chapa]]*Tabela10[[#This Row],[Qtde Chapas
Liberadas]]</f>
        <v/>
      </c>
      <c r="J757" s="59">
        <f>Tabela10[[#This Row],[ERP]]/Tabela10[[#This Row],[M² Da chapa]]</f>
        <v/>
      </c>
      <c r="K757" s="170">
        <f>Tabela10[[#This Row],[M² CHAPAS]]-Tabela10[[#This Row],[ERP]]</f>
        <v/>
      </c>
      <c r="L757" s="170">
        <f>Tabela10[[#This Row],[DIFERENÇA M²]]/Tabela10[[#This Row],[M² Da chapa]]</f>
        <v/>
      </c>
    </row>
    <row r="758">
      <c r="A758" s="6" t="n">
        <v>46160</v>
      </c>
      <c r="B758" s="8" t="inlineStr">
        <is>
          <t>N2603801</t>
        </is>
      </c>
      <c r="C758" s="168">
        <f>VLOOKUP(LEFT(B758,1),Tabela5[],2,0)</f>
        <v/>
      </c>
      <c r="D758" s="57" t="inlineStr">
        <is>
          <t>MDF - 15MM</t>
        </is>
      </c>
      <c r="E758" s="169">
        <f>VLOOKUP(Tabela10[[#This Row],[Tipo de Chapa]],Tabela11[],2,FALSE)</f>
        <v/>
      </c>
      <c r="F758" s="151" t="n">
        <v>87</v>
      </c>
      <c r="G758" s="152" t="n">
        <v>0.0484</v>
      </c>
      <c r="H758" s="170">
        <f>Tabela10[[#This Row],[M² Da chapa]]*Tabela10[[#This Row],[Qtde Chapas
Liberadas]]</f>
        <v/>
      </c>
      <c r="J758" s="59">
        <f>Tabela10[[#This Row],[ERP]]/Tabela10[[#This Row],[M² Da chapa]]</f>
        <v/>
      </c>
      <c r="K758" s="170">
        <f>Tabela10[[#This Row],[M² CHAPAS]]-Tabela10[[#This Row],[ERP]]</f>
        <v/>
      </c>
      <c r="L758" s="170">
        <f>Tabela10[[#This Row],[DIFERENÇA M²]]/Tabela10[[#This Row],[M² Da chapa]]</f>
        <v/>
      </c>
    </row>
    <row r="759" hidden="1">
      <c r="A759" s="6" t="n">
        <v>46160</v>
      </c>
      <c r="B759" s="8" t="inlineStr">
        <is>
          <t>I26015</t>
        </is>
      </c>
      <c r="C759" s="168">
        <f>VLOOKUP(LEFT(B759,1),Tabela5[],2,0)</f>
        <v/>
      </c>
      <c r="D759" s="57" t="inlineStr">
        <is>
          <t>EUCADUR NT - 2,5MM</t>
        </is>
      </c>
      <c r="E759" s="169">
        <f>VLOOKUP(Tabela10[[#This Row],[Tipo de Chapa]],Tabela11[],2,FALSE)</f>
        <v/>
      </c>
      <c r="F759" s="151" t="n">
        <v>149</v>
      </c>
      <c r="G759" s="152" t="n">
        <v>0.056</v>
      </c>
      <c r="H759" s="170">
        <f>Tabela10[[#This Row],[M² Da chapa]]*Tabela10[[#This Row],[Qtde Chapas
Liberadas]]</f>
        <v/>
      </c>
      <c r="J759" s="59">
        <f>Tabela10[[#This Row],[ERP]]/Tabela10[[#This Row],[M² Da chapa]]</f>
        <v/>
      </c>
      <c r="K759" s="170">
        <f>Tabela10[[#This Row],[M² CHAPAS]]-Tabela10[[#This Row],[ERP]]</f>
        <v/>
      </c>
      <c r="L759" s="170">
        <f>Tabela10[[#This Row],[DIFERENÇA M²]]/Tabela10[[#This Row],[M² Da chapa]]</f>
        <v/>
      </c>
    </row>
    <row r="760" hidden="1">
      <c r="A760" s="6" t="n">
        <v>46160</v>
      </c>
      <c r="B760" s="8" t="inlineStr">
        <is>
          <t>I26015</t>
        </is>
      </c>
      <c r="C760" s="168">
        <f>VLOOKUP(LEFT(B760,1),Tabela5[],2,0)</f>
        <v/>
      </c>
      <c r="D760" s="57" t="inlineStr">
        <is>
          <t>EUCADUR BR - 2,5MM</t>
        </is>
      </c>
      <c r="E760" s="169">
        <f>VLOOKUP(Tabela10[[#This Row],[Tipo de Chapa]],Tabela11[],2,FALSE)</f>
        <v/>
      </c>
      <c r="F760" s="151" t="n">
        <v>114</v>
      </c>
      <c r="G760" s="152" t="n">
        <v>0.0736</v>
      </c>
      <c r="H760" s="170">
        <f>Tabela10[[#This Row],[M² Da chapa]]*Tabela10[[#This Row],[Qtde Chapas
Liberadas]]</f>
        <v/>
      </c>
      <c r="J760" s="59">
        <f>Tabela10[[#This Row],[ERP]]/Tabela10[[#This Row],[M² Da chapa]]</f>
        <v/>
      </c>
      <c r="K760" s="170">
        <f>Tabela10[[#This Row],[M² CHAPAS]]-Tabela10[[#This Row],[ERP]]</f>
        <v/>
      </c>
      <c r="L760" s="170">
        <f>Tabela10[[#This Row],[DIFERENÇA M²]]/Tabela10[[#This Row],[M² Da chapa]]</f>
        <v/>
      </c>
    </row>
    <row r="761" hidden="1">
      <c r="A761" s="6" t="n">
        <v>46160</v>
      </c>
      <c r="B761" s="8" t="inlineStr">
        <is>
          <t>I26016</t>
        </is>
      </c>
      <c r="C761" s="168">
        <f>VLOOKUP(LEFT(B761,1),Tabela5[],2,0)</f>
        <v/>
      </c>
      <c r="D761" s="57" t="inlineStr">
        <is>
          <t>EUCADUR BR - 2,5MM</t>
        </is>
      </c>
      <c r="E761" s="169">
        <f>VLOOKUP(Tabela10[[#This Row],[Tipo de Chapa]],Tabela11[],2,FALSE)</f>
        <v/>
      </c>
      <c r="F761" s="151" t="n">
        <v>144</v>
      </c>
      <c r="G761" s="152" t="n">
        <v>0.0911</v>
      </c>
      <c r="H761" s="170">
        <f>Tabela10[[#This Row],[M² Da chapa]]*Tabela10[[#This Row],[Qtde Chapas
Liberadas]]</f>
        <v/>
      </c>
      <c r="J761" s="59">
        <f>Tabela10[[#This Row],[ERP]]/Tabela10[[#This Row],[M² Da chapa]]</f>
        <v/>
      </c>
      <c r="K761" s="170">
        <f>Tabela10[[#This Row],[M² CHAPAS]]-Tabela10[[#This Row],[ERP]]</f>
        <v/>
      </c>
      <c r="L761" s="170">
        <f>Tabela10[[#This Row],[DIFERENÇA M²]]/Tabela10[[#This Row],[M² Da chapa]]</f>
        <v/>
      </c>
    </row>
    <row r="762" hidden="1">
      <c r="A762" s="6" t="n">
        <v>46160</v>
      </c>
      <c r="B762" s="8" t="inlineStr">
        <is>
          <t>I26016</t>
        </is>
      </c>
      <c r="C762" s="168">
        <f>VLOOKUP(LEFT(B762,1),Tabela5[],2,0)</f>
        <v/>
      </c>
      <c r="D762" s="57" t="inlineStr">
        <is>
          <t>EUCADUR FRJ - 2,5MM</t>
        </is>
      </c>
      <c r="E762" s="169">
        <f>VLOOKUP(Tabela10[[#This Row],[Tipo de Chapa]],Tabela11[],2,FALSE)</f>
        <v/>
      </c>
      <c r="F762" s="151" t="n">
        <v>75</v>
      </c>
      <c r="G762" s="152" t="n">
        <v>0.0365</v>
      </c>
      <c r="H762" s="170">
        <f>Tabela10[[#This Row],[M² Da chapa]]*Tabela10[[#This Row],[Qtde Chapas
Liberadas]]</f>
        <v/>
      </c>
      <c r="J762" s="59">
        <f>Tabela10[[#This Row],[ERP]]/Tabela10[[#This Row],[M² Da chapa]]</f>
        <v/>
      </c>
      <c r="K762" s="170">
        <f>Tabela10[[#This Row],[M² CHAPAS]]-Tabela10[[#This Row],[ERP]]</f>
        <v/>
      </c>
      <c r="L762" s="170">
        <f>Tabela10[[#This Row],[DIFERENÇA M²]]/Tabela10[[#This Row],[M² Da chapa]]</f>
        <v/>
      </c>
    </row>
    <row r="763" hidden="1">
      <c r="A763" s="6" t="n">
        <v>46160</v>
      </c>
      <c r="B763" s="8" t="inlineStr">
        <is>
          <t>I26016</t>
        </is>
      </c>
      <c r="C763" s="168">
        <f>VLOOKUP(LEFT(B763,1),Tabela5[],2,0)</f>
        <v/>
      </c>
      <c r="D763" s="57" t="inlineStr">
        <is>
          <t>EUCADUR NT - 2,5MM</t>
        </is>
      </c>
      <c r="E763" s="169">
        <f>VLOOKUP(Tabela10[[#This Row],[Tipo de Chapa]],Tabela11[],2,FALSE)</f>
        <v/>
      </c>
      <c r="F763" s="151" t="n">
        <v>345</v>
      </c>
      <c r="G763" s="152" t="n">
        <v>0.06370000000000001</v>
      </c>
      <c r="H763" s="170">
        <f>Tabela10[[#This Row],[M² Da chapa]]*Tabela10[[#This Row],[Qtde Chapas
Liberadas]]</f>
        <v/>
      </c>
      <c r="J763" s="59">
        <f>Tabela10[[#This Row],[ERP]]/Tabela10[[#This Row],[M² Da chapa]]</f>
        <v/>
      </c>
      <c r="K763" s="170">
        <f>Tabela10[[#This Row],[M² CHAPAS]]-Tabela10[[#This Row],[ERP]]</f>
        <v/>
      </c>
      <c r="L763" s="170">
        <f>Tabela10[[#This Row],[DIFERENÇA M²]]/Tabela10[[#This Row],[M² Da chapa]]</f>
        <v/>
      </c>
    </row>
    <row r="764">
      <c r="A764" s="6" t="n">
        <v>46160</v>
      </c>
      <c r="B764" s="8" t="inlineStr">
        <is>
          <t>N2604202</t>
        </is>
      </c>
      <c r="C764" s="168">
        <f>VLOOKUP(LEFT(B764,1),Tabela5[],2,0)</f>
        <v/>
      </c>
      <c r="D764" s="57" t="inlineStr">
        <is>
          <t>MDF - 15MM</t>
        </is>
      </c>
      <c r="E764" s="169">
        <f>VLOOKUP(Tabela10[[#This Row],[Tipo de Chapa]],Tabela11[],2,FALSE)</f>
        <v/>
      </c>
      <c r="F764" s="151" t="n">
        <v>504</v>
      </c>
      <c r="G764" s="152" t="n">
        <v>0.0536</v>
      </c>
      <c r="H764" s="170">
        <f>Tabela10[[#This Row],[M² Da chapa]]*Tabela10[[#This Row],[Qtde Chapas
Liberadas]]</f>
        <v/>
      </c>
      <c r="J764" s="59">
        <f>Tabela10[[#This Row],[ERP]]/Tabela10[[#This Row],[M² Da chapa]]</f>
        <v/>
      </c>
      <c r="K764" s="170">
        <f>Tabela10[[#This Row],[M² CHAPAS]]-Tabela10[[#This Row],[ERP]]</f>
        <v/>
      </c>
      <c r="L764" s="170">
        <f>Tabela10[[#This Row],[DIFERENÇA M²]]/Tabela10[[#This Row],[M² Da chapa]]</f>
        <v/>
      </c>
    </row>
    <row r="765">
      <c r="A765" s="6" t="n">
        <v>46160</v>
      </c>
      <c r="B765" s="8" t="inlineStr">
        <is>
          <t>N2604202 | N2604203 | N2604204</t>
        </is>
      </c>
      <c r="C765" s="168">
        <f>VLOOKUP(LEFT(B765,1),Tabela5[],2,0)</f>
        <v/>
      </c>
      <c r="D765" s="57" t="inlineStr">
        <is>
          <t>EUCADUR NT - 2,5MM</t>
        </is>
      </c>
      <c r="E765" s="169">
        <f>VLOOKUP(Tabela10[[#This Row],[Tipo de Chapa]],Tabela11[],2,FALSE)</f>
        <v/>
      </c>
      <c r="F765" s="151" t="n">
        <v>294</v>
      </c>
      <c r="G765" s="152" t="n">
        <v>0.06619999999999999</v>
      </c>
      <c r="H765" s="170">
        <f>Tabela10[[#This Row],[M² Da chapa]]*Tabela10[[#This Row],[Qtde Chapas
Liberadas]]</f>
        <v/>
      </c>
      <c r="J765" s="59">
        <f>Tabela10[[#This Row],[ERP]]/Tabela10[[#This Row],[M² Da chapa]]</f>
        <v/>
      </c>
      <c r="K765" s="170">
        <f>Tabela10[[#This Row],[M² CHAPAS]]-Tabela10[[#This Row],[ERP]]</f>
        <v/>
      </c>
      <c r="L765" s="170">
        <f>Tabela10[[#This Row],[DIFERENÇA M²]]/Tabela10[[#This Row],[M² Da chapa]]</f>
        <v/>
      </c>
    </row>
    <row r="766">
      <c r="A766" s="6" t="n">
        <v>46160</v>
      </c>
      <c r="B766" s="8" t="inlineStr">
        <is>
          <t>N2604203</t>
        </is>
      </c>
      <c r="C766" s="168">
        <f>VLOOKUP(LEFT(B766,1),Tabela5[],2,0)</f>
        <v/>
      </c>
      <c r="D766" s="57" t="inlineStr">
        <is>
          <t>MDF - 15MM</t>
        </is>
      </c>
      <c r="E766" s="169">
        <f>VLOOKUP(Tabela10[[#This Row],[Tipo de Chapa]],Tabela11[],2,FALSE)</f>
        <v/>
      </c>
      <c r="F766" s="151" t="n">
        <v>218</v>
      </c>
      <c r="G766" s="152" t="n">
        <v>0.0541</v>
      </c>
      <c r="H766" s="170">
        <f>Tabela10[[#This Row],[M² Da chapa]]*Tabela10[[#This Row],[Qtde Chapas
Liberadas]]</f>
        <v/>
      </c>
      <c r="J766" s="59">
        <f>Tabela10[[#This Row],[ERP]]/Tabela10[[#This Row],[M² Da chapa]]</f>
        <v/>
      </c>
      <c r="K766" s="170">
        <f>Tabela10[[#This Row],[M² CHAPAS]]-Tabela10[[#This Row],[ERP]]</f>
        <v/>
      </c>
      <c r="L766" s="170">
        <f>Tabela10[[#This Row],[DIFERENÇA M²]]/Tabela10[[#This Row],[M² Da chapa]]</f>
        <v/>
      </c>
    </row>
    <row r="767">
      <c r="A767" s="6" t="n">
        <v>46162</v>
      </c>
      <c r="B767" s="8" t="inlineStr">
        <is>
          <t>N2604501</t>
        </is>
      </c>
      <c r="C767" s="168">
        <f>VLOOKUP(LEFT(B767,1),Tabela5[],2,0)</f>
        <v/>
      </c>
      <c r="D767" s="57" t="inlineStr">
        <is>
          <t>MDF - 15MM</t>
        </is>
      </c>
      <c r="E767" s="169">
        <f>VLOOKUP(Tabela10[[#This Row],[Tipo de Chapa]],Tabela11[],2,FALSE)</f>
        <v/>
      </c>
      <c r="F767" s="151" t="n">
        <v>256</v>
      </c>
      <c r="G767" s="152" t="n">
        <v>0.0541</v>
      </c>
      <c r="H767" s="170">
        <f>Tabela10[[#This Row],[M² Da chapa]]*Tabela10[[#This Row],[Qtde Chapas
Liberadas]]</f>
        <v/>
      </c>
      <c r="J767" s="59">
        <f>Tabela10[[#This Row],[ERP]]/Tabela10[[#This Row],[M² Da chapa]]</f>
        <v/>
      </c>
      <c r="K767" s="170">
        <f>Tabela10[[#This Row],[M² CHAPAS]]-Tabela10[[#This Row],[ERP]]</f>
        <v/>
      </c>
      <c r="L767" s="170">
        <f>Tabela10[[#This Row],[DIFERENÇA M²]]/Tabela10[[#This Row],[M² Da chapa]]</f>
        <v/>
      </c>
    </row>
    <row r="768">
      <c r="A768" s="6" t="n">
        <v>46162</v>
      </c>
      <c r="B768" s="8" t="inlineStr">
        <is>
          <t>N2604301</t>
        </is>
      </c>
      <c r="C768" s="168">
        <f>VLOOKUP(LEFT(B768,1),Tabela5[],2,0)</f>
        <v/>
      </c>
      <c r="D768" s="57" t="inlineStr">
        <is>
          <t>MDF - 15MM</t>
        </is>
      </c>
      <c r="E768" s="169">
        <f>VLOOKUP(Tabela10[[#This Row],[Tipo de Chapa]],Tabela11[],2,FALSE)</f>
        <v/>
      </c>
      <c r="F768" s="151" t="n">
        <v>120</v>
      </c>
      <c r="G768" s="152" t="n">
        <v>0.0679</v>
      </c>
      <c r="H768" s="170">
        <f>Tabela10[[#This Row],[M² Da chapa]]*Tabela10[[#This Row],[Qtde Chapas
Liberadas]]</f>
        <v/>
      </c>
      <c r="J768" s="59">
        <f>Tabela10[[#This Row],[ERP]]/Tabela10[[#This Row],[M² Da chapa]]</f>
        <v/>
      </c>
      <c r="K768" s="170">
        <f>Tabela10[[#This Row],[M² CHAPAS]]-Tabela10[[#This Row],[ERP]]</f>
        <v/>
      </c>
      <c r="L768" s="170">
        <f>Tabela10[[#This Row],[DIFERENÇA M²]]/Tabela10[[#This Row],[M² Da chapa]]</f>
        <v/>
      </c>
    </row>
    <row r="769">
      <c r="A769" s="6" t="n">
        <v>46163</v>
      </c>
      <c r="B769" s="8" t="inlineStr">
        <is>
          <t>N2603801</t>
        </is>
      </c>
      <c r="C769" s="168">
        <f>VLOOKUP(LEFT(B769,1),Tabela5[],2,0)</f>
        <v/>
      </c>
      <c r="D769" s="57" t="inlineStr">
        <is>
          <t>EUCADUR NT - 2,5MM</t>
        </is>
      </c>
      <c r="E769" s="169">
        <f>VLOOKUP(Tabela10[[#This Row],[Tipo de Chapa]],Tabela11[],2,FALSE)</f>
        <v/>
      </c>
      <c r="F769" s="151" t="n">
        <v>54</v>
      </c>
      <c r="G769" s="152" t="n">
        <v>0.0482</v>
      </c>
      <c r="H769" s="170">
        <f>Tabela10[[#This Row],[M² Da chapa]]*Tabela10[[#This Row],[Qtde Chapas
Liberadas]]</f>
        <v/>
      </c>
      <c r="J769" s="59">
        <f>Tabela10[[#This Row],[ERP]]/Tabela10[[#This Row],[M² Da chapa]]</f>
        <v/>
      </c>
      <c r="K769" s="170">
        <f>Tabela10[[#This Row],[M² CHAPAS]]-Tabela10[[#This Row],[ERP]]</f>
        <v/>
      </c>
      <c r="L769" s="170">
        <f>Tabela10[[#This Row],[DIFERENÇA M²]]/Tabela10[[#This Row],[M² Da chapa]]</f>
        <v/>
      </c>
    </row>
    <row r="770">
      <c r="A770" s="6" t="n">
        <v>46163</v>
      </c>
      <c r="B770" s="8" t="inlineStr">
        <is>
          <t>N2604204</t>
        </is>
      </c>
      <c r="C770" s="168">
        <f>VLOOKUP(LEFT(B770,1),Tabela5[],2,0)</f>
        <v/>
      </c>
      <c r="D770" s="57" t="inlineStr">
        <is>
          <t>MDF - 15MM</t>
        </is>
      </c>
      <c r="E770" s="169">
        <f>VLOOKUP(Tabela10[[#This Row],[Tipo de Chapa]],Tabela11[],2,FALSE)</f>
        <v/>
      </c>
      <c r="F770" s="151" t="n">
        <v>328</v>
      </c>
      <c r="G770" s="152" t="n">
        <v>0.0518</v>
      </c>
      <c r="H770" s="170">
        <f>Tabela10[[#This Row],[M² Da chapa]]*Tabela10[[#This Row],[Qtde Chapas
Liberadas]]</f>
        <v/>
      </c>
      <c r="J770" s="59">
        <f>Tabela10[[#This Row],[ERP]]/Tabela10[[#This Row],[M² Da chapa]]</f>
        <v/>
      </c>
      <c r="K770" s="170">
        <f>Tabela10[[#This Row],[M² CHAPAS]]-Tabela10[[#This Row],[ERP]]</f>
        <v/>
      </c>
      <c r="L770" s="170">
        <f>Tabela10[[#This Row],[DIFERENÇA M²]]/Tabela10[[#This Row],[M² Da chapa]]</f>
        <v/>
      </c>
    </row>
    <row r="771" hidden="1">
      <c r="A771" s="6" t="n">
        <v>46163</v>
      </c>
      <c r="B771" s="8" t="inlineStr">
        <is>
          <t>M26024</t>
        </is>
      </c>
      <c r="C771" s="168">
        <f>VLOOKUP(LEFT(B771,1),Tabela5[],2,0)</f>
        <v/>
      </c>
      <c r="D771" s="57" t="inlineStr">
        <is>
          <t>MDF - 15MM</t>
        </is>
      </c>
      <c r="E771" s="169">
        <f>VLOOKUP(Tabela10[[#This Row],[Tipo de Chapa]],Tabela11[],2,FALSE)</f>
        <v/>
      </c>
      <c r="F771" s="151">
        <f>1519-50</f>
        <v/>
      </c>
      <c r="G771" s="152" t="n">
        <v>0.0583</v>
      </c>
      <c r="H771" s="170">
        <f>Tabela10[[#This Row],[M² Da chapa]]*Tabela10[[#This Row],[Qtde Chapas
Liberadas]]</f>
        <v/>
      </c>
      <c r="J771" s="59">
        <f>Tabela10[[#This Row],[ERP]]/Tabela10[[#This Row],[M² Da chapa]]</f>
        <v/>
      </c>
      <c r="K771" s="170">
        <f>Tabela10[[#This Row],[M² CHAPAS]]-Tabela10[[#This Row],[ERP]]</f>
        <v/>
      </c>
      <c r="L771" s="170">
        <f>Tabela10[[#This Row],[DIFERENÇA M²]]/Tabela10[[#This Row],[M² Da chapa]]</f>
        <v/>
      </c>
    </row>
    <row r="772" hidden="1">
      <c r="A772" s="6" t="n">
        <v>46163</v>
      </c>
      <c r="B772" s="8" t="inlineStr">
        <is>
          <t>M26024</t>
        </is>
      </c>
      <c r="C772" s="168">
        <f>VLOOKUP(LEFT(B772,1),Tabela5[],2,0)</f>
        <v/>
      </c>
      <c r="D772" s="57" t="inlineStr">
        <is>
          <t>EUCADUR NT - 2,5MM</t>
        </is>
      </c>
      <c r="E772" s="169">
        <f>VLOOKUP(Tabela10[[#This Row],[Tipo de Chapa]],Tabela11[],2,FALSE)</f>
        <v/>
      </c>
      <c r="F772" s="151" t="n">
        <v>382</v>
      </c>
      <c r="G772" s="152" t="n">
        <v>0.0682</v>
      </c>
      <c r="H772" s="170">
        <f>Tabela10[[#This Row],[M² Da chapa]]*Tabela10[[#This Row],[Qtde Chapas
Liberadas]]</f>
        <v/>
      </c>
      <c r="J772" s="59">
        <f>Tabela10[[#This Row],[ERP]]/Tabela10[[#This Row],[M² Da chapa]]</f>
        <v/>
      </c>
      <c r="K772" s="170">
        <f>Tabela10[[#This Row],[M² CHAPAS]]-Tabela10[[#This Row],[ERP]]</f>
        <v/>
      </c>
      <c r="L772" s="170">
        <f>Tabela10[[#This Row],[DIFERENÇA M²]]/Tabela10[[#This Row],[M² Da chapa]]</f>
        <v/>
      </c>
    </row>
    <row r="773">
      <c r="A773" s="6" t="n">
        <v>46164</v>
      </c>
      <c r="B773" s="8" t="inlineStr">
        <is>
          <t>N2604501</t>
        </is>
      </c>
      <c r="C773" s="168">
        <f>VLOOKUP(LEFT(B773,1),Tabela5[],2,0)</f>
        <v/>
      </c>
      <c r="D773" s="57" t="inlineStr">
        <is>
          <t>EUCADUR NT - 2,5MM</t>
        </is>
      </c>
      <c r="E773" s="169">
        <f>VLOOKUP(Tabela10[[#This Row],[Tipo de Chapa]],Tabela11[],2,FALSE)</f>
        <v/>
      </c>
      <c r="F773" s="151" t="n">
        <v>56</v>
      </c>
      <c r="G773" s="152" t="n">
        <v>0.0743</v>
      </c>
      <c r="H773" s="170">
        <f>Tabela10[[#This Row],[M² Da chapa]]*Tabela10[[#This Row],[Qtde Chapas
Liberadas]]</f>
        <v/>
      </c>
      <c r="J773" s="59">
        <f>Tabela10[[#This Row],[ERP]]/Tabela10[[#This Row],[M² Da chapa]]</f>
        <v/>
      </c>
      <c r="K773" s="170">
        <f>Tabela10[[#This Row],[M² CHAPAS]]-Tabela10[[#This Row],[ERP]]</f>
        <v/>
      </c>
      <c r="L773" s="170">
        <f>Tabela10[[#This Row],[DIFERENÇA M²]]/Tabela10[[#This Row],[M² Da chapa]]</f>
        <v/>
      </c>
    </row>
    <row r="774">
      <c r="A774" s="6" t="n">
        <v>46164</v>
      </c>
      <c r="B774" s="8" t="inlineStr">
        <is>
          <t>N2604503</t>
        </is>
      </c>
      <c r="C774" s="168">
        <f>VLOOKUP(LEFT(B774,1),Tabela5[],2,0)</f>
        <v/>
      </c>
      <c r="D774" s="57" t="inlineStr">
        <is>
          <t>MDF - 15MM</t>
        </is>
      </c>
      <c r="E774" s="169">
        <f>VLOOKUP(Tabela10[[#This Row],[Tipo de Chapa]],Tabela11[],2,FALSE)</f>
        <v/>
      </c>
      <c r="F774" s="151">
        <f>142+5</f>
        <v/>
      </c>
      <c r="G774" s="152" t="n">
        <v>0.062</v>
      </c>
      <c r="H774" s="170">
        <f>Tabela10[[#This Row],[M² Da chapa]]*Tabela10[[#This Row],[Qtde Chapas
Liberadas]]</f>
        <v/>
      </c>
      <c r="J774" s="59">
        <f>Tabela10[[#This Row],[ERP]]/Tabela10[[#This Row],[M² Da chapa]]</f>
        <v/>
      </c>
      <c r="K774" s="170">
        <f>Tabela10[[#This Row],[M² CHAPAS]]-Tabela10[[#This Row],[ERP]]</f>
        <v/>
      </c>
      <c r="L774" s="170">
        <f>Tabela10[[#This Row],[DIFERENÇA M²]]/Tabela10[[#This Row],[M² Da chapa]]</f>
        <v/>
      </c>
    </row>
    <row r="775">
      <c r="A775" s="6" t="n">
        <v>46164</v>
      </c>
      <c r="B775" s="8" t="inlineStr">
        <is>
          <t>N2604502</t>
        </is>
      </c>
      <c r="C775" s="168">
        <f>VLOOKUP(LEFT(B775,1),Tabela5[],2,0)</f>
        <v/>
      </c>
      <c r="D775" s="57" t="inlineStr">
        <is>
          <t>MDF - 15MM</t>
        </is>
      </c>
      <c r="E775" s="169">
        <f>VLOOKUP(Tabela10[[#This Row],[Tipo de Chapa]],Tabela11[],2,FALSE)</f>
        <v/>
      </c>
      <c r="F775" s="151" t="n">
        <v>39</v>
      </c>
      <c r="G775" s="152" t="n">
        <v>0.0585</v>
      </c>
      <c r="H775" s="170">
        <f>Tabela10[[#This Row],[M² Da chapa]]*Tabela10[[#This Row],[Qtde Chapas
Liberadas]]</f>
        <v/>
      </c>
      <c r="J775" s="59">
        <f>Tabela10[[#This Row],[ERP]]/Tabela10[[#This Row],[M² Da chapa]]</f>
        <v/>
      </c>
      <c r="K775" s="170">
        <f>Tabela10[[#This Row],[M² CHAPAS]]-Tabela10[[#This Row],[ERP]]</f>
        <v/>
      </c>
      <c r="L775" s="170">
        <f>Tabela10[[#This Row],[DIFERENÇA M²]]/Tabela10[[#This Row],[M² Da chapa]]</f>
        <v/>
      </c>
    </row>
    <row r="776">
      <c r="A776" s="6" t="n">
        <v>46164</v>
      </c>
      <c r="B776" s="8" t="inlineStr">
        <is>
          <t>N2604504 | N2604505</t>
        </is>
      </c>
      <c r="C776" s="168">
        <f>VLOOKUP(LEFT(B776,1),Tabela5[],2,0)</f>
        <v/>
      </c>
      <c r="D776" s="57" t="inlineStr">
        <is>
          <t>MDF - 15MM</t>
        </is>
      </c>
      <c r="E776" s="169">
        <f>VLOOKUP(Tabela10[[#This Row],[Tipo de Chapa]],Tabela11[],2,FALSE)</f>
        <v/>
      </c>
      <c r="F776" s="151" t="n">
        <v>214</v>
      </c>
      <c r="G776" s="152" t="n">
        <v>0.0555</v>
      </c>
      <c r="H776" s="170">
        <f>Tabela10[[#This Row],[M² Da chapa]]*Tabela10[[#This Row],[Qtde Chapas
Liberadas]]</f>
        <v/>
      </c>
      <c r="J776" s="59">
        <f>Tabela10[[#This Row],[ERP]]/Tabela10[[#This Row],[M² Da chapa]]</f>
        <v/>
      </c>
      <c r="K776" s="170">
        <f>Tabela10[[#This Row],[M² CHAPAS]]-Tabela10[[#This Row],[ERP]]</f>
        <v/>
      </c>
      <c r="L776" s="170">
        <f>Tabela10[[#This Row],[DIFERENÇA M²]]/Tabela10[[#This Row],[M² Da chapa]]</f>
        <v/>
      </c>
    </row>
    <row r="777">
      <c r="A777" s="6" t="n">
        <v>46167</v>
      </c>
      <c r="B777" s="8" t="inlineStr">
        <is>
          <t>N2604502 | N2604503 | N2604504 |  N2604505</t>
        </is>
      </c>
      <c r="C777" s="168">
        <f>VLOOKUP(LEFT(B777,1),Tabela5[],2,0)</f>
        <v/>
      </c>
      <c r="D777" s="57" t="inlineStr">
        <is>
          <t>EUCADUR NT - 2,5MM</t>
        </is>
      </c>
      <c r="E777" s="169">
        <f>VLOOKUP(Tabela10[[#This Row],[Tipo de Chapa]],Tabela11[],2,FALSE)</f>
        <v/>
      </c>
      <c r="F777" s="151" t="n">
        <v>259</v>
      </c>
      <c r="G777" s="152" t="n">
        <v>0.06510000000000001</v>
      </c>
      <c r="H777" s="170">
        <f>Tabela10[[#This Row],[M² Da chapa]]*Tabela10[[#This Row],[Qtde Chapas
Liberadas]]</f>
        <v/>
      </c>
      <c r="J777" s="59">
        <f>Tabela10[[#This Row],[ERP]]/Tabela10[[#This Row],[M² Da chapa]]</f>
        <v/>
      </c>
      <c r="K777" s="170">
        <f>Tabela10[[#This Row],[M² CHAPAS]]-Tabela10[[#This Row],[ERP]]</f>
        <v/>
      </c>
      <c r="L777" s="170">
        <f>Tabela10[[#This Row],[DIFERENÇA M²]]/Tabela10[[#This Row],[M² Da chapa]]</f>
        <v/>
      </c>
    </row>
    <row r="778">
      <c r="A778" s="6" t="n">
        <v>46167</v>
      </c>
      <c r="B778" s="8" t="inlineStr">
        <is>
          <t>N2604201</t>
        </is>
      </c>
      <c r="C778" s="168">
        <f>VLOOKUP(LEFT(B778,1),Tabela5[],2,0)</f>
        <v/>
      </c>
      <c r="D778" s="57" t="inlineStr">
        <is>
          <t>MDF - 15MM</t>
        </is>
      </c>
      <c r="E778" s="169">
        <f>VLOOKUP(Tabela10[[#This Row],[Tipo de Chapa]],Tabela11[],2,FALSE)</f>
        <v/>
      </c>
      <c r="F778" s="151" t="n">
        <v>522</v>
      </c>
      <c r="G778" s="152" t="n">
        <v>0.054</v>
      </c>
      <c r="H778" s="170">
        <f>Tabela10[[#This Row],[M² Da chapa]]*Tabela10[[#This Row],[Qtde Chapas
Liberadas]]</f>
        <v/>
      </c>
      <c r="J778" s="59">
        <f>Tabela10[[#This Row],[ERP]]/Tabela10[[#This Row],[M² Da chapa]]</f>
        <v/>
      </c>
      <c r="K778" s="170">
        <f>Tabela10[[#This Row],[M² CHAPAS]]-Tabela10[[#This Row],[ERP]]</f>
        <v/>
      </c>
      <c r="L778" s="170">
        <f>Tabela10[[#This Row],[DIFERENÇA M²]]/Tabela10[[#This Row],[M² Da chapa]]</f>
        <v/>
      </c>
    </row>
    <row r="779">
      <c r="A779" s="6" t="n">
        <v>46167</v>
      </c>
      <c r="B779" s="8" t="inlineStr">
        <is>
          <t>N2604607 | N2604608</t>
        </is>
      </c>
      <c r="C779" s="168">
        <f>VLOOKUP(LEFT(B779,1),Tabela5[],2,0)</f>
        <v/>
      </c>
      <c r="D779" s="57" t="inlineStr">
        <is>
          <t>MDF - 15MM</t>
        </is>
      </c>
      <c r="E779" s="169">
        <f>VLOOKUP(Tabela10[[#This Row],[Tipo de Chapa]],Tabela11[],2,FALSE)</f>
        <v/>
      </c>
      <c r="F779" s="151" t="n">
        <v>279</v>
      </c>
      <c r="G779" s="152" t="n">
        <v>0.0497</v>
      </c>
      <c r="H779" s="170">
        <f>Tabela10[[#This Row],[M² Da chapa]]*Tabela10[[#This Row],[Qtde Chapas
Liberadas]]</f>
        <v/>
      </c>
      <c r="J779" s="59">
        <f>Tabela10[[#This Row],[ERP]]/Tabela10[[#This Row],[M² Da chapa]]</f>
        <v/>
      </c>
      <c r="K779" s="170">
        <f>Tabela10[[#This Row],[M² CHAPAS]]-Tabela10[[#This Row],[ERP]]</f>
        <v/>
      </c>
      <c r="L779" s="170">
        <f>Tabela10[[#This Row],[DIFERENÇA M²]]/Tabela10[[#This Row],[M² Da chapa]]</f>
        <v/>
      </c>
    </row>
    <row r="780">
      <c r="A780" s="6" t="n">
        <v>46168</v>
      </c>
      <c r="B780" s="8" t="inlineStr">
        <is>
          <t>N2604402</t>
        </is>
      </c>
      <c r="C780" s="168">
        <f>VLOOKUP(LEFT(B780,1),Tabela5[],2,0)</f>
        <v/>
      </c>
      <c r="D780" s="57" t="inlineStr">
        <is>
          <t>MDF - 15MM</t>
        </is>
      </c>
      <c r="E780" s="169">
        <f>VLOOKUP(Tabela10[[#This Row],[Tipo de Chapa]],Tabela11[],2,FALSE)</f>
        <v/>
      </c>
      <c r="F780" s="151" t="n">
        <v>75</v>
      </c>
      <c r="G780" s="152" t="n">
        <v>0.055</v>
      </c>
      <c r="H780" s="170">
        <f>Tabela10[[#This Row],[M² Da chapa]]*Tabela10[[#This Row],[Qtde Chapas
Liberadas]]</f>
        <v/>
      </c>
      <c r="J780" s="59">
        <f>Tabela10[[#This Row],[ERP]]/Tabela10[[#This Row],[M² Da chapa]]</f>
        <v/>
      </c>
      <c r="K780" s="170">
        <f>Tabela10[[#This Row],[M² CHAPAS]]-Tabela10[[#This Row],[ERP]]</f>
        <v/>
      </c>
      <c r="L780" s="170">
        <f>Tabela10[[#This Row],[DIFERENÇA M²]]/Tabela10[[#This Row],[M² Da chapa]]</f>
        <v/>
      </c>
    </row>
    <row r="781">
      <c r="A781" s="6" t="n">
        <v>46168</v>
      </c>
      <c r="B781" s="8" t="inlineStr">
        <is>
          <t>N2604609</t>
        </is>
      </c>
      <c r="C781" s="168">
        <f>VLOOKUP(LEFT(B781,1),Tabela5[],2,0)</f>
        <v/>
      </c>
      <c r="D781" s="57" t="inlineStr">
        <is>
          <t>MDF - 15MM</t>
        </is>
      </c>
      <c r="E781" s="169">
        <f>VLOOKUP(Tabela10[[#This Row],[Tipo de Chapa]],Tabela11[],2,FALSE)</f>
        <v/>
      </c>
      <c r="F781" s="151" t="n">
        <v>115</v>
      </c>
      <c r="G781" s="152" t="n">
        <v>0.0563</v>
      </c>
      <c r="H781" s="170">
        <f>Tabela10[[#This Row],[M² Da chapa]]*Tabela10[[#This Row],[Qtde Chapas
Liberadas]]</f>
        <v/>
      </c>
      <c r="J781" s="59">
        <f>Tabela10[[#This Row],[ERP]]/Tabela10[[#This Row],[M² Da chapa]]</f>
        <v/>
      </c>
      <c r="K781" s="170">
        <f>Tabela10[[#This Row],[M² CHAPAS]]-Tabela10[[#This Row],[ERP]]</f>
        <v/>
      </c>
      <c r="L781" s="170">
        <f>Tabela10[[#This Row],[DIFERENÇA M²]]/Tabela10[[#This Row],[M² Da chapa]]</f>
        <v/>
      </c>
    </row>
    <row r="782">
      <c r="A782" s="6" t="n">
        <v>46168</v>
      </c>
      <c r="B782" s="8" t="inlineStr">
        <is>
          <t xml:space="preserve">N2604201 </t>
        </is>
      </c>
      <c r="C782" s="168">
        <f>VLOOKUP(LEFT(B782,1),Tabela5[],2,0)</f>
        <v/>
      </c>
      <c r="D782" s="57" t="inlineStr">
        <is>
          <t>EUCADUR NT - 2,5MM</t>
        </is>
      </c>
      <c r="E782" s="169">
        <f>VLOOKUP(Tabela10[[#This Row],[Tipo de Chapa]],Tabela11[],2,FALSE)</f>
        <v/>
      </c>
      <c r="F782" s="151" t="n">
        <v>111</v>
      </c>
      <c r="G782" s="152" t="n">
        <v>0.0563</v>
      </c>
      <c r="H782" s="170">
        <f>Tabela10[[#This Row],[M² Da chapa]]*Tabela10[[#This Row],[Qtde Chapas
Liberadas]]</f>
        <v/>
      </c>
      <c r="J782" s="59">
        <f>Tabela10[[#This Row],[ERP]]/Tabela10[[#This Row],[M² Da chapa]]</f>
        <v/>
      </c>
      <c r="K782" s="170">
        <f>Tabela10[[#This Row],[M² CHAPAS]]-Tabela10[[#This Row],[ERP]]</f>
        <v/>
      </c>
      <c r="L782" s="170">
        <f>Tabela10[[#This Row],[DIFERENÇA M²]]/Tabela10[[#This Row],[M² Da chapa]]</f>
        <v/>
      </c>
    </row>
    <row r="783" hidden="1">
      <c r="A783" s="6" t="n">
        <v>46169</v>
      </c>
      <c r="B783" s="8" t="inlineStr">
        <is>
          <t>M26025</t>
        </is>
      </c>
      <c r="C783" s="168">
        <f>VLOOKUP(LEFT(B783,1),Tabela5[],2,0)</f>
        <v/>
      </c>
      <c r="D783" s="57" t="inlineStr">
        <is>
          <t>MDF - 15MM</t>
        </is>
      </c>
      <c r="E783" s="169">
        <f>VLOOKUP(Tabela10[[#This Row],[Tipo de Chapa]],Tabela11[],2,FALSE)</f>
        <v/>
      </c>
      <c r="F783" s="151" t="n">
        <v>148</v>
      </c>
      <c r="G783" s="152" t="n">
        <v>0.0477</v>
      </c>
      <c r="H783" s="170">
        <f>Tabela10[[#This Row],[M² Da chapa]]*Tabela10[[#This Row],[Qtde Chapas
Liberadas]]</f>
        <v/>
      </c>
      <c r="J783" s="59">
        <f>Tabela10[[#This Row],[ERP]]/Tabela10[[#This Row],[M² Da chapa]]</f>
        <v/>
      </c>
      <c r="K783" s="170">
        <f>Tabela10[[#This Row],[M² CHAPAS]]-Tabela10[[#This Row],[ERP]]</f>
        <v/>
      </c>
      <c r="L783" s="170">
        <f>Tabela10[[#This Row],[DIFERENÇA M²]]/Tabela10[[#This Row],[M² Da chapa]]</f>
        <v/>
      </c>
    </row>
    <row r="784" hidden="1">
      <c r="A784" s="6" t="n">
        <v>46169</v>
      </c>
      <c r="B784" s="8" t="inlineStr">
        <is>
          <t>M26026</t>
        </is>
      </c>
      <c r="C784" s="168">
        <f>VLOOKUP(LEFT(B784,1),Tabela5[],2,0)</f>
        <v/>
      </c>
      <c r="D784" s="57" t="inlineStr">
        <is>
          <t>MDF - 15MM</t>
        </is>
      </c>
      <c r="E784" s="169">
        <f>VLOOKUP(Tabela10[[#This Row],[Tipo de Chapa]],Tabela11[],2,FALSE)</f>
        <v/>
      </c>
      <c r="F784" s="151" t="n">
        <v>1217</v>
      </c>
      <c r="G784" s="152" t="n">
        <v>0.06279999999999999</v>
      </c>
      <c r="H784" s="170">
        <f>Tabela10[[#This Row],[M² Da chapa]]*Tabela10[[#This Row],[Qtde Chapas
Liberadas]]</f>
        <v/>
      </c>
      <c r="J784" s="59">
        <f>Tabela10[[#This Row],[ERP]]/Tabela10[[#This Row],[M² Da chapa]]</f>
        <v/>
      </c>
      <c r="K784" s="170">
        <f>Tabela10[[#This Row],[M² CHAPAS]]-Tabela10[[#This Row],[ERP]]</f>
        <v/>
      </c>
      <c r="L784" s="170">
        <f>Tabela10[[#This Row],[DIFERENÇA M²]]/Tabela10[[#This Row],[M² Da chapa]]</f>
        <v/>
      </c>
    </row>
    <row r="785">
      <c r="A785" s="6" t="n">
        <v>46169</v>
      </c>
      <c r="B785" s="8" t="inlineStr">
        <is>
          <t>N2604606 | N2604607 | N2604609</t>
        </is>
      </c>
      <c r="C785" s="168">
        <f>VLOOKUP(LEFT(B785,1),Tabela5[],2,0)</f>
        <v/>
      </c>
      <c r="D785" s="57" t="inlineStr">
        <is>
          <t>EUCADUR NT - 2,5MM</t>
        </is>
      </c>
      <c r="E785" s="169">
        <f>VLOOKUP(Tabela10[[#This Row],[Tipo de Chapa]],Tabela11[],2,FALSE)</f>
        <v/>
      </c>
      <c r="F785" s="151" t="n">
        <v>407</v>
      </c>
      <c r="G785" s="152" t="n">
        <v>0.0693</v>
      </c>
      <c r="H785" s="170">
        <f>Tabela10[[#This Row],[M² Da chapa]]*Tabela10[[#This Row],[Qtde Chapas
Liberadas]]</f>
        <v/>
      </c>
      <c r="J785" s="59">
        <f>Tabela10[[#This Row],[ERP]]/Tabela10[[#This Row],[M² Da chapa]]</f>
        <v/>
      </c>
      <c r="K785" s="170">
        <f>Tabela10[[#This Row],[M² CHAPAS]]-Tabela10[[#This Row],[ERP]]</f>
        <v/>
      </c>
      <c r="L785" s="170">
        <f>Tabela10[[#This Row],[DIFERENÇA M²]]/Tabela10[[#This Row],[M² Da chapa]]</f>
        <v/>
      </c>
    </row>
    <row r="786" hidden="1">
      <c r="A786" s="6" t="n">
        <v>46134</v>
      </c>
      <c r="B786" s="8" t="inlineStr">
        <is>
          <t>U26001</t>
        </is>
      </c>
      <c r="C786" s="168">
        <f>VLOOKUP(LEFT(B786,1),Tabela5[],2,0)</f>
        <v/>
      </c>
      <c r="D786" s="57" t="inlineStr">
        <is>
          <t>MDF - 25MM 2750x2200</t>
        </is>
      </c>
      <c r="E786" s="169">
        <f>VLOOKUP(Tabela10[[#This Row],[Tipo de Chapa]],Tabela11[],2,FALSE)</f>
        <v/>
      </c>
      <c r="F786" s="151" t="n">
        <v>75</v>
      </c>
      <c r="G786" s="152" t="n">
        <v>0.0781</v>
      </c>
      <c r="H786" s="170">
        <f>Tabela10[[#This Row],[M² Da chapa]]*Tabela10[[#This Row],[Qtde Chapas
Liberadas]]</f>
        <v/>
      </c>
      <c r="J786" s="59">
        <f>Tabela10[[#This Row],[ERP]]/Tabela10[[#This Row],[M² Da chapa]]</f>
        <v/>
      </c>
      <c r="K786" s="170">
        <f>Tabela10[[#This Row],[M² CHAPAS]]-Tabela10[[#This Row],[ERP]]</f>
        <v/>
      </c>
      <c r="L786" s="170">
        <f>Tabela10[[#This Row],[DIFERENÇA M²]]/Tabela10[[#This Row],[M² Da chapa]]</f>
        <v/>
      </c>
    </row>
    <row r="787">
      <c r="A787" s="6" t="n">
        <v>46169</v>
      </c>
      <c r="B787" s="8" t="inlineStr">
        <is>
          <t>N2604506</t>
        </is>
      </c>
      <c r="C787" s="168">
        <f>VLOOKUP(LEFT(B787,1),Tabela5[],2,0)</f>
        <v/>
      </c>
      <c r="D787" s="57" t="inlineStr">
        <is>
          <t>MDF - 15MM</t>
        </is>
      </c>
      <c r="E787" s="169">
        <f>VLOOKUP(Tabela10[[#This Row],[Tipo de Chapa]],Tabela11[],2,FALSE)</f>
        <v/>
      </c>
      <c r="F787" s="151" t="n">
        <v>52</v>
      </c>
      <c r="G787" s="152" t="n">
        <v>0.07099999999999999</v>
      </c>
      <c r="H787" s="170">
        <f>Tabela10[[#This Row],[M² Da chapa]]*Tabela10[[#This Row],[Qtde Chapas
Liberadas]]</f>
        <v/>
      </c>
      <c r="J787" s="59">
        <f>Tabela10[[#This Row],[ERP]]/Tabela10[[#This Row],[M² Da chapa]]</f>
        <v/>
      </c>
      <c r="K787" s="170">
        <f>Tabela10[[#This Row],[M² CHAPAS]]-Tabela10[[#This Row],[ERP]]</f>
        <v/>
      </c>
      <c r="L787" s="170">
        <f>Tabela10[[#This Row],[DIFERENÇA M²]]/Tabela10[[#This Row],[M² Da chapa]]</f>
        <v/>
      </c>
    </row>
    <row r="788">
      <c r="A788" s="6" t="n">
        <v>46170</v>
      </c>
      <c r="B788" s="8" t="inlineStr">
        <is>
          <t>N2604605 | N2604606</t>
        </is>
      </c>
      <c r="C788" s="168">
        <f>VLOOKUP(LEFT(B788,1),Tabela5[],2,0)</f>
        <v/>
      </c>
      <c r="D788" s="57" t="inlineStr">
        <is>
          <t>MDF - 15MM</t>
        </is>
      </c>
      <c r="E788" s="169">
        <f>VLOOKUP(Tabela10[[#This Row],[Tipo de Chapa]],Tabela11[],2,FALSE)</f>
        <v/>
      </c>
      <c r="F788" s="151" t="n">
        <v>307</v>
      </c>
      <c r="G788" s="152" t="n">
        <v>0.0573</v>
      </c>
      <c r="H788" s="170">
        <f>Tabela10[[#This Row],[M² Da chapa]]*Tabela10[[#This Row],[Qtde Chapas
Liberadas]]</f>
        <v/>
      </c>
      <c r="J788" s="59">
        <f>Tabela10[[#This Row],[ERP]]/Tabela10[[#This Row],[M² Da chapa]]</f>
        <v/>
      </c>
      <c r="K788" s="170">
        <f>Tabela10[[#This Row],[M² CHAPAS]]-Tabela10[[#This Row],[ERP]]</f>
        <v/>
      </c>
      <c r="L788" s="170">
        <f>Tabela10[[#This Row],[DIFERENÇA M²]]/Tabela10[[#This Row],[M² Da chapa]]</f>
        <v/>
      </c>
    </row>
    <row r="789">
      <c r="A789" s="6" t="n">
        <v>46170</v>
      </c>
      <c r="B789" s="8" t="inlineStr">
        <is>
          <t>N2604301</t>
        </is>
      </c>
      <c r="C789" s="168">
        <f>VLOOKUP(LEFT(B789,1),Tabela5[],2,0)</f>
        <v/>
      </c>
      <c r="D789" s="57" t="inlineStr">
        <is>
          <t>MDF - 9MM</t>
        </is>
      </c>
      <c r="E789" s="169">
        <f>VLOOKUP(Tabela10[[#This Row],[Tipo de Chapa]],Tabela11[],2,FALSE)</f>
        <v/>
      </c>
      <c r="F789" s="151" t="n">
        <v>56</v>
      </c>
      <c r="G789" s="152" t="n">
        <v>0.0704</v>
      </c>
      <c r="H789" s="170">
        <f>Tabela10[[#This Row],[M² Da chapa]]*Tabela10[[#This Row],[Qtde Chapas
Liberadas]]</f>
        <v/>
      </c>
      <c r="J789" s="59">
        <f>Tabela10[[#This Row],[ERP]]/Tabela10[[#This Row],[M² Da chapa]]</f>
        <v/>
      </c>
      <c r="K789" s="170">
        <f>Tabela10[[#This Row],[M² CHAPAS]]-Tabela10[[#This Row],[ERP]]</f>
        <v/>
      </c>
      <c r="L789" s="170">
        <f>Tabela10[[#This Row],[DIFERENÇA M²]]/Tabela10[[#This Row],[M² Da chapa]]</f>
        <v/>
      </c>
    </row>
    <row r="790">
      <c r="A790" s="6" t="n">
        <v>46170</v>
      </c>
      <c r="B790" s="8" t="inlineStr">
        <is>
          <t>N2604702</t>
        </is>
      </c>
      <c r="C790" s="168">
        <f>VLOOKUP(LEFT(B790,1),Tabela5[],2,0)</f>
        <v/>
      </c>
      <c r="D790" s="57" t="inlineStr">
        <is>
          <t>MDF - 9MM</t>
        </is>
      </c>
      <c r="E790" s="169">
        <f>VLOOKUP(Tabela10[[#This Row],[Tipo de Chapa]],Tabela11[],2,FALSE)</f>
        <v/>
      </c>
      <c r="F790" s="151" t="n">
        <v>0</v>
      </c>
      <c r="G790" s="152" t="n">
        <v>0</v>
      </c>
      <c r="H790" s="170">
        <f>Tabela10[[#This Row],[M² Da chapa]]*Tabela10[[#This Row],[Qtde Chapas
Liberadas]]</f>
        <v/>
      </c>
      <c r="J790" s="59">
        <f>Tabela10[[#This Row],[ERP]]/Tabela10[[#This Row],[M² Da chapa]]</f>
        <v/>
      </c>
      <c r="K790" s="170">
        <f>Tabela10[[#This Row],[M² CHAPAS]]-Tabela10[[#This Row],[ERP]]</f>
        <v/>
      </c>
      <c r="L790" s="170">
        <f>Tabela10[[#This Row],[DIFERENÇA M²]]/Tabela10[[#This Row],[M² Da chapa]]</f>
        <v/>
      </c>
    </row>
    <row r="791">
      <c r="A791" s="6" t="n">
        <v>46170</v>
      </c>
      <c r="B791" s="8" t="inlineStr">
        <is>
          <t>N2604607</t>
        </is>
      </c>
      <c r="C791" s="168">
        <f>VLOOKUP(LEFT(B791,1),Tabela5[],2,0)</f>
        <v/>
      </c>
      <c r="D791" s="57" t="inlineStr">
        <is>
          <t>MDF - 25MM 2750x2200</t>
        </is>
      </c>
      <c r="E791" s="169">
        <f>VLOOKUP(Tabela10[[#This Row],[Tipo de Chapa]],Tabela11[],2,FALSE)</f>
        <v/>
      </c>
      <c r="F791" s="151" t="n">
        <v>50</v>
      </c>
      <c r="G791" s="152" t="n">
        <v>0.0182</v>
      </c>
      <c r="H791" s="170">
        <f>Tabela10[[#This Row],[M² Da chapa]]*Tabela10[[#This Row],[Qtde Chapas
Liberadas]]</f>
        <v/>
      </c>
      <c r="J791" s="59">
        <f>Tabela10[[#This Row],[ERP]]/Tabela10[[#This Row],[M² Da chapa]]</f>
        <v/>
      </c>
      <c r="K791" s="170">
        <f>Tabela10[[#This Row],[M² CHAPAS]]-Tabela10[[#This Row],[ERP]]</f>
        <v/>
      </c>
      <c r="L791" s="170">
        <f>Tabela10[[#This Row],[DIFERENÇA M²]]/Tabela10[[#This Row],[M² Da chapa]]</f>
        <v/>
      </c>
    </row>
    <row r="792">
      <c r="A792" s="6" t="n">
        <v>46170</v>
      </c>
      <c r="B792" s="8" t="inlineStr">
        <is>
          <t>N2604701</t>
        </is>
      </c>
      <c r="C792" s="168">
        <f>VLOOKUP(LEFT(B792,1),Tabela5[],2,0)</f>
        <v/>
      </c>
      <c r="D792" s="57" t="inlineStr">
        <is>
          <t>EUCADUR NT - 2,5MM</t>
        </is>
      </c>
      <c r="E792" s="169">
        <f>VLOOKUP(Tabela10[[#This Row],[Tipo de Chapa]],Tabela11[],2,FALSE)</f>
        <v/>
      </c>
      <c r="F792" s="151" t="n">
        <v>158</v>
      </c>
      <c r="G792" s="152" t="n">
        <v>0.0665</v>
      </c>
      <c r="H792" s="170">
        <f>Tabela10[[#This Row],[M² Da chapa]]*Tabela10[[#This Row],[Qtde Chapas
Liberadas]]</f>
        <v/>
      </c>
      <c r="J792" s="59">
        <f>Tabela10[[#This Row],[ERP]]/Tabela10[[#This Row],[M² Da chapa]]</f>
        <v/>
      </c>
      <c r="K792" s="170">
        <f>Tabela10[[#This Row],[M² CHAPAS]]-Tabela10[[#This Row],[ERP]]</f>
        <v/>
      </c>
      <c r="L792" s="170">
        <f>Tabela10[[#This Row],[DIFERENÇA M²]]/Tabela10[[#This Row],[M² Da chapa]]</f>
        <v/>
      </c>
    </row>
    <row r="793">
      <c r="A793" s="6" t="n">
        <v>46170</v>
      </c>
      <c r="B793" s="8" t="inlineStr">
        <is>
          <t>N2605304 | N2605305</t>
        </is>
      </c>
      <c r="C793" s="168">
        <f>VLOOKUP(LEFT(B793,1),Tabela5[],2,0)</f>
        <v/>
      </c>
      <c r="D793" s="57" t="inlineStr">
        <is>
          <t>MDF - 15MM</t>
        </is>
      </c>
      <c r="E793" s="169">
        <f>VLOOKUP(Tabela10[[#This Row],[Tipo de Chapa]],Tabela11[],2,FALSE)</f>
        <v/>
      </c>
      <c r="F793" s="151" t="n">
        <v>33</v>
      </c>
      <c r="G793" s="152" t="n">
        <v>0.0678</v>
      </c>
      <c r="H793" s="170">
        <f>Tabela10[[#This Row],[M² Da chapa]]*Tabela10[[#This Row],[Qtde Chapas
Liberadas]]</f>
        <v/>
      </c>
      <c r="J793" s="59">
        <f>Tabela10[[#This Row],[ERP]]/Tabela10[[#This Row],[M² Da chapa]]</f>
        <v/>
      </c>
      <c r="K793" s="170">
        <f>Tabela10[[#This Row],[M² CHAPAS]]-Tabela10[[#This Row],[ERP]]</f>
        <v/>
      </c>
      <c r="L793" s="170">
        <f>Tabela10[[#This Row],[DIFERENÇA M²]]/Tabela10[[#This Row],[M² Da chapa]]</f>
        <v/>
      </c>
    </row>
    <row r="794">
      <c r="A794" s="6" t="n">
        <v>46171</v>
      </c>
      <c r="B794" s="8" t="inlineStr">
        <is>
          <t>N2604701</t>
        </is>
      </c>
      <c r="C794" s="168">
        <f>VLOOKUP(LEFT(B794,1),Tabela5[],2,0)</f>
        <v/>
      </c>
      <c r="D794" s="57" t="inlineStr">
        <is>
          <t>MDF - 15MM</t>
        </is>
      </c>
      <c r="E794" s="169">
        <f>VLOOKUP(Tabela10[[#This Row],[Tipo de Chapa]],Tabela11[],2,FALSE)</f>
        <v/>
      </c>
      <c r="F794" s="151" t="n">
        <v>374</v>
      </c>
      <c r="G794" s="152" t="n">
        <v>0.0521</v>
      </c>
      <c r="H794" s="170">
        <f>Tabela10[[#This Row],[M² Da chapa]]*Tabela10[[#This Row],[Qtde Chapas
Liberadas]]</f>
        <v/>
      </c>
      <c r="J794" s="59">
        <f>Tabela10[[#This Row],[ERP]]/Tabela10[[#This Row],[M² Da chapa]]</f>
        <v/>
      </c>
      <c r="K794" s="170">
        <f>Tabela10[[#This Row],[M² CHAPAS]]-Tabela10[[#This Row],[ERP]]</f>
        <v/>
      </c>
      <c r="L794" s="170">
        <f>Tabela10[[#This Row],[DIFERENÇA M²]]/Tabela10[[#This Row],[M² Da chapa]]</f>
        <v/>
      </c>
    </row>
    <row r="795">
      <c r="A795" s="6" t="n">
        <v>46171</v>
      </c>
      <c r="B795" s="8" t="inlineStr">
        <is>
          <t>N2604301</t>
        </is>
      </c>
      <c r="C795" s="168">
        <f>VLOOKUP(LEFT(B795,1),Tabela5[],2,0)</f>
        <v/>
      </c>
      <c r="D795" s="57" t="inlineStr">
        <is>
          <t>MDF - 15MM</t>
        </is>
      </c>
      <c r="E795" s="169">
        <f>VLOOKUP(Tabela10[[#This Row],[Tipo de Chapa]],Tabela11[],2,FALSE)</f>
        <v/>
      </c>
      <c r="F795" s="151" t="n">
        <v>351</v>
      </c>
      <c r="G795" s="152" t="n">
        <v>0.0457</v>
      </c>
      <c r="H795" s="170">
        <f>Tabela10[[#This Row],[M² Da chapa]]*Tabela10[[#This Row],[Qtde Chapas
Liberadas]]</f>
        <v/>
      </c>
      <c r="J795" s="59">
        <f>Tabela10[[#This Row],[ERP]]/Tabela10[[#This Row],[M² Da chapa]]</f>
        <v/>
      </c>
      <c r="K795" s="170">
        <f>Tabela10[[#This Row],[M² CHAPAS]]-Tabela10[[#This Row],[ERP]]</f>
        <v/>
      </c>
      <c r="L795" s="170">
        <f>Tabela10[[#This Row],[DIFERENÇA M²]]/Tabela10[[#This Row],[M² Da chapa]]</f>
        <v/>
      </c>
    </row>
    <row r="796" hidden="1">
      <c r="A796" s="6" t="n">
        <v>46171</v>
      </c>
      <c r="B796" s="8" t="inlineStr">
        <is>
          <t>M26026</t>
        </is>
      </c>
      <c r="C796" s="168">
        <f>VLOOKUP(LEFT(B796,1),Tabela5[],2,0)</f>
        <v/>
      </c>
      <c r="D796" s="57" t="inlineStr">
        <is>
          <t>EUCADUR BR - 2,5MM</t>
        </is>
      </c>
      <c r="E796" s="169">
        <f>VLOOKUP(Tabela10[[#This Row],[Tipo de Chapa]],Tabela11[],2,FALSE)</f>
        <v/>
      </c>
      <c r="F796" s="151" t="n">
        <v>24</v>
      </c>
      <c r="G796" s="152" t="n">
        <v>0.0351</v>
      </c>
      <c r="H796" s="170">
        <f>Tabela10[[#This Row],[M² Da chapa]]*Tabela10[[#This Row],[Qtde Chapas
Liberadas]]</f>
        <v/>
      </c>
      <c r="J796" s="59">
        <f>Tabela10[[#This Row],[ERP]]/Tabela10[[#This Row],[M² Da chapa]]</f>
        <v/>
      </c>
      <c r="K796" s="170">
        <f>Tabela10[[#This Row],[M² CHAPAS]]-Tabela10[[#This Row],[ERP]]</f>
        <v/>
      </c>
      <c r="L796" s="170">
        <f>Tabela10[[#This Row],[DIFERENÇA M²]]/Tabela10[[#This Row],[M² Da chapa]]</f>
        <v/>
      </c>
    </row>
    <row r="797" hidden="1">
      <c r="A797" s="6" t="n">
        <v>46171</v>
      </c>
      <c r="B797" s="8" t="inlineStr">
        <is>
          <t>M26026</t>
        </is>
      </c>
      <c r="C797" s="168">
        <f>VLOOKUP(LEFT(B797,1),Tabela5[],2,0)</f>
        <v/>
      </c>
      <c r="D797" s="57" t="inlineStr">
        <is>
          <t>EUCADUR NT - 2,5MM</t>
        </is>
      </c>
      <c r="E797" s="169">
        <f>VLOOKUP(Tabela10[[#This Row],[Tipo de Chapa]],Tabela11[],2,FALSE)</f>
        <v/>
      </c>
      <c r="F797" s="147">
        <f>367+16</f>
        <v/>
      </c>
      <c r="G797" s="152" t="n">
        <v>0.0508</v>
      </c>
      <c r="H797" s="170">
        <f>Tabela10[[#This Row],[M² Da chapa]]*Tabela10[[#This Row],[Qtde Chapas
Liberadas]]</f>
        <v/>
      </c>
      <c r="J797" s="59">
        <f>Tabela10[[#This Row],[ERP]]/Tabela10[[#This Row],[M² Da chapa]]</f>
        <v/>
      </c>
      <c r="K797" s="170">
        <f>Tabela10[[#This Row],[M² CHAPAS]]-Tabela10[[#This Row],[ERP]]</f>
        <v/>
      </c>
      <c r="L797" s="170">
        <f>Tabela10[[#This Row],[DIFERENÇA M²]]/Tabela10[[#This Row],[M² Da chapa]]</f>
        <v/>
      </c>
    </row>
    <row r="798">
      <c r="A798" s="6" t="n">
        <v>46171</v>
      </c>
      <c r="B798" s="8" t="inlineStr">
        <is>
          <t>N2604301</t>
        </is>
      </c>
      <c r="C798" s="168">
        <f>VLOOKUP(LEFT(B798,1),Tabela5[],2,0)</f>
        <v/>
      </c>
      <c r="D798" s="57" t="inlineStr">
        <is>
          <t>EUCADUR NT - 2,5MM</t>
        </is>
      </c>
      <c r="E798" s="169">
        <f>VLOOKUP(Tabela10[[#This Row],[Tipo de Chapa]],Tabela11[],2,FALSE)</f>
        <v/>
      </c>
      <c r="F798" s="151" t="n">
        <v>297</v>
      </c>
      <c r="G798" s="152" t="n">
        <v>0.0552</v>
      </c>
      <c r="H798" s="170">
        <f>Tabela10[[#This Row],[M² Da chapa]]*Tabela10[[#This Row],[Qtde Chapas
Liberadas]]</f>
        <v/>
      </c>
      <c r="J798" s="59">
        <f>Tabela10[[#This Row],[ERP]]/Tabela10[[#This Row],[M² Da chapa]]</f>
        <v/>
      </c>
      <c r="K798" s="170">
        <f>Tabela10[[#This Row],[M² CHAPAS]]-Tabela10[[#This Row],[ERP]]</f>
        <v/>
      </c>
      <c r="L798" s="170">
        <f>Tabela10[[#This Row],[DIFERENÇA M²]]/Tabela10[[#This Row],[M² Da chapa]]</f>
        <v/>
      </c>
    </row>
    <row r="799">
      <c r="A799" s="6" t="n">
        <v>46171</v>
      </c>
      <c r="B799" s="8" t="inlineStr">
        <is>
          <t>N2604506</t>
        </is>
      </c>
      <c r="C799" s="168">
        <f>VLOOKUP(LEFT(B799,1),Tabela5[],2,0)</f>
        <v/>
      </c>
      <c r="D799" s="57" t="inlineStr">
        <is>
          <t>MDF - 15MM</t>
        </is>
      </c>
      <c r="E799" s="169">
        <f>VLOOKUP(Tabela10[[#This Row],[Tipo de Chapa]],Tabela11[],2,FALSE)</f>
        <v/>
      </c>
      <c r="F799" s="151" t="n">
        <v>168</v>
      </c>
      <c r="G799" s="152" t="n">
        <v>0.052</v>
      </c>
      <c r="H799" s="170">
        <f>Tabela10[[#This Row],[M² Da chapa]]*Tabela10[[#This Row],[Qtde Chapas
Liberadas]]</f>
        <v/>
      </c>
      <c r="J799" s="59">
        <f>Tabela10[[#This Row],[ERP]]/Tabela10[[#This Row],[M² Da chapa]]</f>
        <v/>
      </c>
      <c r="K799" s="170">
        <f>Tabela10[[#This Row],[M² CHAPAS]]-Tabela10[[#This Row],[ERP]]</f>
        <v/>
      </c>
      <c r="L799" s="170">
        <f>Tabela10[[#This Row],[DIFERENÇA M²]]/Tabela10[[#This Row],[M² Da chapa]]</f>
        <v/>
      </c>
    </row>
    <row r="800">
      <c r="A800" s="6" t="n">
        <v>46172</v>
      </c>
      <c r="B800" s="8" t="inlineStr">
        <is>
          <t>N2604401</t>
        </is>
      </c>
      <c r="C800" s="168">
        <f>VLOOKUP(LEFT(B800,1),Tabela5[],2,0)</f>
        <v/>
      </c>
      <c r="D800" s="57" t="inlineStr">
        <is>
          <t>MDF - 15MM</t>
        </is>
      </c>
      <c r="E800" s="169">
        <f>VLOOKUP(Tabela10[[#This Row],[Tipo de Chapa]],Tabela11[],2,FALSE)</f>
        <v/>
      </c>
      <c r="F800" s="151" t="n">
        <v>186</v>
      </c>
      <c r="G800" s="152" t="n">
        <v>0.0546</v>
      </c>
      <c r="H800" s="170">
        <f>Tabela10[[#This Row],[M² Da chapa]]*Tabela10[[#This Row],[Qtde Chapas
Liberadas]]</f>
        <v/>
      </c>
      <c r="J800" s="59">
        <f>Tabela10[[#This Row],[ERP]]/Tabela10[[#This Row],[M² Da chapa]]</f>
        <v/>
      </c>
      <c r="K800" s="170">
        <f>Tabela10[[#This Row],[M² CHAPAS]]-Tabela10[[#This Row],[ERP]]</f>
        <v/>
      </c>
      <c r="L800" s="170">
        <f>Tabela10[[#This Row],[DIFERENÇA M²]]/Tabela10[[#This Row],[M² Da chapa]]</f>
        <v/>
      </c>
    </row>
    <row r="801">
      <c r="A801" s="6" t="n">
        <v>46172</v>
      </c>
      <c r="B801" s="8" t="inlineStr">
        <is>
          <t>N2604702</t>
        </is>
      </c>
      <c r="C801" s="168">
        <f>VLOOKUP(LEFT(B801,1),Tabela5[],2,0)</f>
        <v/>
      </c>
      <c r="D801" s="57" t="inlineStr">
        <is>
          <t>MDF - 15MM</t>
        </is>
      </c>
      <c r="E801" s="169">
        <f>VLOOKUP(Tabela10[[#This Row],[Tipo de Chapa]],Tabela11[],2,FALSE)</f>
        <v/>
      </c>
      <c r="F801" s="151" t="n">
        <v>172</v>
      </c>
      <c r="G801" s="152" t="n">
        <v>0.0556</v>
      </c>
      <c r="H801" s="170">
        <f>Tabela10[[#This Row],[M² Da chapa]]*Tabela10[[#This Row],[Qtde Chapas
Liberadas]]</f>
        <v/>
      </c>
      <c r="J801" s="59">
        <f>Tabela10[[#This Row],[ERP]]/Tabela10[[#This Row],[M² Da chapa]]</f>
        <v/>
      </c>
      <c r="K801" s="170">
        <f>Tabela10[[#This Row],[M² CHAPAS]]-Tabela10[[#This Row],[ERP]]</f>
        <v/>
      </c>
      <c r="L801" s="170">
        <f>Tabela10[[#This Row],[DIFERENÇA M²]]/Tabela10[[#This Row],[M² Da chapa]]</f>
        <v/>
      </c>
    </row>
    <row r="802">
      <c r="A802" s="6" t="n">
        <v>46174</v>
      </c>
      <c r="B802" s="8" t="inlineStr">
        <is>
          <t>N2604703</t>
        </is>
      </c>
      <c r="C802" s="168">
        <f>VLOOKUP(LEFT(B802,1),Tabela5[],2,0)</f>
        <v/>
      </c>
      <c r="D802" s="57" t="inlineStr">
        <is>
          <t>MDF - 15MM</t>
        </is>
      </c>
      <c r="E802" s="169">
        <f>VLOOKUP(Tabela10[[#This Row],[Tipo de Chapa]],Tabela11[],2,FALSE)</f>
        <v/>
      </c>
      <c r="F802" s="151" t="n">
        <v>286</v>
      </c>
      <c r="G802" s="152" t="n">
        <v>0.0487</v>
      </c>
      <c r="H802" s="170">
        <f>Tabela10[[#This Row],[M² Da chapa]]*Tabela10[[#This Row],[Qtde Chapas
Liberadas]]</f>
        <v/>
      </c>
      <c r="J802" s="59">
        <f>Tabela10[[#This Row],[ERP]]/Tabela10[[#This Row],[M² Da chapa]]</f>
        <v/>
      </c>
      <c r="K802" s="170">
        <f>Tabela10[[#This Row],[M² CHAPAS]]-Tabela10[[#This Row],[ERP]]</f>
        <v/>
      </c>
      <c r="L802" s="170">
        <f>Tabela10[[#This Row],[DIFERENÇA M²]]/Tabela10[[#This Row],[M² Da chapa]]</f>
        <v/>
      </c>
    </row>
    <row r="803">
      <c r="A803" s="6" t="n">
        <v>46174</v>
      </c>
      <c r="B803" s="8" t="inlineStr">
        <is>
          <t>N2604701</t>
        </is>
      </c>
      <c r="C803" s="168">
        <f>VLOOKUP(LEFT(B803,1),Tabela5[],2,0)</f>
        <v/>
      </c>
      <c r="D803" s="57" t="inlineStr">
        <is>
          <t>MDF - 25MM 2750x2200</t>
        </is>
      </c>
      <c r="E803" s="169">
        <f>VLOOKUP(Tabela10[[#This Row],[Tipo de Chapa]],Tabela11[],2,FALSE)</f>
        <v/>
      </c>
      <c r="F803" s="151" t="n">
        <v>46</v>
      </c>
      <c r="G803" s="152" t="n">
        <v>0.0581</v>
      </c>
      <c r="H803" s="170">
        <f>Tabela10[[#This Row],[M² Da chapa]]*Tabela10[[#This Row],[Qtde Chapas
Liberadas]]</f>
        <v/>
      </c>
      <c r="J803" s="59">
        <f>Tabela10[[#This Row],[ERP]]/Tabela10[[#This Row],[M² Da chapa]]</f>
        <v/>
      </c>
      <c r="K803" s="170">
        <f>Tabela10[[#This Row],[M² CHAPAS]]-Tabela10[[#This Row],[ERP]]</f>
        <v/>
      </c>
      <c r="L803" s="170">
        <f>Tabela10[[#This Row],[DIFERENÇA M²]]/Tabela10[[#This Row],[M² Da chapa]]</f>
        <v/>
      </c>
    </row>
    <row r="804">
      <c r="A804" s="6" t="n">
        <v>46174</v>
      </c>
      <c r="B804" s="8" t="inlineStr">
        <is>
          <t>N2604701</t>
        </is>
      </c>
      <c r="C804" s="168">
        <f>VLOOKUP(LEFT(B804,1),Tabela5[],2,0)</f>
        <v/>
      </c>
      <c r="D804" s="57" t="inlineStr">
        <is>
          <t>MDF - 25MM 2750X450 - SOBRAS</t>
        </is>
      </c>
      <c r="E804" s="169">
        <f>VLOOKUP(Tabela10[[#This Row],[Tipo de Chapa]],Tabela11[],2,FALSE)</f>
        <v/>
      </c>
      <c r="F804" s="151" t="n">
        <v>391</v>
      </c>
      <c r="G804" s="152" t="n">
        <v>0.0309</v>
      </c>
      <c r="H804" s="170">
        <f>Tabela10[[#This Row],[M² Da chapa]]*Tabela10[[#This Row],[Qtde Chapas
Liberadas]]</f>
        <v/>
      </c>
      <c r="J804" s="59">
        <f>Tabela10[[#This Row],[ERP]]/Tabela10[[#This Row],[M² Da chapa]]</f>
        <v/>
      </c>
      <c r="K804" s="170">
        <f>Tabela10[[#This Row],[M² CHAPAS]]-Tabela10[[#This Row],[ERP]]</f>
        <v/>
      </c>
      <c r="L804" s="170">
        <f>Tabela10[[#This Row],[DIFERENÇA M²]]/Tabela10[[#This Row],[M² Da chapa]]</f>
        <v/>
      </c>
    </row>
    <row r="805">
      <c r="A805" s="6" t="n">
        <v>46174</v>
      </c>
      <c r="B805" s="8" t="inlineStr">
        <is>
          <t>N2604703</t>
        </is>
      </c>
      <c r="C805" s="168">
        <f>VLOOKUP(LEFT(B805,1),Tabela5[],2,0)</f>
        <v/>
      </c>
      <c r="D805" s="57" t="inlineStr">
        <is>
          <t>MDF - 25MM 2750x2200</t>
        </is>
      </c>
      <c r="E805" s="169">
        <f>VLOOKUP(Tabela10[[#This Row],[Tipo de Chapa]],Tabela11[],2,FALSE)</f>
        <v/>
      </c>
      <c r="F805" s="151" t="n">
        <v>0</v>
      </c>
      <c r="G805" s="152" t="n">
        <v>0</v>
      </c>
      <c r="H805" s="170">
        <f>Tabela10[[#This Row],[M² Da chapa]]*Tabela10[[#This Row],[Qtde Chapas
Liberadas]]</f>
        <v/>
      </c>
      <c r="J805" s="59">
        <f>Tabela10[[#This Row],[ERP]]/Tabela10[[#This Row],[M² Da chapa]]</f>
        <v/>
      </c>
      <c r="K805" s="170">
        <f>Tabela10[[#This Row],[M² CHAPAS]]-Tabela10[[#This Row],[ERP]]</f>
        <v/>
      </c>
      <c r="L805" s="170">
        <f>Tabela10[[#This Row],[DIFERENÇA M²]]/Tabela10[[#This Row],[M² Da chapa]]</f>
        <v/>
      </c>
    </row>
    <row r="806">
      <c r="A806" s="6" t="n">
        <v>46174</v>
      </c>
      <c r="B806" s="8" t="inlineStr">
        <is>
          <t>N2604704</t>
        </is>
      </c>
      <c r="C806" s="168">
        <f>VLOOKUP(LEFT(B806,1),Tabela5[],2,0)</f>
        <v/>
      </c>
      <c r="D806" s="57" t="inlineStr">
        <is>
          <t>MDF - 25MM 2750x2200</t>
        </is>
      </c>
      <c r="E806" s="169">
        <f>VLOOKUP(Tabela10[[#This Row],[Tipo de Chapa]],Tabela11[],2,FALSE)</f>
        <v/>
      </c>
      <c r="F806" s="151" t="n">
        <v>0</v>
      </c>
      <c r="G806" s="152" t="n">
        <v>0</v>
      </c>
      <c r="H806" s="170">
        <f>Tabela10[[#This Row],[M² Da chapa]]*Tabela10[[#This Row],[Qtde Chapas
Liberadas]]</f>
        <v/>
      </c>
      <c r="J806" s="59">
        <f>Tabela10[[#This Row],[ERP]]/Tabela10[[#This Row],[M² Da chapa]]</f>
        <v/>
      </c>
      <c r="K806" s="170">
        <f>Tabela10[[#This Row],[M² CHAPAS]]-Tabela10[[#This Row],[ERP]]</f>
        <v/>
      </c>
      <c r="L806" s="170">
        <f>Tabela10[[#This Row],[DIFERENÇA M²]]/Tabela10[[#This Row],[M² Da chapa]]</f>
        <v/>
      </c>
    </row>
    <row r="807">
      <c r="A807" s="6" t="n">
        <v>46174</v>
      </c>
      <c r="B807" s="8" t="inlineStr">
        <is>
          <t>N2604704</t>
        </is>
      </c>
      <c r="C807" s="168">
        <f>VLOOKUP(LEFT(B807,1),Tabela5[],2,0)</f>
        <v/>
      </c>
      <c r="D807" s="57" t="inlineStr">
        <is>
          <t>MDF - 15MM</t>
        </is>
      </c>
      <c r="E807" s="169">
        <f>VLOOKUP(Tabela10[[#This Row],[Tipo de Chapa]],Tabela11[],2,FALSE)</f>
        <v/>
      </c>
      <c r="F807" s="151" t="n">
        <v>293</v>
      </c>
      <c r="G807" s="152" t="n">
        <v>0.0546</v>
      </c>
      <c r="H807" s="170">
        <f>Tabela10[[#This Row],[M² Da chapa]]*Tabela10[[#This Row],[Qtde Chapas
Liberadas]]</f>
        <v/>
      </c>
      <c r="J807" s="59">
        <f>Tabela10[[#This Row],[ERP]]/Tabela10[[#This Row],[M² Da chapa]]</f>
        <v/>
      </c>
      <c r="K807" s="170">
        <f>Tabela10[[#This Row],[M² CHAPAS]]-Tabela10[[#This Row],[ERP]]</f>
        <v/>
      </c>
      <c r="L807" s="170">
        <f>Tabela10[[#This Row],[DIFERENÇA M²]]/Tabela10[[#This Row],[M² Da chapa]]</f>
        <v/>
      </c>
    </row>
    <row r="808">
      <c r="A808" s="6" t="n">
        <v>46174</v>
      </c>
      <c r="B808" s="8" t="inlineStr">
        <is>
          <t>N2604506</t>
        </is>
      </c>
      <c r="C808" s="168">
        <f>VLOOKUP(LEFT(B808,1),Tabela5[],2,0)</f>
        <v/>
      </c>
      <c r="D808" s="57" t="inlineStr">
        <is>
          <t>EUCADUR NT - 2,5MM</t>
        </is>
      </c>
      <c r="E808" s="169">
        <f>VLOOKUP(Tabela10[[#This Row],[Tipo de Chapa]],Tabela11[],2,FALSE)</f>
        <v/>
      </c>
      <c r="F808" s="151" t="n">
        <v>35</v>
      </c>
      <c r="G808" s="152" t="n">
        <v>0.0582</v>
      </c>
      <c r="H808" s="170">
        <f>Tabela10[[#This Row],[M² Da chapa]]*Tabela10[[#This Row],[Qtde Chapas
Liberadas]]</f>
        <v/>
      </c>
      <c r="J808" s="59">
        <f>Tabela10[[#This Row],[ERP]]/Tabela10[[#This Row],[M² Da chapa]]</f>
        <v/>
      </c>
      <c r="K808" s="170">
        <f>Tabela10[[#This Row],[M² CHAPAS]]-Tabela10[[#This Row],[ERP]]</f>
        <v/>
      </c>
      <c r="L808" s="170">
        <f>Tabela10[[#This Row],[DIFERENÇA M²]]/Tabela10[[#This Row],[M² Da chapa]]</f>
        <v/>
      </c>
    </row>
    <row r="809">
      <c r="A809" s="6" t="n">
        <v>46174</v>
      </c>
      <c r="B809" s="8" t="inlineStr">
        <is>
          <t>N2604401</t>
        </is>
      </c>
      <c r="C809" s="168">
        <f>VLOOKUP(LEFT(B809,1),Tabela5[],2,0)</f>
        <v/>
      </c>
      <c r="D809" s="57" t="inlineStr">
        <is>
          <t>EUCADUR NT - 2,5MM</t>
        </is>
      </c>
      <c r="E809" s="169">
        <f>VLOOKUP(Tabela10[[#This Row],[Tipo de Chapa]],Tabela11[],2,FALSE)</f>
        <v/>
      </c>
      <c r="F809" s="151" t="n">
        <v>59</v>
      </c>
      <c r="G809" s="152" t="n">
        <v>0.06370000000000001</v>
      </c>
      <c r="H809" s="170">
        <f>Tabela10[[#This Row],[M² Da chapa]]*Tabela10[[#This Row],[Qtde Chapas
Liberadas]]</f>
        <v/>
      </c>
      <c r="J809" s="59">
        <f>Tabela10[[#This Row],[ERP]]/Tabela10[[#This Row],[M² Da chapa]]</f>
        <v/>
      </c>
      <c r="K809" s="170">
        <f>Tabela10[[#This Row],[M² CHAPAS]]-Tabela10[[#This Row],[ERP]]</f>
        <v/>
      </c>
      <c r="L809" s="170">
        <f>Tabela10[[#This Row],[DIFERENÇA M²]]/Tabela10[[#This Row],[M² Da chapa]]</f>
        <v/>
      </c>
    </row>
    <row r="810">
      <c r="A810" s="6" t="n">
        <v>46175</v>
      </c>
      <c r="B810" s="8" t="inlineStr">
        <is>
          <t>N2604702 | N2604703 | N2604704</t>
        </is>
      </c>
      <c r="C810" s="168">
        <f>VLOOKUP(LEFT(B810,1),Tabela5[],2,0)</f>
        <v/>
      </c>
      <c r="D810" s="57" t="inlineStr">
        <is>
          <t>EUCADUR NT - 2,5MM</t>
        </is>
      </c>
      <c r="E810" s="169">
        <f>VLOOKUP(Tabela10[[#This Row],[Tipo de Chapa]],Tabela11[],2,FALSE)</f>
        <v/>
      </c>
      <c r="F810" s="151" t="n">
        <v>231</v>
      </c>
      <c r="G810" s="152" t="n">
        <v>0.0716</v>
      </c>
      <c r="H810" s="170">
        <f>Tabela10[[#This Row],[M² Da chapa]]*Tabela10[[#This Row],[Qtde Chapas
Liberadas]]</f>
        <v/>
      </c>
      <c r="J810" s="59">
        <f>Tabela10[[#This Row],[ERP]]/Tabela10[[#This Row],[M² Da chapa]]</f>
        <v/>
      </c>
      <c r="K810" s="170">
        <f>Tabela10[[#This Row],[M² CHAPAS]]-Tabela10[[#This Row],[ERP]]</f>
        <v/>
      </c>
      <c r="L810" s="170">
        <f>Tabela10[[#This Row],[DIFERENÇA M²]]/Tabela10[[#This Row],[M² Da chapa]]</f>
        <v/>
      </c>
    </row>
    <row r="811">
      <c r="A811" s="6" t="n">
        <v>46175</v>
      </c>
      <c r="B811" s="8" t="inlineStr">
        <is>
          <t>N2604801</t>
        </is>
      </c>
      <c r="C811" s="168">
        <f>VLOOKUP(LEFT(B811,1),Tabela5[],2,0)</f>
        <v/>
      </c>
      <c r="D811" s="57" t="inlineStr">
        <is>
          <t>MDF - 15MM</t>
        </is>
      </c>
      <c r="E811" s="169">
        <f>VLOOKUP(Tabela10[[#This Row],[Tipo de Chapa]],Tabela11[],2,FALSE)</f>
        <v/>
      </c>
      <c r="F811" s="151" t="n">
        <v>38</v>
      </c>
      <c r="G811" s="152" t="n">
        <v>0.0542</v>
      </c>
      <c r="H811" s="170">
        <f>Tabela10[[#This Row],[M² Da chapa]]*Tabela10[[#This Row],[Qtde Chapas
Liberadas]]</f>
        <v/>
      </c>
      <c r="J811" s="59">
        <f>Tabela10[[#This Row],[ERP]]/Tabela10[[#This Row],[M² Da chapa]]</f>
        <v/>
      </c>
      <c r="K811" s="170">
        <f>Tabela10[[#This Row],[M² CHAPAS]]-Tabela10[[#This Row],[ERP]]</f>
        <v/>
      </c>
      <c r="L811" s="170">
        <f>Tabela10[[#This Row],[DIFERENÇA M²]]/Tabela10[[#This Row],[M² Da chapa]]</f>
        <v/>
      </c>
    </row>
    <row r="812">
      <c r="A812" s="6" t="n">
        <v>46175</v>
      </c>
      <c r="B812" s="8" t="inlineStr">
        <is>
          <t>N2604901</t>
        </is>
      </c>
      <c r="C812" s="168">
        <f>VLOOKUP(LEFT(B812,1),Tabela5[],2,0)</f>
        <v/>
      </c>
      <c r="D812" s="57" t="inlineStr">
        <is>
          <t>MDF - 15MM</t>
        </is>
      </c>
      <c r="E812" s="169">
        <f>VLOOKUP(Tabela10[[#This Row],[Tipo de Chapa]],Tabela11[],2,FALSE)</f>
        <v/>
      </c>
      <c r="F812" s="151" t="n">
        <v>30</v>
      </c>
      <c r="G812" s="152" t="n">
        <v>0.0487</v>
      </c>
      <c r="H812" s="170">
        <f>Tabela10[[#This Row],[M² Da chapa]]*Tabela10[[#This Row],[Qtde Chapas
Liberadas]]</f>
        <v/>
      </c>
      <c r="J812" s="59">
        <f>Tabela10[[#This Row],[ERP]]/Tabela10[[#This Row],[M² Da chapa]]</f>
        <v/>
      </c>
      <c r="K812" s="170">
        <f>Tabela10[[#This Row],[M² CHAPAS]]-Tabela10[[#This Row],[ERP]]</f>
        <v/>
      </c>
      <c r="L812" s="170">
        <f>Tabela10[[#This Row],[DIFERENÇA M²]]/Tabela10[[#This Row],[M² Da chapa]]</f>
        <v/>
      </c>
    </row>
    <row r="813">
      <c r="A813" s="6" t="n">
        <v>46175</v>
      </c>
      <c r="B813" s="8" t="inlineStr">
        <is>
          <t>N2605404</t>
        </is>
      </c>
      <c r="C813" s="168">
        <f>VLOOKUP(LEFT(B813,1),Tabela5[],2,0)</f>
        <v/>
      </c>
      <c r="D813" s="57" t="inlineStr">
        <is>
          <t>MDF - 15MM</t>
        </is>
      </c>
      <c r="E813" s="169">
        <f>VLOOKUP(Tabela10[[#This Row],[Tipo de Chapa]],Tabela11[],2,FALSE)</f>
        <v/>
      </c>
      <c r="F813" s="151" t="n">
        <v>53</v>
      </c>
      <c r="G813" s="152" t="n">
        <v>0.0573</v>
      </c>
      <c r="H813" s="170">
        <f>Tabela10[[#This Row],[M² Da chapa]]*Tabela10[[#This Row],[Qtde Chapas
Liberadas]]</f>
        <v/>
      </c>
      <c r="J813" s="59">
        <f>Tabela10[[#This Row],[ERP]]/Tabela10[[#This Row],[M² Da chapa]]</f>
        <v/>
      </c>
      <c r="K813" s="170">
        <f>Tabela10[[#This Row],[M² CHAPAS]]-Tabela10[[#This Row],[ERP]]</f>
        <v/>
      </c>
      <c r="L813" s="170">
        <f>Tabela10[[#This Row],[DIFERENÇA M²]]/Tabela10[[#This Row],[M² Da chapa]]</f>
        <v/>
      </c>
    </row>
    <row r="814">
      <c r="A814" s="6" t="n">
        <v>46175</v>
      </c>
      <c r="B814" s="8" t="inlineStr">
        <is>
          <t>N2605301</t>
        </is>
      </c>
      <c r="C814" s="168">
        <f>VLOOKUP(LEFT(B814,1),Tabela5[],2,0)</f>
        <v/>
      </c>
      <c r="D814" s="57" t="inlineStr">
        <is>
          <t>MDF - 15MM</t>
        </is>
      </c>
      <c r="E814" s="169">
        <f>VLOOKUP(Tabela10[[#This Row],[Tipo de Chapa]],Tabela11[],2,FALSE)</f>
        <v/>
      </c>
      <c r="F814" s="151" t="n">
        <v>142</v>
      </c>
      <c r="G814" s="152" t="n">
        <v>0.0509</v>
      </c>
      <c r="H814" s="170">
        <f>Tabela10[[#This Row],[M² Da chapa]]*Tabela10[[#This Row],[Qtde Chapas
Liberadas]]</f>
        <v/>
      </c>
      <c r="J814" s="59">
        <f>Tabela10[[#This Row],[ERP]]/Tabela10[[#This Row],[M² Da chapa]]</f>
        <v/>
      </c>
      <c r="K814" s="170">
        <f>Tabela10[[#This Row],[M² CHAPAS]]-Tabela10[[#This Row],[ERP]]</f>
        <v/>
      </c>
      <c r="L814" s="170">
        <f>Tabela10[[#This Row],[DIFERENÇA M²]]/Tabela10[[#This Row],[M² Da chapa]]</f>
        <v/>
      </c>
    </row>
    <row r="815">
      <c r="A815" s="6" t="n">
        <v>46175</v>
      </c>
      <c r="B815" s="8" t="inlineStr">
        <is>
          <t>N2605302</t>
        </is>
      </c>
      <c r="C815" s="168">
        <f>VLOOKUP(LEFT(B815,1),Tabela5[],2,0)</f>
        <v/>
      </c>
      <c r="D815" s="57" t="inlineStr">
        <is>
          <t>MDF - 15MM</t>
        </is>
      </c>
      <c r="E815" s="169">
        <f>VLOOKUP(Tabela10[[#This Row],[Tipo de Chapa]],Tabela11[],2,FALSE)</f>
        <v/>
      </c>
      <c r="F815" s="151" t="n">
        <v>67</v>
      </c>
      <c r="G815" s="152" t="n">
        <v>0.0474</v>
      </c>
      <c r="H815" s="170">
        <f>Tabela10[[#This Row],[M² Da chapa]]*Tabela10[[#This Row],[Qtde Chapas
Liberadas]]</f>
        <v/>
      </c>
      <c r="J815" s="59">
        <f>Tabela10[[#This Row],[ERP]]/Tabela10[[#This Row],[M² Da chapa]]</f>
        <v/>
      </c>
      <c r="K815" s="170">
        <f>Tabela10[[#This Row],[M² CHAPAS]]-Tabela10[[#This Row],[ERP]]</f>
        <v/>
      </c>
      <c r="L815" s="170">
        <f>Tabela10[[#This Row],[DIFERENÇA M²]]/Tabela10[[#This Row],[M² Da chapa]]</f>
        <v/>
      </c>
    </row>
    <row r="816">
      <c r="A816" s="6" t="n">
        <v>46176</v>
      </c>
      <c r="B816" s="8" t="inlineStr">
        <is>
          <t>N2605301</t>
        </is>
      </c>
      <c r="C816" s="168">
        <f>VLOOKUP(LEFT(B816,1),Tabela5[],2,0)</f>
        <v/>
      </c>
      <c r="D816" s="57" t="inlineStr">
        <is>
          <t>EUCADUR NT - 2,5MM</t>
        </is>
      </c>
      <c r="E816" s="169">
        <f>VLOOKUP(Tabela10[[#This Row],[Tipo de Chapa]],Tabela11[],2,FALSE)</f>
        <v/>
      </c>
      <c r="F816" s="151" t="n">
        <v>175</v>
      </c>
      <c r="G816" s="152" t="n">
        <v>0.0589</v>
      </c>
      <c r="H816" s="170">
        <f>Tabela10[[#This Row],[M² Da chapa]]*Tabela10[[#This Row],[Qtde Chapas
Liberadas]]</f>
        <v/>
      </c>
      <c r="J816" s="59">
        <f>Tabela10[[#This Row],[ERP]]/Tabela10[[#This Row],[M² Da chapa]]</f>
        <v/>
      </c>
      <c r="K816" s="170">
        <f>Tabela10[[#This Row],[M² CHAPAS]]-Tabela10[[#This Row],[ERP]]</f>
        <v/>
      </c>
      <c r="L816" s="170">
        <f>Tabela10[[#This Row],[DIFERENÇA M²]]/Tabela10[[#This Row],[M² Da chapa]]</f>
        <v/>
      </c>
    </row>
    <row r="817" hidden="1">
      <c r="A817" s="6" t="n">
        <v>46176</v>
      </c>
      <c r="B817" s="8" t="inlineStr">
        <is>
          <t>I26017</t>
        </is>
      </c>
      <c r="C817" s="168">
        <f>VLOOKUP(LEFT(B817,1),Tabela5[],2,0)</f>
        <v/>
      </c>
      <c r="D817" s="57" t="inlineStr">
        <is>
          <t>MDF - 15MM</t>
        </is>
      </c>
      <c r="E817" s="169">
        <f>VLOOKUP(Tabela10[[#This Row],[Tipo de Chapa]],Tabela11[],2,FALSE)</f>
        <v/>
      </c>
      <c r="F817" s="151" t="n">
        <v>1037</v>
      </c>
      <c r="G817" s="152" t="n">
        <v>0.0633</v>
      </c>
      <c r="H817" s="170">
        <f>Tabela10[[#This Row],[M² Da chapa]]*Tabela10[[#This Row],[Qtde Chapas
Liberadas]]</f>
        <v/>
      </c>
      <c r="J817" s="59">
        <f>Tabela10[[#This Row],[ERP]]/Tabela10[[#This Row],[M² Da chapa]]</f>
        <v/>
      </c>
      <c r="K817" s="170">
        <f>Tabela10[[#This Row],[M² CHAPAS]]-Tabela10[[#This Row],[ERP]]</f>
        <v/>
      </c>
      <c r="L817" s="170">
        <f>Tabela10[[#This Row],[DIFERENÇA M²]]/Tabela10[[#This Row],[M² Da chapa]]</f>
        <v/>
      </c>
    </row>
    <row r="818" hidden="1">
      <c r="A818" s="6" t="n">
        <v>46176</v>
      </c>
      <c r="B818" s="8" t="inlineStr">
        <is>
          <t>M2602701</t>
        </is>
      </c>
      <c r="C818" s="168">
        <f>VLOOKUP(LEFT(B818,1),Tabela5[],2,0)</f>
        <v/>
      </c>
      <c r="D818" s="57" t="inlineStr">
        <is>
          <t>MDF - 15MM</t>
        </is>
      </c>
      <c r="E818" s="169">
        <f>VLOOKUP(Tabela10[[#This Row],[Tipo de Chapa]],Tabela11[],2,FALSE)</f>
        <v/>
      </c>
      <c r="F818" s="151" t="n">
        <v>77</v>
      </c>
      <c r="G818" s="152" t="n">
        <v>0.0667</v>
      </c>
      <c r="H818" s="170">
        <f>Tabela10[[#This Row],[M² Da chapa]]*Tabela10[[#This Row],[Qtde Chapas
Liberadas]]</f>
        <v/>
      </c>
      <c r="J818" s="59">
        <f>Tabela10[[#This Row],[ERP]]/Tabela10[[#This Row],[M² Da chapa]]</f>
        <v/>
      </c>
      <c r="K818" s="170">
        <f>Tabela10[[#This Row],[M² CHAPAS]]-Tabela10[[#This Row],[ERP]]</f>
        <v/>
      </c>
      <c r="L818" s="170">
        <f>Tabela10[[#This Row],[DIFERENÇA M²]]/Tabela10[[#This Row],[M² Da chapa]]</f>
        <v/>
      </c>
    </row>
    <row r="819">
      <c r="A819" s="6" t="n">
        <v>46176</v>
      </c>
      <c r="B819" s="8" t="inlineStr">
        <is>
          <t>N2604402</t>
        </is>
      </c>
      <c r="C819" s="168">
        <f>VLOOKUP(LEFT(B819,1),Tabela5[],2,0)</f>
        <v/>
      </c>
      <c r="D819" s="57" t="inlineStr">
        <is>
          <t>MDF - 15MM</t>
        </is>
      </c>
      <c r="E819" s="169">
        <f>VLOOKUP(Tabela10[[#This Row],[Tipo de Chapa]],Tabela11[],2,FALSE)</f>
        <v/>
      </c>
      <c r="F819" s="151" t="n">
        <v>170</v>
      </c>
      <c r="G819" s="152" t="n">
        <v>0.0496</v>
      </c>
      <c r="H819" s="170">
        <f>Tabela10[[#This Row],[M² Da chapa]]*Tabela10[[#This Row],[Qtde Chapas
Liberadas]]</f>
        <v/>
      </c>
      <c r="J819" s="59">
        <f>Tabela10[[#This Row],[ERP]]/Tabela10[[#This Row],[M² Da chapa]]</f>
        <v/>
      </c>
      <c r="K819" s="170">
        <f>Tabela10[[#This Row],[M² CHAPAS]]-Tabela10[[#This Row],[ERP]]</f>
        <v/>
      </c>
      <c r="L819" s="170">
        <f>Tabela10[[#This Row],[DIFERENÇA M²]]/Tabela10[[#This Row],[M² Da chapa]]</f>
        <v/>
      </c>
    </row>
    <row r="820">
      <c r="A820" s="6" t="n">
        <v>46176</v>
      </c>
      <c r="B820" s="8" t="inlineStr">
        <is>
          <t>N2604604</t>
        </is>
      </c>
      <c r="C820" s="168">
        <f>VLOOKUP(LEFT(B820,1),Tabela5[],2,0)</f>
        <v/>
      </c>
      <c r="D820" s="57" t="inlineStr">
        <is>
          <t>MDF - 15MM</t>
        </is>
      </c>
      <c r="E820" s="169">
        <f>VLOOKUP(Tabela10[[#This Row],[Tipo de Chapa]],Tabela11[],2,FALSE)</f>
        <v/>
      </c>
      <c r="F820" s="151" t="n">
        <v>155</v>
      </c>
      <c r="G820" s="152" t="n">
        <v>0.0485</v>
      </c>
      <c r="H820" s="170">
        <f>Tabela10[[#This Row],[M² Da chapa]]*Tabela10[[#This Row],[Qtde Chapas
Liberadas]]</f>
        <v/>
      </c>
      <c r="J820" s="59">
        <f>Tabela10[[#This Row],[ERP]]/Tabela10[[#This Row],[M² Da chapa]]</f>
        <v/>
      </c>
      <c r="K820" s="170">
        <f>Tabela10[[#This Row],[M² CHAPAS]]-Tabela10[[#This Row],[ERP]]</f>
        <v/>
      </c>
      <c r="L820" s="170">
        <f>Tabela10[[#This Row],[DIFERENÇA M²]]/Tabela10[[#This Row],[M² Da chapa]]</f>
        <v/>
      </c>
    </row>
    <row r="821">
      <c r="A821" s="6" t="n">
        <v>46176</v>
      </c>
      <c r="B821" s="8" t="inlineStr">
        <is>
          <t>N2604604</t>
        </is>
      </c>
      <c r="C821" s="168">
        <f>VLOOKUP(LEFT(B821,1),Tabela5[],2,0)</f>
        <v/>
      </c>
      <c r="D821" s="57" t="inlineStr">
        <is>
          <t>MDF - 25MM 2750x2100</t>
        </is>
      </c>
      <c r="E821" s="169">
        <f>VLOOKUP(Tabela10[[#This Row],[Tipo de Chapa]],Tabela11[],2,FALSE)</f>
        <v/>
      </c>
      <c r="F821" s="151" t="n">
        <v>50</v>
      </c>
      <c r="G821" s="152" t="n">
        <v>0.0182</v>
      </c>
      <c r="H821" s="170">
        <f>Tabela10[[#This Row],[M² Da chapa]]*Tabela10[[#This Row],[Qtde Chapas
Liberadas]]</f>
        <v/>
      </c>
      <c r="J821" s="59">
        <f>Tabela10[[#This Row],[ERP]]/Tabela10[[#This Row],[M² Da chapa]]</f>
        <v/>
      </c>
      <c r="K821" s="170">
        <f>Tabela10[[#This Row],[M² CHAPAS]]-Tabela10[[#This Row],[ERP]]</f>
        <v/>
      </c>
      <c r="L821" s="170">
        <f>Tabela10[[#This Row],[DIFERENÇA M²]]/Tabela10[[#This Row],[M² Da chapa]]</f>
        <v/>
      </c>
    </row>
    <row r="822">
      <c r="A822" s="6" t="n">
        <v>46176</v>
      </c>
      <c r="B822" s="8" t="inlineStr">
        <is>
          <t>N2605304 | N2605305</t>
        </is>
      </c>
      <c r="C822" s="168">
        <f>VLOOKUP(LEFT(B822,1),Tabela5[],2,0)</f>
        <v/>
      </c>
      <c r="D822" s="57" t="inlineStr">
        <is>
          <t>MDF - 15MM</t>
        </is>
      </c>
      <c r="E822" s="169">
        <f>VLOOKUP(Tabela10[[#This Row],[Tipo de Chapa]],Tabela11[],2,FALSE)</f>
        <v/>
      </c>
      <c r="F822" s="151" t="n">
        <v>140</v>
      </c>
      <c r="G822" s="152" t="n">
        <v>0.0553</v>
      </c>
      <c r="H822" s="170">
        <f>Tabela10[[#This Row],[M² Da chapa]]*Tabela10[[#This Row],[Qtde Chapas
Liberadas]]</f>
        <v/>
      </c>
      <c r="J822" s="59">
        <f>Tabela10[[#This Row],[ERP]]/Tabela10[[#This Row],[M² Da chapa]]</f>
        <v/>
      </c>
      <c r="K822" s="170">
        <f>Tabela10[[#This Row],[M² CHAPAS]]-Tabela10[[#This Row],[ERP]]</f>
        <v/>
      </c>
      <c r="L822" s="170">
        <f>Tabela10[[#This Row],[DIFERENÇA M²]]/Tabela10[[#This Row],[M² Da chapa]]</f>
        <v/>
      </c>
    </row>
    <row r="823">
      <c r="A823" s="6" t="n">
        <v>46176</v>
      </c>
      <c r="B823" s="8" t="inlineStr">
        <is>
          <t>N2605303</t>
        </is>
      </c>
      <c r="C823" s="168">
        <f>VLOOKUP(LEFT(B823,1),Tabela5[],2,0)</f>
        <v/>
      </c>
      <c r="D823" s="57" t="inlineStr">
        <is>
          <t>MDF - 15MM</t>
        </is>
      </c>
      <c r="E823" s="169">
        <f>VLOOKUP(Tabela10[[#This Row],[Tipo de Chapa]],Tabela11[],2,FALSE)</f>
        <v/>
      </c>
      <c r="F823" s="151" t="n">
        <v>86</v>
      </c>
      <c r="G823" s="152" t="n">
        <v>0.0492</v>
      </c>
      <c r="H823" s="170">
        <f>Tabela10[[#This Row],[M² Da chapa]]*Tabela10[[#This Row],[Qtde Chapas
Liberadas]]</f>
        <v/>
      </c>
      <c r="J823" s="59">
        <f>Tabela10[[#This Row],[ERP]]/Tabela10[[#This Row],[M² Da chapa]]</f>
        <v/>
      </c>
      <c r="K823" s="170">
        <f>Tabela10[[#This Row],[M² CHAPAS]]-Tabela10[[#This Row],[ERP]]</f>
        <v/>
      </c>
      <c r="L823" s="170">
        <f>Tabela10[[#This Row],[DIFERENÇA M²]]/Tabela10[[#This Row],[M² Da chapa]]</f>
        <v/>
      </c>
    </row>
    <row r="824">
      <c r="A824" s="6" t="n">
        <v>46181</v>
      </c>
      <c r="B824" s="8" t="inlineStr">
        <is>
          <t xml:space="preserve">N2604402 </t>
        </is>
      </c>
      <c r="C824" s="168">
        <f>VLOOKUP(LEFT(B824,1),Tabela5[],2,0)</f>
        <v/>
      </c>
      <c r="D824" s="57" t="inlineStr">
        <is>
          <t>EUCADUR NT - 2,5MM</t>
        </is>
      </c>
      <c r="E824" s="169">
        <f>VLOOKUP(Tabela10[[#This Row],[Tipo de Chapa]],Tabela11[],2,FALSE)</f>
        <v/>
      </c>
      <c r="F824" s="151" t="n">
        <v>214</v>
      </c>
      <c r="G824" s="152" t="n">
        <v>0.06279999999999999</v>
      </c>
      <c r="H824" s="170">
        <f>Tabela10[[#This Row],[M² Da chapa]]*Tabela10[[#This Row],[Qtde Chapas
Liberadas]]</f>
        <v/>
      </c>
      <c r="J824" s="59">
        <f>Tabela10[[#This Row],[ERP]]/Tabela10[[#This Row],[M² Da chapa]]</f>
        <v/>
      </c>
      <c r="K824" s="170">
        <f>Tabela10[[#This Row],[M² CHAPAS]]-Tabela10[[#This Row],[ERP]]</f>
        <v/>
      </c>
      <c r="L824" s="170">
        <f>Tabela10[[#This Row],[DIFERENÇA M²]]/Tabela10[[#This Row],[M² Da chapa]]</f>
        <v/>
      </c>
    </row>
    <row r="825">
      <c r="A825" s="6" t="n">
        <v>46181</v>
      </c>
      <c r="B825" s="8" t="inlineStr">
        <is>
          <t>N2605301</t>
        </is>
      </c>
      <c r="C825" s="168">
        <f>VLOOKUP(LEFT(B825,1),Tabela5[],2,0)</f>
        <v/>
      </c>
      <c r="D825" s="57" t="inlineStr">
        <is>
          <t>MDF - 25MM 2750x2100</t>
        </is>
      </c>
      <c r="E825" s="169">
        <f>VLOOKUP(Tabela10[[#This Row],[Tipo de Chapa]],Tabela11[],2,FALSE)</f>
        <v/>
      </c>
      <c r="F825" s="151" t="n">
        <v>59</v>
      </c>
      <c r="G825" s="152" t="n">
        <v>0.0372</v>
      </c>
      <c r="H825" s="170">
        <f>Tabela10[[#This Row],[M² Da chapa]]*Tabela10[[#This Row],[Qtde Chapas
Liberadas]]</f>
        <v/>
      </c>
      <c r="J825" s="59">
        <f>Tabela10[[#This Row],[ERP]]/Tabela10[[#This Row],[M² Da chapa]]</f>
        <v/>
      </c>
      <c r="K825" s="170">
        <f>Tabela10[[#This Row],[M² CHAPAS]]-Tabela10[[#This Row],[ERP]]</f>
        <v/>
      </c>
      <c r="L825" s="170">
        <f>Tabela10[[#This Row],[DIFERENÇA M²]]/Tabela10[[#This Row],[M² Da chapa]]</f>
        <v/>
      </c>
    </row>
    <row r="826">
      <c r="A826" s="6" t="n">
        <v>46181</v>
      </c>
      <c r="B826" s="8" t="inlineStr">
        <is>
          <t>N2605401 | N2605402</t>
        </is>
      </c>
      <c r="C826" s="168">
        <f>VLOOKUP(LEFT(B826,1),Tabela5[],2,0)</f>
        <v/>
      </c>
      <c r="D826" s="57" t="inlineStr">
        <is>
          <t>MDF - 15MM</t>
        </is>
      </c>
      <c r="E826" s="169">
        <f>VLOOKUP(Tabela10[[#This Row],[Tipo de Chapa]],Tabela11[],2,FALSE)</f>
        <v/>
      </c>
      <c r="F826" s="151">
        <f>236+20+26</f>
        <v/>
      </c>
      <c r="G826" s="152" t="n">
        <v>0.0503</v>
      </c>
      <c r="H826" s="170">
        <f>Tabela10[[#This Row],[M² Da chapa]]*Tabela10[[#This Row],[Qtde Chapas
Liberadas]]</f>
        <v/>
      </c>
      <c r="J826" s="59">
        <f>Tabela10[[#This Row],[ERP]]/Tabela10[[#This Row],[M² Da chapa]]</f>
        <v/>
      </c>
      <c r="K826" s="170">
        <f>Tabela10[[#This Row],[M² CHAPAS]]-Tabela10[[#This Row],[ERP]]</f>
        <v/>
      </c>
      <c r="L826" s="170">
        <f>Tabela10[[#This Row],[DIFERENÇA M²]]/Tabela10[[#This Row],[M² Da chapa]]</f>
        <v/>
      </c>
    </row>
    <row r="827">
      <c r="A827" s="6" t="n">
        <v>46181</v>
      </c>
      <c r="B827" s="8" t="inlineStr">
        <is>
          <t>N2604604</t>
        </is>
      </c>
      <c r="C827" s="168">
        <f>VLOOKUP(LEFT(B827,1),Tabela5[],2,0)</f>
        <v/>
      </c>
      <c r="D827" s="57" t="inlineStr">
        <is>
          <t>EUCADUR NT - 2,5MM</t>
        </is>
      </c>
      <c r="E827" s="169">
        <f>VLOOKUP(Tabela10[[#This Row],[Tipo de Chapa]],Tabela11[],2,FALSE)</f>
        <v/>
      </c>
      <c r="F827" s="151" t="n">
        <v>150</v>
      </c>
      <c r="G827" s="152" t="n">
        <v>0.0565</v>
      </c>
      <c r="H827" s="170">
        <f>Tabela10[[#This Row],[M² Da chapa]]*Tabela10[[#This Row],[Qtde Chapas
Liberadas]]</f>
        <v/>
      </c>
      <c r="J827" s="59">
        <f>Tabela10[[#This Row],[ERP]]/Tabela10[[#This Row],[M² Da chapa]]</f>
        <v/>
      </c>
      <c r="K827" s="170">
        <f>Tabela10[[#This Row],[M² CHAPAS]]-Tabela10[[#This Row],[ERP]]</f>
        <v/>
      </c>
      <c r="L827" s="170">
        <f>Tabela10[[#This Row],[DIFERENÇA M²]]/Tabela10[[#This Row],[M² Da chapa]]</f>
        <v/>
      </c>
    </row>
    <row r="828">
      <c r="A828" s="6" t="n">
        <v>46181</v>
      </c>
      <c r="B828" s="8" t="inlineStr">
        <is>
          <t>N2605303 | N2605304 | N2605305</t>
        </is>
      </c>
      <c r="C828" s="168">
        <f>VLOOKUP(LEFT(B828,1),Tabela5[],2,0)</f>
        <v/>
      </c>
      <c r="D828" s="57" t="inlineStr">
        <is>
          <t>EUCADUR NT - 2,5MM</t>
        </is>
      </c>
      <c r="E828" s="169">
        <f>VLOOKUP(Tabela10[[#This Row],[Tipo de Chapa]],Tabela11[],2,FALSE)</f>
        <v/>
      </c>
      <c r="F828" s="151" t="n">
        <v>39</v>
      </c>
      <c r="G828" s="152" t="n">
        <v>0.0689</v>
      </c>
      <c r="H828" s="170">
        <f>Tabela10[[#This Row],[M² Da chapa]]*Tabela10[[#This Row],[Qtde Chapas
Liberadas]]</f>
        <v/>
      </c>
      <c r="J828" s="59">
        <f>Tabela10[[#This Row],[ERP]]/Tabela10[[#This Row],[M² Da chapa]]</f>
        <v/>
      </c>
      <c r="K828" s="170">
        <f>Tabela10[[#This Row],[M² CHAPAS]]-Tabela10[[#This Row],[ERP]]</f>
        <v/>
      </c>
      <c r="L828" s="170">
        <f>Tabela10[[#This Row],[DIFERENÇA M²]]/Tabela10[[#This Row],[M² Da chapa]]</f>
        <v/>
      </c>
    </row>
    <row r="829">
      <c r="A829" s="6" t="n">
        <v>46182</v>
      </c>
      <c r="B829" s="8" t="inlineStr">
        <is>
          <t>N2605403</t>
        </is>
      </c>
      <c r="C829" s="168">
        <f>VLOOKUP(LEFT(B829,1),Tabela5[],2,0)</f>
        <v/>
      </c>
      <c r="D829" s="57" t="inlineStr">
        <is>
          <t>MDF - 15MM</t>
        </is>
      </c>
      <c r="E829" s="169">
        <f>VLOOKUP(Tabela10[[#This Row],[Tipo de Chapa]],Tabela11[],2,FALSE)</f>
        <v/>
      </c>
      <c r="F829" s="151">
        <f>108+21</f>
        <v/>
      </c>
      <c r="G829" s="152" t="n">
        <v>0.0572</v>
      </c>
      <c r="H829" s="170">
        <f>Tabela10[[#This Row],[M² Da chapa]]*Tabela10[[#This Row],[Qtde Chapas
Liberadas]]</f>
        <v/>
      </c>
      <c r="J829" s="59">
        <f>Tabela10[[#This Row],[ERP]]/Tabela10[[#This Row],[M² Da chapa]]</f>
        <v/>
      </c>
      <c r="K829" s="170">
        <f>Tabela10[[#This Row],[M² CHAPAS]]-Tabela10[[#This Row],[ERP]]</f>
        <v/>
      </c>
      <c r="L829" s="170">
        <f>Tabela10[[#This Row],[DIFERENÇA M²]]/Tabela10[[#This Row],[M² Da chapa]]</f>
        <v/>
      </c>
    </row>
    <row r="830">
      <c r="A830" s="6" t="n">
        <v>46182</v>
      </c>
      <c r="B830" s="8" t="inlineStr">
        <is>
          <t>N2605501</t>
        </is>
      </c>
      <c r="C830" s="168">
        <f>VLOOKUP(LEFT(B830,1),Tabela5[],2,0)</f>
        <v/>
      </c>
      <c r="D830" s="57" t="inlineStr">
        <is>
          <t>MDF - 15MM</t>
        </is>
      </c>
      <c r="E830" s="169">
        <f>VLOOKUP(Tabela10[[#This Row],[Tipo de Chapa]],Tabela11[],2,FALSE)</f>
        <v/>
      </c>
      <c r="F830" s="151" t="n">
        <v>61</v>
      </c>
      <c r="G830" s="152" t="n">
        <v>0.0494</v>
      </c>
      <c r="H830" s="170">
        <f>Tabela10[[#This Row],[M² Da chapa]]*Tabela10[[#This Row],[Qtde Chapas
Liberadas]]</f>
        <v/>
      </c>
      <c r="J830" s="59">
        <f>Tabela10[[#This Row],[ERP]]/Tabela10[[#This Row],[M² Da chapa]]</f>
        <v/>
      </c>
      <c r="K830" s="170">
        <f>Tabela10[[#This Row],[M² CHAPAS]]-Tabela10[[#This Row],[ERP]]</f>
        <v/>
      </c>
      <c r="L830" s="170">
        <f>Tabela10[[#This Row],[DIFERENÇA M²]]/Tabela10[[#This Row],[M² Da chapa]]</f>
        <v/>
      </c>
    </row>
    <row r="831">
      <c r="A831" s="6" t="n">
        <v>46182</v>
      </c>
      <c r="B831" s="8" t="inlineStr">
        <is>
          <t>N2604801</t>
        </is>
      </c>
      <c r="C831" s="168">
        <f>VLOOKUP(LEFT(B831,1),Tabela5[],2,0)</f>
        <v/>
      </c>
      <c r="D831" s="57" t="inlineStr">
        <is>
          <t>MDF - 15MM</t>
        </is>
      </c>
      <c r="E831" s="169">
        <f>VLOOKUP(Tabela10[[#This Row],[Tipo de Chapa]],Tabela11[],2,FALSE)</f>
        <v/>
      </c>
      <c r="F831" s="151" t="n">
        <v>92</v>
      </c>
      <c r="G831" s="152" t="n">
        <v>0.0595</v>
      </c>
      <c r="H831" s="170">
        <f>Tabela10[[#This Row],[M² Da chapa]]*Tabela10[[#This Row],[Qtde Chapas
Liberadas]]</f>
        <v/>
      </c>
      <c r="J831" s="59">
        <f>Tabela10[[#This Row],[ERP]]/Tabela10[[#This Row],[M² Da chapa]]</f>
        <v/>
      </c>
      <c r="K831" s="170">
        <f>Tabela10[[#This Row],[M² CHAPAS]]-Tabela10[[#This Row],[ERP]]</f>
        <v/>
      </c>
      <c r="L831" s="170">
        <f>Tabela10[[#This Row],[DIFERENÇA M²]]/Tabela10[[#This Row],[M² Da chapa]]</f>
        <v/>
      </c>
    </row>
    <row r="832">
      <c r="A832" s="6" t="n">
        <v>46182</v>
      </c>
      <c r="B832" s="8" t="inlineStr">
        <is>
          <t>N2605407</t>
        </is>
      </c>
      <c r="C832" s="168">
        <f>VLOOKUP(LEFT(B832,1),Tabela5[],2,0)</f>
        <v/>
      </c>
      <c r="D832" s="57" t="inlineStr">
        <is>
          <t>EUCADUR NT - 2,5MM</t>
        </is>
      </c>
      <c r="E832" s="169">
        <f>VLOOKUP(Tabela10[[#This Row],[Tipo de Chapa]],Tabela11[],2,FALSE)</f>
        <v/>
      </c>
      <c r="F832" s="151" t="n">
        <v>245</v>
      </c>
      <c r="G832" s="152" t="n">
        <v>0.06859999999999999</v>
      </c>
      <c r="H832" s="170">
        <f>Tabela10[[#This Row],[M² Da chapa]]*Tabela10[[#This Row],[Qtde Chapas
Liberadas]]</f>
        <v/>
      </c>
      <c r="J832" s="59">
        <f>Tabela10[[#This Row],[ERP]]/Tabela10[[#This Row],[M² Da chapa]]</f>
        <v/>
      </c>
      <c r="K832" s="170">
        <f>Tabela10[[#This Row],[M² CHAPAS]]-Tabela10[[#This Row],[ERP]]</f>
        <v/>
      </c>
      <c r="L832" s="170">
        <f>Tabela10[[#This Row],[DIFERENÇA M²]]/Tabela10[[#This Row],[M² Da chapa]]</f>
        <v/>
      </c>
    </row>
    <row r="833">
      <c r="A833" s="6" t="n">
        <v>46182</v>
      </c>
      <c r="B833" s="8" t="inlineStr">
        <is>
          <t>N2605001</t>
        </is>
      </c>
      <c r="C833" s="168">
        <f>VLOOKUP(LEFT(B833,1),Tabela5[],2,0)</f>
        <v/>
      </c>
      <c r="D833" s="57" t="inlineStr">
        <is>
          <t>MDF - 15MM</t>
        </is>
      </c>
      <c r="E833" s="169">
        <f>VLOOKUP(Tabela10[[#This Row],[Tipo de Chapa]],Tabela11[],2,FALSE)</f>
        <v/>
      </c>
      <c r="F833" s="151" t="n">
        <v>86</v>
      </c>
      <c r="G833" s="152" t="n">
        <v>0.0673</v>
      </c>
      <c r="H833" s="170">
        <f>Tabela10[[#This Row],[M² Da chapa]]*Tabela10[[#This Row],[Qtde Chapas
Liberadas]]</f>
        <v/>
      </c>
      <c r="J833" s="59">
        <f>Tabela10[[#This Row],[ERP]]/Tabela10[[#This Row],[M² Da chapa]]</f>
        <v/>
      </c>
      <c r="K833" s="170">
        <f>Tabela10[[#This Row],[M² CHAPAS]]-Tabela10[[#This Row],[ERP]]</f>
        <v/>
      </c>
      <c r="L833" s="170">
        <f>Tabela10[[#This Row],[DIFERENÇA M²]]/Tabela10[[#This Row],[M² Da chapa]]</f>
        <v/>
      </c>
    </row>
    <row r="834">
      <c r="A834" s="6" t="n">
        <v>46182</v>
      </c>
      <c r="B834" s="8" t="inlineStr">
        <is>
          <t>N26054</t>
        </is>
      </c>
      <c r="C834" s="168">
        <f>VLOOKUP(LEFT(B834,1),Tabela5[],2,0)</f>
        <v/>
      </c>
      <c r="D834" s="57" t="inlineStr">
        <is>
          <t>EUCADUR NT - 2,5MM</t>
        </is>
      </c>
      <c r="E834" s="169">
        <f>VLOOKUP(Tabela10[[#This Row],[Tipo de Chapa]],Tabela11[],2,FALSE)</f>
        <v/>
      </c>
      <c r="F834" s="151" t="n">
        <v>562</v>
      </c>
      <c r="G834" s="152" t="n">
        <v>0.0708</v>
      </c>
      <c r="H834" s="170">
        <f>Tabela10[[#This Row],[M² Da chapa]]*Tabela10[[#This Row],[Qtde Chapas
Liberadas]]</f>
        <v/>
      </c>
      <c r="J834" s="59">
        <f>Tabela10[[#This Row],[ERP]]/Tabela10[[#This Row],[M² Da chapa]]</f>
        <v/>
      </c>
      <c r="K834" s="170">
        <f>Tabela10[[#This Row],[M² CHAPAS]]-Tabela10[[#This Row],[ERP]]</f>
        <v/>
      </c>
      <c r="L834" s="170">
        <f>Tabela10[[#This Row],[DIFERENÇA M²]]/Tabela10[[#This Row],[M² Da chapa]]</f>
        <v/>
      </c>
    </row>
    <row r="835">
      <c r="A835" s="6" t="n">
        <v>46182</v>
      </c>
      <c r="B835" s="8" t="inlineStr">
        <is>
          <t>N2604901</t>
        </is>
      </c>
      <c r="C835" s="168">
        <f>VLOOKUP(LEFT(B835,1),Tabela5[],2,0)</f>
        <v/>
      </c>
      <c r="D835" s="57" t="inlineStr">
        <is>
          <t>MDF - 15MM</t>
        </is>
      </c>
      <c r="E835" s="169">
        <f>VLOOKUP(Tabela10[[#This Row],[Tipo de Chapa]],Tabela11[],2,FALSE)</f>
        <v/>
      </c>
      <c r="F835" s="151" t="n">
        <v>60</v>
      </c>
      <c r="G835" s="152" t="n">
        <v>0.0487</v>
      </c>
      <c r="H835" s="170">
        <f>Tabela10[[#This Row],[M² Da chapa]]*Tabela10[[#This Row],[Qtde Chapas
Liberadas]]</f>
        <v/>
      </c>
      <c r="J835" s="59">
        <f>Tabela10[[#This Row],[ERP]]/Tabela10[[#This Row],[M² Da chapa]]</f>
        <v/>
      </c>
      <c r="K835" s="170">
        <f>Tabela10[[#This Row],[M² CHAPAS]]-Tabela10[[#This Row],[ERP]]</f>
        <v/>
      </c>
      <c r="L835" s="170">
        <f>Tabela10[[#This Row],[DIFERENÇA M²]]/Tabela10[[#This Row],[M² Da chapa]]</f>
        <v/>
      </c>
    </row>
    <row r="836" hidden="1">
      <c r="A836" s="6" t="n">
        <v>46183</v>
      </c>
      <c r="B836" s="8" t="inlineStr">
        <is>
          <t>I26018</t>
        </is>
      </c>
      <c r="C836" s="168">
        <f>VLOOKUP(LEFT(B836,1),Tabela5[],2,0)</f>
        <v/>
      </c>
      <c r="D836" s="57" t="inlineStr">
        <is>
          <t>MDF - 15MM</t>
        </is>
      </c>
      <c r="E836" s="169">
        <f>VLOOKUP(Tabela10[[#This Row],[Tipo de Chapa]],Tabela11[],2,FALSE)</f>
        <v/>
      </c>
      <c r="F836" s="151" t="n">
        <v>1451</v>
      </c>
      <c r="G836" s="152" t="n">
        <v>0.0561</v>
      </c>
      <c r="H836" s="170">
        <f>Tabela10[[#This Row],[M² Da chapa]]*Tabela10[[#This Row],[Qtde Chapas
Liberadas]]</f>
        <v/>
      </c>
      <c r="J836" s="59">
        <f>Tabela10[[#This Row],[ERP]]/Tabela10[[#This Row],[M² Da chapa]]</f>
        <v/>
      </c>
      <c r="K836" s="170">
        <f>Tabela10[[#This Row],[M² CHAPAS]]-Tabela10[[#This Row],[ERP]]</f>
        <v/>
      </c>
      <c r="L836" s="170">
        <f>Tabela10[[#This Row],[DIFERENÇA M²]]/Tabela10[[#This Row],[M² Da chapa]]</f>
        <v/>
      </c>
    </row>
    <row r="837">
      <c r="A837" s="6" t="n">
        <v>46183</v>
      </c>
      <c r="B837" s="8" t="inlineStr">
        <is>
          <t xml:space="preserve">N2605401 </t>
        </is>
      </c>
      <c r="C837" s="168">
        <f>VLOOKUP(LEFT(B837,1),Tabela5[],2,0)</f>
        <v/>
      </c>
      <c r="D837" s="57" t="inlineStr">
        <is>
          <t>MDF - 25MM 2750x2100</t>
        </is>
      </c>
      <c r="E837" s="169">
        <f>VLOOKUP(Tabela10[[#This Row],[Tipo de Chapa]],Tabela11[],2,FALSE)</f>
        <v/>
      </c>
      <c r="F837" s="151" t="n">
        <v>26</v>
      </c>
      <c r="G837" s="152" t="n">
        <v>0.0367</v>
      </c>
      <c r="H837" s="170">
        <f>Tabela10[[#This Row],[M² Da chapa]]*Tabela10[[#This Row],[Qtde Chapas
Liberadas]]</f>
        <v/>
      </c>
      <c r="J837" s="59">
        <f>Tabela10[[#This Row],[ERP]]/Tabela10[[#This Row],[M² Da chapa]]</f>
        <v/>
      </c>
      <c r="K837" s="170">
        <f>Tabela10[[#This Row],[M² CHAPAS]]-Tabela10[[#This Row],[ERP]]</f>
        <v/>
      </c>
      <c r="L837" s="170">
        <f>Tabela10[[#This Row],[DIFERENÇA M²]]/Tabela10[[#This Row],[M² Da chapa]]</f>
        <v/>
      </c>
    </row>
    <row r="838">
      <c r="A838" s="6" t="n">
        <v>46183</v>
      </c>
      <c r="B838" s="8" t="inlineStr">
        <is>
          <t>N2605401</t>
        </is>
      </c>
      <c r="C838" s="168">
        <f>VLOOKUP(LEFT(B838,1),Tabela5[],2,0)</f>
        <v/>
      </c>
      <c r="D838" s="57" t="inlineStr">
        <is>
          <t>MDF - 25MM 2750x2200</t>
        </is>
      </c>
      <c r="E838" s="169">
        <f>VLOOKUP(Tabela10[[#This Row],[Tipo de Chapa]],Tabela11[],2,FALSE)</f>
        <v/>
      </c>
      <c r="F838" s="151" t="n">
        <v>33</v>
      </c>
      <c r="G838" s="152" t="n">
        <v>0.0805</v>
      </c>
      <c r="H838" s="170">
        <f>Tabela10[[#This Row],[M² Da chapa]]*Tabela10[[#This Row],[Qtde Chapas
Liberadas]]</f>
        <v/>
      </c>
      <c r="J838" s="59">
        <f>Tabela10[[#This Row],[ERP]]/Tabela10[[#This Row],[M² Da chapa]]</f>
        <v/>
      </c>
      <c r="K838" s="170">
        <f>Tabela10[[#This Row],[M² CHAPAS]]-Tabela10[[#This Row],[ERP]]</f>
        <v/>
      </c>
      <c r="L838" s="170">
        <f>Tabela10[[#This Row],[DIFERENÇA M²]]/Tabela10[[#This Row],[M² Da chapa]]</f>
        <v/>
      </c>
    </row>
    <row r="839">
      <c r="A839" s="6" t="n">
        <v>46183</v>
      </c>
      <c r="B839" s="8" t="inlineStr">
        <is>
          <t>N2605404</t>
        </is>
      </c>
      <c r="C839" s="168">
        <f>VLOOKUP(LEFT(B839,1),Tabela5[],2,0)</f>
        <v/>
      </c>
      <c r="D839" s="57" t="inlineStr">
        <is>
          <t>MDF - 25MM 2750x2200</t>
        </is>
      </c>
      <c r="E839" s="169">
        <f>VLOOKUP(Tabela10[[#This Row],[Tipo de Chapa]],Tabela11[],2,FALSE)</f>
        <v/>
      </c>
      <c r="F839" s="151" t="n">
        <v>59</v>
      </c>
      <c r="G839" s="152" t="n">
        <v>0.0182</v>
      </c>
      <c r="H839" s="170">
        <f>Tabela10[[#This Row],[M² Da chapa]]*Tabela10[[#This Row],[Qtde Chapas
Liberadas]]</f>
        <v/>
      </c>
      <c r="J839" s="59">
        <f>Tabela10[[#This Row],[ERP]]/Tabela10[[#This Row],[M² Da chapa]]</f>
        <v/>
      </c>
      <c r="K839" s="170">
        <f>Tabela10[[#This Row],[M² CHAPAS]]-Tabela10[[#This Row],[ERP]]</f>
        <v/>
      </c>
      <c r="L839" s="170">
        <f>Tabela10[[#This Row],[DIFERENÇA M²]]/Tabela10[[#This Row],[M² Da chapa]]</f>
        <v/>
      </c>
    </row>
    <row r="840">
      <c r="A840" s="6" t="n">
        <v>46183</v>
      </c>
      <c r="B840" s="8" t="inlineStr">
        <is>
          <t>N2605407</t>
        </is>
      </c>
      <c r="C840" s="168">
        <f>VLOOKUP(LEFT(B840,1),Tabela5[],2,0)</f>
        <v/>
      </c>
      <c r="D840" s="57" t="inlineStr">
        <is>
          <t>MDF - 25MM 2750x2200</t>
        </is>
      </c>
      <c r="E840" s="169">
        <f>VLOOKUP(Tabela10[[#This Row],[Tipo de Chapa]],Tabela11[],2,FALSE)</f>
        <v/>
      </c>
      <c r="F840" s="151" t="n">
        <v>58</v>
      </c>
      <c r="G840" s="152" t="n">
        <v>0.06279999999999999</v>
      </c>
      <c r="H840" s="170">
        <f>Tabela10[[#This Row],[M² Da chapa]]*Tabela10[[#This Row],[Qtde Chapas
Liberadas]]</f>
        <v/>
      </c>
      <c r="J840" s="59">
        <f>Tabela10[[#This Row],[ERP]]/Tabela10[[#This Row],[M² Da chapa]]</f>
        <v/>
      </c>
      <c r="K840" s="170">
        <f>Tabela10[[#This Row],[M² CHAPAS]]-Tabela10[[#This Row],[ERP]]</f>
        <v/>
      </c>
      <c r="L840" s="170">
        <f>Tabela10[[#This Row],[DIFERENÇA M²]]/Tabela10[[#This Row],[M² Da chapa]]</f>
        <v/>
      </c>
    </row>
    <row r="841">
      <c r="A841" s="6" t="n">
        <v>46183</v>
      </c>
      <c r="B841" s="8" t="inlineStr">
        <is>
          <t>N2605401</t>
        </is>
      </c>
      <c r="C841" s="168">
        <f>VLOOKUP(LEFT(B841,1),Tabela5[],2,0)</f>
        <v/>
      </c>
      <c r="D841" s="57" t="inlineStr">
        <is>
          <t>MDF - 9MM</t>
        </is>
      </c>
      <c r="E841" s="169">
        <f>VLOOKUP(Tabela10[[#This Row],[Tipo de Chapa]],Tabela11[],2,FALSE)</f>
        <v/>
      </c>
      <c r="F841" s="151" t="n">
        <v>12</v>
      </c>
      <c r="G841" s="152" t="n">
        <v>0.09130000000000001</v>
      </c>
      <c r="H841" s="170">
        <f>Tabela10[[#This Row],[M² Da chapa]]*Tabela10[[#This Row],[Qtde Chapas
Liberadas]]</f>
        <v/>
      </c>
      <c r="J841" s="59">
        <f>Tabela10[[#This Row],[ERP]]/Tabela10[[#This Row],[M² Da chapa]]</f>
        <v/>
      </c>
      <c r="K841" s="170">
        <f>Tabela10[[#This Row],[M² CHAPAS]]-Tabela10[[#This Row],[ERP]]</f>
        <v/>
      </c>
      <c r="L841" s="170">
        <f>Tabela10[[#This Row],[DIFERENÇA M²]]/Tabela10[[#This Row],[M² Da chapa]]</f>
        <v/>
      </c>
    </row>
    <row r="842">
      <c r="A842" s="6" t="n">
        <v>46183</v>
      </c>
      <c r="B842" s="8" t="inlineStr">
        <is>
          <t>N2605405</t>
        </is>
      </c>
      <c r="C842" s="168">
        <f>VLOOKUP(LEFT(B842,1),Tabela5[],2,0)</f>
        <v/>
      </c>
      <c r="D842" s="57" t="inlineStr">
        <is>
          <t>MDF - 9MM</t>
        </is>
      </c>
      <c r="E842" s="169">
        <f>VLOOKUP(Tabela10[[#This Row],[Tipo de Chapa]],Tabela11[],2,FALSE)</f>
        <v/>
      </c>
      <c r="F842" s="151" t="n">
        <v>21</v>
      </c>
      <c r="G842" s="152" t="n">
        <v>0.09130000000000001</v>
      </c>
      <c r="H842" s="170">
        <f>Tabela10[[#This Row],[M² Da chapa]]*Tabela10[[#This Row],[Qtde Chapas
Liberadas]]</f>
        <v/>
      </c>
      <c r="J842" s="59">
        <f>Tabela10[[#This Row],[ERP]]/Tabela10[[#This Row],[M² Da chapa]]</f>
        <v/>
      </c>
      <c r="K842" s="170">
        <f>Tabela10[[#This Row],[M² CHAPAS]]-Tabela10[[#This Row],[ERP]]</f>
        <v/>
      </c>
      <c r="L842" s="170">
        <f>Tabela10[[#This Row],[DIFERENÇA M²]]/Tabela10[[#This Row],[M² Da chapa]]</f>
        <v/>
      </c>
    </row>
    <row r="843">
      <c r="A843" s="6" t="n">
        <v>46183</v>
      </c>
      <c r="B843" s="8" t="inlineStr">
        <is>
          <t>N2604901</t>
        </is>
      </c>
      <c r="C843" s="168">
        <f>VLOOKUP(LEFT(B843,1),Tabela5[],2,0)</f>
        <v/>
      </c>
      <c r="D843" s="57" t="inlineStr">
        <is>
          <t>MDF - 9MM</t>
        </is>
      </c>
      <c r="E843" s="169">
        <f>VLOOKUP(Tabela10[[#This Row],[Tipo de Chapa]],Tabela11[],2,FALSE)</f>
        <v/>
      </c>
      <c r="F843" s="151" t="n">
        <v>48</v>
      </c>
      <c r="G843" s="152" t="n">
        <v>0.0526</v>
      </c>
      <c r="H843" s="170">
        <f>Tabela10[[#This Row],[M² Da chapa]]*Tabela10[[#This Row],[Qtde Chapas
Liberadas]]</f>
        <v/>
      </c>
      <c r="J843" s="59">
        <f>Tabela10[[#This Row],[ERP]]/Tabela10[[#This Row],[M² Da chapa]]</f>
        <v/>
      </c>
      <c r="K843" s="170">
        <f>Tabela10[[#This Row],[M² CHAPAS]]-Tabela10[[#This Row],[ERP]]</f>
        <v/>
      </c>
      <c r="L843" s="170">
        <f>Tabela10[[#This Row],[DIFERENÇA M²]]/Tabela10[[#This Row],[M² Da chapa]]</f>
        <v/>
      </c>
    </row>
    <row r="844" hidden="1">
      <c r="A844" s="6" t="n">
        <v>46183</v>
      </c>
      <c r="B844" s="8" t="inlineStr">
        <is>
          <t>I26017</t>
        </is>
      </c>
      <c r="C844" s="168">
        <f>VLOOKUP(LEFT(B844,1),Tabela5[],2,0)</f>
        <v/>
      </c>
      <c r="D844" s="57" t="inlineStr">
        <is>
          <t>EUCADUR FRJ - 2,5MM</t>
        </is>
      </c>
      <c r="E844" s="169">
        <f>VLOOKUP(Tabela10[[#This Row],[Tipo de Chapa]],Tabela11[],2,FALSE)</f>
        <v/>
      </c>
      <c r="F844" s="151" t="n">
        <v>403</v>
      </c>
      <c r="G844" s="152" t="n">
        <v>0.0607</v>
      </c>
      <c r="H844" s="170">
        <f>Tabela10[[#This Row],[M² Da chapa]]*Tabela10[[#This Row],[Qtde Chapas
Liberadas]]</f>
        <v/>
      </c>
      <c r="J844" s="59">
        <f>Tabela10[[#This Row],[ERP]]/Tabela10[[#This Row],[M² Da chapa]]</f>
        <v/>
      </c>
      <c r="K844" s="170">
        <f>Tabela10[[#This Row],[M² CHAPAS]]-Tabela10[[#This Row],[ERP]]</f>
        <v/>
      </c>
      <c r="L844" s="170">
        <f>Tabela10[[#This Row],[DIFERENÇA M²]]/Tabela10[[#This Row],[M² Da chapa]]</f>
        <v/>
      </c>
    </row>
    <row r="845">
      <c r="A845" s="6" t="n">
        <v>46183</v>
      </c>
      <c r="B845" s="8" t="inlineStr">
        <is>
          <t>N2604901</t>
        </is>
      </c>
      <c r="C845" s="168">
        <f>VLOOKUP(LEFT(B845,1),Tabela5[],2,0)</f>
        <v/>
      </c>
      <c r="D845" s="57" t="inlineStr">
        <is>
          <t>MDF - 15MM</t>
        </is>
      </c>
      <c r="E845" s="169">
        <f>VLOOKUP(Tabela10[[#This Row],[Tipo de Chapa]],Tabela11[],2,FALSE)</f>
        <v/>
      </c>
      <c r="F845" s="151" t="n">
        <v>263</v>
      </c>
      <c r="G845" s="152" t="n">
        <v>0.0474</v>
      </c>
      <c r="H845" s="170">
        <f>Tabela10[[#This Row],[M² Da chapa]]*Tabela10[[#This Row],[Qtde Chapas
Liberadas]]</f>
        <v/>
      </c>
      <c r="J845" s="59">
        <f>Tabela10[[#This Row],[ERP]]/Tabela10[[#This Row],[M² Da chapa]]</f>
        <v/>
      </c>
      <c r="K845" s="170">
        <f>Tabela10[[#This Row],[M² CHAPAS]]-Tabela10[[#This Row],[ERP]]</f>
        <v/>
      </c>
      <c r="L845" s="170">
        <f>Tabela10[[#This Row],[DIFERENÇA M²]]/Tabela10[[#This Row],[M² Da chapa]]</f>
        <v/>
      </c>
    </row>
    <row r="846">
      <c r="A846" s="6" t="n">
        <v>46184</v>
      </c>
      <c r="B846" s="8" t="inlineStr">
        <is>
          <t>N2605404 | N2605405 | N2605406</t>
        </is>
      </c>
      <c r="C846" s="168">
        <f>VLOOKUP(LEFT(B846,1),Tabela5[],2,0)</f>
        <v/>
      </c>
      <c r="D846" s="57" t="inlineStr">
        <is>
          <t>MDF - 15MM</t>
        </is>
      </c>
      <c r="E846" s="169">
        <f>VLOOKUP(Tabela10[[#This Row],[Tipo de Chapa]],Tabela11[],2,FALSE)</f>
        <v/>
      </c>
      <c r="F846" s="151" t="n">
        <v>472</v>
      </c>
      <c r="G846" s="152" t="n">
        <v>0.047</v>
      </c>
      <c r="H846" s="170">
        <f>Tabela10[[#This Row],[M² Da chapa]]*Tabela10[[#This Row],[Qtde Chapas
Liberadas]]</f>
        <v/>
      </c>
      <c r="J846" s="59">
        <f>Tabela10[[#This Row],[ERP]]/Tabela10[[#This Row],[M² Da chapa]]</f>
        <v/>
      </c>
      <c r="K846" s="170">
        <f>Tabela10[[#This Row],[M² CHAPAS]]-Tabela10[[#This Row],[ERP]]</f>
        <v/>
      </c>
      <c r="L846" s="170">
        <f>Tabela10[[#This Row],[DIFERENÇA M²]]/Tabela10[[#This Row],[M² Da chapa]]</f>
        <v/>
      </c>
    </row>
    <row r="847">
      <c r="A847" s="6" t="n">
        <v>46185</v>
      </c>
      <c r="B847" s="8" t="inlineStr">
        <is>
          <t>N2605701</t>
        </is>
      </c>
      <c r="C847" s="168">
        <f>VLOOKUP(LEFT(B847,1),Tabela5[],2,0)</f>
        <v/>
      </c>
      <c r="D847" s="57" t="inlineStr">
        <is>
          <t>MDF - 15MM</t>
        </is>
      </c>
      <c r="E847" s="169">
        <f>VLOOKUP(Tabela10[[#This Row],[Tipo de Chapa]],Tabela11[],2,FALSE)</f>
        <v/>
      </c>
      <c r="F847" s="151" t="n">
        <v>100</v>
      </c>
      <c r="G847" s="152" t="n">
        <v>0.0372</v>
      </c>
      <c r="H847" s="170">
        <f>Tabela10[[#This Row],[M² Da chapa]]*Tabela10[[#This Row],[Qtde Chapas
Liberadas]]</f>
        <v/>
      </c>
      <c r="J847" s="59">
        <f>Tabela10[[#This Row],[ERP]]/Tabela10[[#This Row],[M² Da chapa]]</f>
        <v/>
      </c>
      <c r="K847" s="170">
        <f>Tabela10[[#This Row],[M² CHAPAS]]-Tabela10[[#This Row],[ERP]]</f>
        <v/>
      </c>
      <c r="L847" s="170">
        <f>Tabela10[[#This Row],[DIFERENÇA M²]]/Tabela10[[#This Row],[M² Da chapa]]</f>
        <v/>
      </c>
    </row>
    <row r="848">
      <c r="A848" s="6" t="n">
        <v>46185</v>
      </c>
      <c r="B848" s="8" t="inlineStr">
        <is>
          <t>N2605501</t>
        </is>
      </c>
      <c r="C848" s="168">
        <f>VLOOKUP(LEFT(B848,1),Tabela5[],2,0)</f>
        <v/>
      </c>
      <c r="D848" s="57" t="inlineStr">
        <is>
          <t>EUCADUR NT - 2,5MM</t>
        </is>
      </c>
      <c r="E848" s="169">
        <f>VLOOKUP(Tabela10[[#This Row],[Tipo de Chapa]],Tabela11[],2,FALSE)</f>
        <v/>
      </c>
      <c r="F848" s="151" t="n">
        <v>36</v>
      </c>
      <c r="G848" s="152" t="n">
        <v>0.0635</v>
      </c>
      <c r="H848" s="170">
        <f>Tabela10[[#This Row],[M² Da chapa]]*Tabela10[[#This Row],[Qtde Chapas
Liberadas]]</f>
        <v/>
      </c>
      <c r="J848" s="59">
        <f>Tabela10[[#This Row],[ERP]]/Tabela10[[#This Row],[M² Da chapa]]</f>
        <v/>
      </c>
      <c r="K848" s="170">
        <f>Tabela10[[#This Row],[M² CHAPAS]]-Tabela10[[#This Row],[ERP]]</f>
        <v/>
      </c>
      <c r="L848" s="170">
        <f>Tabela10[[#This Row],[DIFERENÇA M²]]/Tabela10[[#This Row],[M² Da chapa]]</f>
        <v/>
      </c>
    </row>
    <row r="849">
      <c r="A849" s="6" t="n">
        <v>46185</v>
      </c>
      <c r="B849" s="8" t="inlineStr">
        <is>
          <t>N2605407 | N2605408</t>
        </is>
      </c>
      <c r="C849" s="168">
        <f>VLOOKUP(LEFT(B849,1),Tabela5[],2,0)</f>
        <v/>
      </c>
      <c r="D849" s="57" t="inlineStr">
        <is>
          <t>MDF - 15MM</t>
        </is>
      </c>
      <c r="E849" s="169">
        <f>VLOOKUP(Tabela10[[#This Row],[Tipo de Chapa]],Tabela11[],2,FALSE)</f>
        <v/>
      </c>
      <c r="F849" s="151" t="n">
        <v>359</v>
      </c>
      <c r="G849" s="152" t="n">
        <v>0.0525</v>
      </c>
      <c r="H849" s="170">
        <f>Tabela10[[#This Row],[M² Da chapa]]*Tabela10[[#This Row],[Qtde Chapas
Liberadas]]</f>
        <v/>
      </c>
      <c r="J849" s="59">
        <f>Tabela10[[#This Row],[ERP]]/Tabela10[[#This Row],[M² Da chapa]]</f>
        <v/>
      </c>
      <c r="K849" s="170">
        <f>Tabela10[[#This Row],[M² CHAPAS]]-Tabela10[[#This Row],[ERP]]</f>
        <v/>
      </c>
      <c r="L849" s="170">
        <f>Tabela10[[#This Row],[DIFERENÇA M²]]/Tabela10[[#This Row],[M² Da chapa]]</f>
        <v/>
      </c>
    </row>
    <row r="850">
      <c r="A850" s="6" t="n">
        <v>46185</v>
      </c>
      <c r="B850" s="8" t="inlineStr">
        <is>
          <t>N2604801</t>
        </is>
      </c>
      <c r="C850" s="168">
        <f>VLOOKUP(LEFT(B850,1),Tabela5[],2,0)</f>
        <v/>
      </c>
      <c r="D850" s="57" t="inlineStr">
        <is>
          <t>EUCADUR NT - 2,5MM</t>
        </is>
      </c>
      <c r="E850" s="169">
        <f>VLOOKUP(Tabela10[[#This Row],[Tipo de Chapa]],Tabela11[],2,FALSE)</f>
        <v/>
      </c>
      <c r="F850" s="151" t="n">
        <v>86</v>
      </c>
      <c r="G850" s="152" t="n">
        <v>0.0675</v>
      </c>
      <c r="H850" s="170">
        <f>Tabela10[[#This Row],[M² Da chapa]]*Tabela10[[#This Row],[Qtde Chapas
Liberadas]]</f>
        <v/>
      </c>
      <c r="J850" s="59">
        <f>Tabela10[[#This Row],[ERP]]/Tabela10[[#This Row],[M² Da chapa]]</f>
        <v/>
      </c>
      <c r="K850" s="170">
        <f>Tabela10[[#This Row],[M² CHAPAS]]-Tabela10[[#This Row],[ERP]]</f>
        <v/>
      </c>
      <c r="L850" s="170">
        <f>Tabela10[[#This Row],[DIFERENÇA M²]]/Tabela10[[#This Row],[M² Da chapa]]</f>
        <v/>
      </c>
    </row>
    <row r="851" hidden="1">
      <c r="A851" s="6" t="n">
        <v>46185</v>
      </c>
      <c r="B851" s="8" t="inlineStr">
        <is>
          <t>I2601801 | I2601803</t>
        </is>
      </c>
      <c r="C851" s="168">
        <f>VLOOKUP(LEFT(B851,1),Tabela5[],2,0)</f>
        <v/>
      </c>
      <c r="D851" s="57" t="inlineStr">
        <is>
          <t>EUCADUR FRJ - 2,5MM</t>
        </is>
      </c>
      <c r="E851" s="169">
        <f>VLOOKUP(Tabela10[[#This Row],[Tipo de Chapa]],Tabela11[],2,FALSE)</f>
        <v/>
      </c>
      <c r="F851" s="151" t="n">
        <v>113</v>
      </c>
      <c r="G851" s="152" t="n">
        <v>0.0465</v>
      </c>
      <c r="H851" s="170">
        <f>Tabela10[[#This Row],[M² Da chapa]]*Tabela10[[#This Row],[Qtde Chapas
Liberadas]]</f>
        <v/>
      </c>
      <c r="J851" s="59">
        <f>Tabela10[[#This Row],[ERP]]/Tabela10[[#This Row],[M² Da chapa]]</f>
        <v/>
      </c>
      <c r="K851" s="170">
        <f>Tabela10[[#This Row],[M² CHAPAS]]-Tabela10[[#This Row],[ERP]]</f>
        <v/>
      </c>
      <c r="L851" s="170">
        <f>Tabela10[[#This Row],[DIFERENÇA M²]]/Tabela10[[#This Row],[M² Da chapa]]</f>
        <v/>
      </c>
    </row>
    <row r="852">
      <c r="A852" s="6" t="n">
        <v>46185</v>
      </c>
      <c r="B852" s="8" t="inlineStr">
        <is>
          <t>N2604901</t>
        </is>
      </c>
      <c r="C852" s="168">
        <f>VLOOKUP(LEFT(B852,1),Tabela5[],2,0)</f>
        <v/>
      </c>
      <c r="D852" s="57" t="inlineStr">
        <is>
          <t>EUCADUR NT - 2,5MM</t>
        </is>
      </c>
      <c r="E852" s="169">
        <f>VLOOKUP(Tabela10[[#This Row],[Tipo de Chapa]],Tabela11[],2,FALSE)</f>
        <v/>
      </c>
      <c r="F852" s="151" t="n">
        <v>120</v>
      </c>
      <c r="G852" s="152" t="n">
        <v>0.06510000000000001</v>
      </c>
      <c r="H852" s="170">
        <f>Tabela10[[#This Row],[M² Da chapa]]*Tabela10[[#This Row],[Qtde Chapas
Liberadas]]</f>
        <v/>
      </c>
      <c r="J852" s="59">
        <f>Tabela10[[#This Row],[ERP]]/Tabela10[[#This Row],[M² Da chapa]]</f>
        <v/>
      </c>
      <c r="K852" s="170">
        <f>Tabela10[[#This Row],[M² CHAPAS]]-Tabela10[[#This Row],[ERP]]</f>
        <v/>
      </c>
      <c r="L852" s="170">
        <f>Tabela10[[#This Row],[DIFERENÇA M²]]/Tabela10[[#This Row],[M² Da chapa]]</f>
        <v/>
      </c>
    </row>
    <row r="853">
      <c r="A853" s="6" t="n">
        <v>46185</v>
      </c>
      <c r="B853" s="8" t="inlineStr">
        <is>
          <t>N2605409 | N2605410</t>
        </is>
      </c>
      <c r="C853" s="168">
        <f>VLOOKUP(LEFT(B853,1),Tabela5[],2,0)</f>
        <v/>
      </c>
      <c r="D853" s="57" t="inlineStr">
        <is>
          <t>MDF - 15MM</t>
        </is>
      </c>
      <c r="E853" s="169">
        <f>VLOOKUP(Tabela10[[#This Row],[Tipo de Chapa]],Tabela11[],2,FALSE)</f>
        <v/>
      </c>
      <c r="F853" s="151" t="n">
        <v>181</v>
      </c>
      <c r="G853" s="152" t="n">
        <v>0.0602</v>
      </c>
      <c r="H853" s="170">
        <f>Tabela10[[#This Row],[M² Da chapa]]*Tabela10[[#This Row],[Qtde Chapas
Liberadas]]</f>
        <v/>
      </c>
      <c r="J853" s="59">
        <f>Tabela10[[#This Row],[ERP]]/Tabela10[[#This Row],[M² Da chapa]]</f>
        <v/>
      </c>
      <c r="K853" s="170">
        <f>Tabela10[[#This Row],[M² CHAPAS]]-Tabela10[[#This Row],[ERP]]</f>
        <v/>
      </c>
      <c r="L853" s="170">
        <f>Tabela10[[#This Row],[DIFERENÇA M²]]/Tabela10[[#This Row],[M² Da chapa]]</f>
        <v/>
      </c>
    </row>
    <row r="854">
      <c r="A854" s="6" t="n">
        <v>46185</v>
      </c>
      <c r="B854" s="8" t="inlineStr">
        <is>
          <t>N2605001</t>
        </is>
      </c>
      <c r="C854" s="168">
        <f>VLOOKUP(LEFT(B854,1),Tabela5[],2,0)</f>
        <v/>
      </c>
      <c r="D854" s="57" t="inlineStr">
        <is>
          <t>MDF - 15MM</t>
        </is>
      </c>
      <c r="E854" s="169">
        <f>VLOOKUP(Tabela10[[#This Row],[Tipo de Chapa]],Tabela11[],2,FALSE)</f>
        <v/>
      </c>
      <c r="F854" s="151" t="n">
        <v>260</v>
      </c>
      <c r="G854" s="152" t="n">
        <v>0.0497</v>
      </c>
      <c r="H854" s="170">
        <f>Tabela10[[#This Row],[M² Da chapa]]*Tabela10[[#This Row],[Qtde Chapas
Liberadas]]</f>
        <v/>
      </c>
      <c r="J854" s="59">
        <f>Tabela10[[#This Row],[ERP]]/Tabela10[[#This Row],[M² Da chapa]]</f>
        <v/>
      </c>
      <c r="K854" s="170">
        <f>Tabela10[[#This Row],[M² CHAPAS]]-Tabela10[[#This Row],[ERP]]</f>
        <v/>
      </c>
      <c r="L854" s="170">
        <f>Tabela10[[#This Row],[DIFERENÇA M²]]/Tabela10[[#This Row],[M² Da chapa]]</f>
        <v/>
      </c>
    </row>
    <row r="855">
      <c r="A855" s="6" t="n">
        <v>46185</v>
      </c>
      <c r="B855" s="8" t="inlineStr">
        <is>
          <t>N2605504</t>
        </is>
      </c>
      <c r="C855" s="168">
        <f>VLOOKUP(LEFT(B855,1),Tabela5[],2,0)</f>
        <v/>
      </c>
      <c r="D855" s="57" t="inlineStr">
        <is>
          <t>MDF - 15MM</t>
        </is>
      </c>
      <c r="E855" s="169">
        <f>VLOOKUP(Tabela10[[#This Row],[Tipo de Chapa]],Tabela11[],2,FALSE)</f>
        <v/>
      </c>
      <c r="F855" s="151" t="n">
        <v>352</v>
      </c>
      <c r="G855" s="152" t="n">
        <v>0.0489</v>
      </c>
      <c r="H855" s="170">
        <f>Tabela10[[#This Row],[M² Da chapa]]*Tabela10[[#This Row],[Qtde Chapas
Liberadas]]</f>
        <v/>
      </c>
      <c r="J855" s="59">
        <f>Tabela10[[#This Row],[ERP]]/Tabela10[[#This Row],[M² Da chapa]]</f>
        <v/>
      </c>
      <c r="K855" s="170">
        <f>Tabela10[[#This Row],[M² CHAPAS]]-Tabela10[[#This Row],[ERP]]</f>
        <v/>
      </c>
      <c r="L855" s="170">
        <f>Tabela10[[#This Row],[DIFERENÇA M²]]/Tabela10[[#This Row],[M² Da chapa]]</f>
        <v/>
      </c>
    </row>
    <row r="856">
      <c r="A856" s="6" t="n">
        <v>46185</v>
      </c>
      <c r="B856" s="8" t="inlineStr">
        <is>
          <t>N2605101</t>
        </is>
      </c>
      <c r="C856" s="168">
        <f>VLOOKUP(LEFT(B856,1),Tabela5[],2,0)</f>
        <v/>
      </c>
      <c r="D856" s="57" t="inlineStr">
        <is>
          <t>MDF - 15MM</t>
        </is>
      </c>
      <c r="E856" s="169">
        <f>VLOOKUP(Tabela10[[#This Row],[Tipo de Chapa]],Tabela11[],2,FALSE)</f>
        <v/>
      </c>
      <c r="F856" s="151" t="n">
        <v>67</v>
      </c>
      <c r="G856" s="152" t="n">
        <v>0.0567</v>
      </c>
      <c r="H856" s="170">
        <f>Tabela10[[#This Row],[M² Da chapa]]*Tabela10[[#This Row],[Qtde Chapas
Liberadas]]</f>
        <v/>
      </c>
      <c r="J856" s="59">
        <f>Tabela10[[#This Row],[ERP]]/Tabela10[[#This Row],[M² Da chapa]]</f>
        <v/>
      </c>
      <c r="K856" s="170">
        <f>Tabela10[[#This Row],[M² CHAPAS]]-Tabela10[[#This Row],[ERP]]</f>
        <v/>
      </c>
      <c r="L856" s="170">
        <f>Tabela10[[#This Row],[DIFERENÇA M²]]/Tabela10[[#This Row],[M² Da chapa]]</f>
        <v/>
      </c>
    </row>
    <row r="857">
      <c r="A857" s="6" t="n">
        <v>46185</v>
      </c>
      <c r="B857" s="8" t="inlineStr">
        <is>
          <t>N2605201</t>
        </is>
      </c>
      <c r="C857" s="168">
        <f>VLOOKUP(LEFT(B857,1),Tabela5[],2,0)</f>
        <v/>
      </c>
      <c r="D857" s="57" t="inlineStr">
        <is>
          <t>MDF - 15MM</t>
        </is>
      </c>
      <c r="E857" s="169">
        <f>VLOOKUP(Tabela10[[#This Row],[Tipo de Chapa]],Tabela11[],2,FALSE)</f>
        <v/>
      </c>
      <c r="F857" s="151" t="n">
        <v>40</v>
      </c>
      <c r="G857" s="152" t="n">
        <v>0.055</v>
      </c>
      <c r="H857" s="170">
        <f>Tabela10[[#This Row],[M² Da chapa]]*Tabela10[[#This Row],[Qtde Chapas
Liberadas]]</f>
        <v/>
      </c>
      <c r="J857" s="59">
        <f>Tabela10[[#This Row],[ERP]]/Tabela10[[#This Row],[M² Da chapa]]</f>
        <v/>
      </c>
      <c r="K857" s="170">
        <f>Tabela10[[#This Row],[M² CHAPAS]]-Tabela10[[#This Row],[ERP]]</f>
        <v/>
      </c>
      <c r="L857" s="170">
        <f>Tabela10[[#This Row],[DIFERENÇA M²]]/Tabela10[[#This Row],[M² Da chapa]]</f>
        <v/>
      </c>
    </row>
    <row r="858">
      <c r="A858" s="6" t="n">
        <v>46185</v>
      </c>
      <c r="B858" s="8" t="inlineStr">
        <is>
          <t>N2605502 | N2605503</t>
        </is>
      </c>
      <c r="C858" s="168">
        <f>VLOOKUP(LEFT(B858,1),Tabela5[],2,0)</f>
        <v/>
      </c>
      <c r="D858" s="57" t="inlineStr">
        <is>
          <t>EUCADUR NT - 2,5MM</t>
        </is>
      </c>
      <c r="E858" s="169">
        <f>VLOOKUP(Tabela10[[#This Row],[Tipo de Chapa]],Tabela11[],2,FALSE)</f>
        <v/>
      </c>
      <c r="F858" s="151" t="n">
        <v>185</v>
      </c>
      <c r="G858" s="152" t="n">
        <v>0.06850000000000001</v>
      </c>
      <c r="H858" s="170">
        <f>Tabela10[[#This Row],[M² Da chapa]]*Tabela10[[#This Row],[Qtde Chapas
Liberadas]]</f>
        <v/>
      </c>
      <c r="J858" s="59">
        <f>Tabela10[[#This Row],[ERP]]/Tabela10[[#This Row],[M² Da chapa]]</f>
        <v/>
      </c>
      <c r="K858" s="170">
        <f>Tabela10[[#This Row],[M² CHAPAS]]-Tabela10[[#This Row],[ERP]]</f>
        <v/>
      </c>
      <c r="L858" s="170">
        <f>Tabela10[[#This Row],[DIFERENÇA M²]]/Tabela10[[#This Row],[M² Da chapa]]</f>
        <v/>
      </c>
    </row>
    <row r="859">
      <c r="A859" s="6" t="n">
        <v>46188</v>
      </c>
      <c r="B859" s="8" t="inlineStr">
        <is>
          <t>N2605405</t>
        </is>
      </c>
      <c r="C859" s="168">
        <f>VLOOKUP(LEFT(B859,1),Tabela5[],2,0)</f>
        <v/>
      </c>
      <c r="D859" s="57" t="inlineStr">
        <is>
          <t>MDF - 9MM</t>
        </is>
      </c>
      <c r="E859" s="169">
        <f>VLOOKUP(Tabela10[[#This Row],[Tipo de Chapa]],Tabela11[],2,FALSE)</f>
        <v/>
      </c>
      <c r="F859" s="151" t="n">
        <v>2</v>
      </c>
      <c r="G859" s="152" t="n">
        <v>0.0725</v>
      </c>
      <c r="H859" s="170">
        <f>Tabela10[[#This Row],[M² Da chapa]]*Tabela10[[#This Row],[Qtde Chapas
Liberadas]]</f>
        <v/>
      </c>
      <c r="J859" s="59">
        <f>Tabela10[[#This Row],[ERP]]/Tabela10[[#This Row],[M² Da chapa]]</f>
        <v/>
      </c>
      <c r="K859" s="170">
        <f>Tabela10[[#This Row],[M² CHAPAS]]-Tabela10[[#This Row],[ERP]]</f>
        <v/>
      </c>
      <c r="L859" s="170">
        <f>Tabela10[[#This Row],[DIFERENÇA M²]]/Tabela10[[#This Row],[M² Da chapa]]</f>
        <v/>
      </c>
    </row>
    <row r="860">
      <c r="A860" s="6" t="n">
        <v>46188</v>
      </c>
      <c r="B860" s="8" t="inlineStr">
        <is>
          <t>N2605504</t>
        </is>
      </c>
      <c r="C860" s="168">
        <f>VLOOKUP(LEFT(B860,1),Tabela5[],2,0)</f>
        <v/>
      </c>
      <c r="D860" s="57" t="inlineStr">
        <is>
          <t>EUCADUR NT - 2,5MM</t>
        </is>
      </c>
      <c r="E860" s="169">
        <f>VLOOKUP(Tabela10[[#This Row],[Tipo de Chapa]],Tabela11[],2,FALSE)</f>
        <v/>
      </c>
      <c r="F860" s="151" t="n">
        <v>51</v>
      </c>
      <c r="G860" s="152" t="n">
        <v>0.065</v>
      </c>
      <c r="H860" s="170">
        <f>Tabela10[[#This Row],[M² Da chapa]]*Tabela10[[#This Row],[Qtde Chapas
Liberadas]]</f>
        <v/>
      </c>
      <c r="J860" s="59">
        <f>Tabela10[[#This Row],[ERP]]/Tabela10[[#This Row],[M² Da chapa]]</f>
        <v/>
      </c>
      <c r="K860" s="170">
        <f>Tabela10[[#This Row],[M² CHAPAS]]-Tabela10[[#This Row],[ERP]]</f>
        <v/>
      </c>
      <c r="L860" s="170">
        <f>Tabela10[[#This Row],[DIFERENÇA M²]]/Tabela10[[#This Row],[M² Da chapa]]</f>
        <v/>
      </c>
    </row>
    <row r="861">
      <c r="A861" s="6" t="n">
        <v>46188</v>
      </c>
      <c r="B861" s="8" t="inlineStr">
        <is>
          <t>N2605701</t>
        </is>
      </c>
      <c r="C861" s="168">
        <f>VLOOKUP(LEFT(B861,1),Tabela5[],2,0)</f>
        <v/>
      </c>
      <c r="D861" s="57" t="inlineStr">
        <is>
          <t>EUCADUR NT - 2,5MM</t>
        </is>
      </c>
      <c r="E861" s="169">
        <f>VLOOKUP(Tabela10[[#This Row],[Tipo de Chapa]],Tabela11[],2,FALSE)</f>
        <v/>
      </c>
      <c r="F861" s="151" t="n">
        <v>113</v>
      </c>
      <c r="G861" s="152" t="n">
        <v>0.0541</v>
      </c>
      <c r="H861" s="170">
        <f>Tabela10[[#This Row],[M² Da chapa]]*Tabela10[[#This Row],[Qtde Chapas
Liberadas]]</f>
        <v/>
      </c>
      <c r="J861" s="59">
        <f>Tabela10[[#This Row],[ERP]]/Tabela10[[#This Row],[M² Da chapa]]</f>
        <v/>
      </c>
      <c r="K861" s="170">
        <f>Tabela10[[#This Row],[M² CHAPAS]]-Tabela10[[#This Row],[ERP]]</f>
        <v/>
      </c>
      <c r="L861" s="170">
        <f>Tabela10[[#This Row],[DIFERENÇA M²]]/Tabela10[[#This Row],[M² Da chapa]]</f>
        <v/>
      </c>
    </row>
    <row r="862">
      <c r="A862" s="6" t="n">
        <v>46188</v>
      </c>
      <c r="B862" s="8" t="inlineStr">
        <is>
          <t>N2605502 | N2605503</t>
        </is>
      </c>
      <c r="C862" s="168">
        <f>VLOOKUP(LEFT(B862,1),Tabela5[],2,0)</f>
        <v/>
      </c>
      <c r="D862" s="57" t="inlineStr">
        <is>
          <t>MDF - 15MM</t>
        </is>
      </c>
      <c r="E862" s="169">
        <f>VLOOKUP(Tabela10[[#This Row],[Tipo de Chapa]],Tabela11[],2,FALSE)</f>
        <v/>
      </c>
      <c r="F862" s="151" t="n">
        <v>398</v>
      </c>
      <c r="G862" s="152" t="n">
        <v>0.0549</v>
      </c>
      <c r="H862" s="170">
        <f>Tabela10[[#This Row],[M² Da chapa]]*Tabela10[[#This Row],[Qtde Chapas
Liberadas]]</f>
        <v/>
      </c>
      <c r="J862" s="59">
        <f>Tabela10[[#This Row],[ERP]]/Tabela10[[#This Row],[M² Da chapa]]</f>
        <v/>
      </c>
      <c r="K862" s="170">
        <f>Tabela10[[#This Row],[M² CHAPAS]]-Tabela10[[#This Row],[ERP]]</f>
        <v/>
      </c>
      <c r="L862" s="170">
        <f>Tabela10[[#This Row],[DIFERENÇA M²]]/Tabela10[[#This Row],[M² Da chapa]]</f>
        <v/>
      </c>
    </row>
    <row r="863">
      <c r="A863" s="6" t="n">
        <v>46189</v>
      </c>
      <c r="B863" s="8" t="inlineStr">
        <is>
          <t>N2605001</t>
        </is>
      </c>
      <c r="C863" s="168">
        <f>VLOOKUP(LEFT(B863,1),Tabela5[],2,0)</f>
        <v/>
      </c>
      <c r="D863" s="57" t="inlineStr">
        <is>
          <t>EUCADUR NT - 2,5MM</t>
        </is>
      </c>
      <c r="E863" s="169">
        <f>VLOOKUP(Tabela10[[#This Row],[Tipo de Chapa]],Tabela11[],2,FALSE)</f>
        <v/>
      </c>
      <c r="F863" s="151" t="n">
        <v>0</v>
      </c>
      <c r="G863" s="152" t="n">
        <v>0</v>
      </c>
      <c r="H863" s="170" t="n">
        <v>0</v>
      </c>
      <c r="J863" s="59">
        <f>Tabela10[[#This Row],[ERP]]/Tabela10[[#This Row],[M² Da chapa]]</f>
        <v/>
      </c>
      <c r="K863" s="170">
        <f>Tabela10[[#This Row],[M² CHAPAS]]-Tabela10[[#This Row],[ERP]]</f>
        <v/>
      </c>
      <c r="L863" s="170">
        <f>Tabela10[[#This Row],[DIFERENÇA M²]]/Tabela10[[#This Row],[M² Da chapa]]</f>
        <v/>
      </c>
    </row>
    <row r="864">
      <c r="A864" s="6" t="n">
        <v>46189</v>
      </c>
      <c r="B864" s="8" t="inlineStr">
        <is>
          <t>N26071</t>
        </is>
      </c>
      <c r="C864" s="168">
        <f>VLOOKUP(LEFT(B864,1),Tabela5[],2,0)</f>
        <v/>
      </c>
      <c r="D864" s="57" t="inlineStr">
        <is>
          <t>EUCADUR NT - 2,5MM</t>
        </is>
      </c>
      <c r="E864" s="169">
        <f>VLOOKUP(Tabela10[[#This Row],[Tipo de Chapa]],Tabela11[],2,FALSE)</f>
        <v/>
      </c>
      <c r="F864" s="151" t="n">
        <v>200</v>
      </c>
      <c r="G864" s="152" t="n">
        <v>0.0589</v>
      </c>
      <c r="H864" s="170">
        <f>Tabela10[[#This Row],[M² Da chapa]]*Tabela10[[#This Row],[Qtde Chapas
Liberadas]]</f>
        <v/>
      </c>
      <c r="J864" s="59">
        <f>Tabela10[[#This Row],[ERP]]/Tabela10[[#This Row],[M² Da chapa]]</f>
        <v/>
      </c>
      <c r="K864" s="170">
        <f>Tabela10[[#This Row],[M² CHAPAS]]-Tabela10[[#This Row],[ERP]]</f>
        <v/>
      </c>
      <c r="L864" s="170">
        <f>Tabela10[[#This Row],[DIFERENÇA M²]]/Tabela10[[#This Row],[M² Da chapa]]</f>
        <v/>
      </c>
    </row>
    <row r="865" hidden="1">
      <c r="A865" s="6" t="n">
        <v>46189</v>
      </c>
      <c r="B865" s="8" t="inlineStr">
        <is>
          <t>I26018</t>
        </is>
      </c>
      <c r="C865" s="168">
        <f>VLOOKUP(LEFT(B865,1),Tabela5[],2,0)</f>
        <v/>
      </c>
      <c r="D865" s="57" t="inlineStr">
        <is>
          <t>EUCADUR FRJ - 2,5MM</t>
        </is>
      </c>
      <c r="E865" s="169">
        <f>VLOOKUP(Tabela10[[#This Row],[Tipo de Chapa]],Tabela11[],2,FALSE)</f>
        <v/>
      </c>
      <c r="F865" s="151">
        <f>496-113</f>
        <v/>
      </c>
      <c r="G865" s="152" t="n">
        <v>0.0626</v>
      </c>
      <c r="H865" s="170">
        <f>Tabela10[[#This Row],[M² Da chapa]]*Tabela10[[#This Row],[Qtde Chapas
Liberadas]]</f>
        <v/>
      </c>
      <c r="J865" s="59">
        <f>Tabela10[[#This Row],[ERP]]/Tabela10[[#This Row],[M² Da chapa]]</f>
        <v/>
      </c>
      <c r="K865" s="170">
        <f>Tabela10[[#This Row],[M² CHAPAS]]-Tabela10[[#This Row],[ERP]]</f>
        <v/>
      </c>
      <c r="L865" s="170">
        <f>Tabela10[[#This Row],[DIFERENÇA M²]]/Tabela10[[#This Row],[M² Da chapa]]</f>
        <v/>
      </c>
    </row>
    <row r="866" hidden="1">
      <c r="A866" s="6" t="n">
        <v>46189</v>
      </c>
      <c r="B866" s="8" t="inlineStr">
        <is>
          <t>M26028</t>
        </is>
      </c>
      <c r="C866" s="168">
        <f>VLOOKUP(LEFT(B866,1),Tabela5[],2,0)</f>
        <v/>
      </c>
      <c r="D866" s="57" t="inlineStr">
        <is>
          <t>MDF - 15MM</t>
        </is>
      </c>
      <c r="E866" s="169">
        <f>VLOOKUP(Tabela10[[#This Row],[Tipo de Chapa]],Tabela11[],2,FALSE)</f>
        <v/>
      </c>
      <c r="F866" s="151" t="n">
        <v>1589</v>
      </c>
      <c r="G866" s="152" t="n">
        <v>0.0625</v>
      </c>
      <c r="H866" s="170">
        <f>Tabela10[[#This Row],[M² Da chapa]]*Tabela10[[#This Row],[Qtde Chapas
Liberadas]]</f>
        <v/>
      </c>
      <c r="J866" s="59">
        <f>Tabela10[[#This Row],[ERP]]/Tabela10[[#This Row],[M² Da chapa]]</f>
        <v/>
      </c>
      <c r="K866" s="170">
        <f>Tabela10[[#This Row],[M² CHAPAS]]-Tabela10[[#This Row],[ERP]]</f>
        <v/>
      </c>
      <c r="L866" s="170">
        <f>Tabela10[[#This Row],[DIFERENÇA M²]]/Tabela10[[#This Row],[M² Da chapa]]</f>
        <v/>
      </c>
    </row>
    <row r="867">
      <c r="A867" s="6" t="n">
        <v>46189</v>
      </c>
      <c r="B867" s="8" t="inlineStr">
        <is>
          <t>N2605701</t>
        </is>
      </c>
      <c r="C867" s="168">
        <f>VLOOKUP(LEFT(B867,1),Tabela5[],2,0)</f>
        <v/>
      </c>
      <c r="D867" s="57" t="inlineStr">
        <is>
          <t>MDF - 15MM</t>
        </is>
      </c>
      <c r="E867" s="169">
        <f>VLOOKUP(Tabela10[[#This Row],[Tipo de Chapa]],Tabela11[],2,FALSE)</f>
        <v/>
      </c>
      <c r="F867" s="151" t="n">
        <v>305</v>
      </c>
      <c r="G867" s="152" t="n">
        <v>0.0499</v>
      </c>
      <c r="H867" s="170">
        <f>Tabela10[[#This Row],[M² Da chapa]]*Tabela10[[#This Row],[Qtde Chapas
Liberadas]]</f>
        <v/>
      </c>
      <c r="J867" s="59">
        <f>Tabela10[[#This Row],[ERP]]/Tabela10[[#This Row],[M² Da chapa]]</f>
        <v/>
      </c>
      <c r="K867" s="170">
        <f>Tabela10[[#This Row],[M² CHAPAS]]-Tabela10[[#This Row],[ERP]]</f>
        <v/>
      </c>
      <c r="L867" s="170">
        <f>Tabela10[[#This Row],[DIFERENÇA M²]]/Tabela10[[#This Row],[M² Da chapa]]</f>
        <v/>
      </c>
    </row>
    <row r="868">
      <c r="A868" s="6" t="n">
        <v>46189</v>
      </c>
      <c r="B868" s="8" t="inlineStr">
        <is>
          <t>N2606101 | N2606103</t>
        </is>
      </c>
      <c r="C868" s="168">
        <f>VLOOKUP(LEFT(B868,1),Tabela5[],2,0)</f>
        <v/>
      </c>
      <c r="D868" s="57" t="inlineStr">
        <is>
          <t>MDF - 15MM</t>
        </is>
      </c>
      <c r="E868" s="169">
        <f>VLOOKUP(Tabela10[[#This Row],[Tipo de Chapa]],Tabela11[],2,FALSE)</f>
        <v/>
      </c>
      <c r="F868" s="151" t="n">
        <v>108</v>
      </c>
      <c r="G868" s="152" t="n">
        <v>0.0527</v>
      </c>
      <c r="H868" s="170">
        <f>Tabela10[[#This Row],[M² Da chapa]]*Tabela10[[#This Row],[Qtde Chapas
Liberadas]]</f>
        <v/>
      </c>
      <c r="J868" s="59">
        <f>Tabela10[[#This Row],[ERP]]/Tabela10[[#This Row],[M² Da chapa]]</f>
        <v/>
      </c>
      <c r="K868" s="170">
        <f>Tabela10[[#This Row],[M² CHAPAS]]-Tabela10[[#This Row],[ERP]]</f>
        <v/>
      </c>
      <c r="L868" s="170">
        <f>Tabela10[[#This Row],[DIFERENÇA M²]]/Tabela10[[#This Row],[M² Da chapa]]</f>
        <v/>
      </c>
    </row>
    <row r="869">
      <c r="A869" s="6" t="n">
        <v>46190</v>
      </c>
      <c r="B869" s="8" t="inlineStr">
        <is>
          <t>N2606101 | N2606103</t>
        </is>
      </c>
      <c r="C869" s="168">
        <f>VLOOKUP(LEFT(B869,1),Tabela5[],2,0)</f>
        <v/>
      </c>
      <c r="D869" s="57" t="inlineStr">
        <is>
          <t>EUCADUR FRJ - 2,5MM</t>
        </is>
      </c>
      <c r="E869" s="169">
        <f>VLOOKUP(Tabela10[[#This Row],[Tipo de Chapa]],Tabela11[],2,FALSE)</f>
        <v/>
      </c>
      <c r="F869" s="151" t="n">
        <v>140</v>
      </c>
      <c r="G869" s="152" t="n">
        <v>0.0663</v>
      </c>
      <c r="H869" s="170">
        <f>Tabela10[[#This Row],[M² Da chapa]]*Tabela10[[#This Row],[Qtde Chapas
Liberadas]]</f>
        <v/>
      </c>
      <c r="J869" s="59">
        <f>Tabela10[[#This Row],[ERP]]/Tabela10[[#This Row],[M² Da chapa]]</f>
        <v/>
      </c>
      <c r="K869" s="170">
        <f>Tabela10[[#This Row],[M² CHAPAS]]-Tabela10[[#This Row],[ERP]]</f>
        <v/>
      </c>
      <c r="L869" s="170">
        <f>Tabela10[[#This Row],[DIFERENÇA M²]]/Tabela10[[#This Row],[M² Da chapa]]</f>
        <v/>
      </c>
    </row>
    <row r="870" hidden="1">
      <c r="A870" s="6" t="n">
        <v>46190</v>
      </c>
      <c r="B870" s="8" t="inlineStr">
        <is>
          <t>M26028</t>
        </is>
      </c>
      <c r="C870" s="168">
        <f>VLOOKUP(LEFT(B870,1),Tabela5[],2,0)</f>
        <v/>
      </c>
      <c r="D870" s="57" t="inlineStr">
        <is>
          <t>MDF - 9MM</t>
        </is>
      </c>
      <c r="E870" s="169">
        <f>VLOOKUP(Tabela10[[#This Row],[Tipo de Chapa]],Tabela11[],2,FALSE)</f>
        <v/>
      </c>
      <c r="F870" s="151" t="n">
        <v>75</v>
      </c>
      <c r="G870" s="152" t="n">
        <v>0.0318</v>
      </c>
      <c r="H870" s="170">
        <f>Tabela10[[#This Row],[M² Da chapa]]*Tabela10[[#This Row],[Qtde Chapas
Liberadas]]</f>
        <v/>
      </c>
      <c r="J870" s="59">
        <f>Tabela10[[#This Row],[ERP]]/Tabela10[[#This Row],[M² Da chapa]]</f>
        <v/>
      </c>
      <c r="K870" s="170">
        <f>Tabela10[[#This Row],[M² CHAPAS]]-Tabela10[[#This Row],[ERP]]</f>
        <v/>
      </c>
      <c r="L870" s="170">
        <f>Tabela10[[#This Row],[DIFERENÇA M²]]/Tabela10[[#This Row],[M² Da chapa]]</f>
        <v/>
      </c>
    </row>
    <row r="871" hidden="1">
      <c r="A871" s="6" t="n">
        <v>46190</v>
      </c>
      <c r="B871" s="8" t="inlineStr">
        <is>
          <t>I26019</t>
        </is>
      </c>
      <c r="C871" s="168">
        <f>VLOOKUP(LEFT(B871,1),Tabela5[],2,0)</f>
        <v/>
      </c>
      <c r="D871" s="57" t="inlineStr">
        <is>
          <t>MDF - 9MM</t>
        </is>
      </c>
      <c r="E871" s="169">
        <f>VLOOKUP(Tabela10[[#This Row],[Tipo de Chapa]],Tabela11[],2,FALSE)</f>
        <v/>
      </c>
      <c r="F871" s="151" t="n">
        <v>117</v>
      </c>
      <c r="G871" s="152" t="n">
        <v>0.0449</v>
      </c>
      <c r="H871" s="170">
        <f>Tabela10[[#This Row],[M² Da chapa]]*Tabela10[[#This Row],[Qtde Chapas
Liberadas]]</f>
        <v/>
      </c>
      <c r="J871" s="59">
        <f>Tabela10[[#This Row],[ERP]]/Tabela10[[#This Row],[M² Da chapa]]</f>
        <v/>
      </c>
      <c r="K871" s="170">
        <f>Tabela10[[#This Row],[M² CHAPAS]]-Tabela10[[#This Row],[ERP]]</f>
        <v/>
      </c>
      <c r="L871" s="170">
        <f>Tabela10[[#This Row],[DIFERENÇA M²]]/Tabela10[[#This Row],[M² Da chapa]]</f>
        <v/>
      </c>
    </row>
    <row r="872">
      <c r="A872" s="6" t="n">
        <v>46190</v>
      </c>
      <c r="B872" s="8" t="inlineStr">
        <is>
          <t>N2606102 | N2606104</t>
        </is>
      </c>
      <c r="C872" s="168">
        <f>VLOOKUP(LEFT(B872,1),Tabela5[],2,0)</f>
        <v/>
      </c>
      <c r="D872" s="57" t="inlineStr">
        <is>
          <t>MDF - 15MM</t>
        </is>
      </c>
      <c r="E872" s="169">
        <f>VLOOKUP(Tabela10[[#This Row],[Tipo de Chapa]],Tabela11[],2,FALSE)</f>
        <v/>
      </c>
      <c r="F872" s="151" t="n">
        <v>172</v>
      </c>
      <c r="G872" s="152" t="n">
        <v>0.06</v>
      </c>
      <c r="H872" s="170">
        <f>Tabela10[[#This Row],[M² Da chapa]]*Tabela10[[#This Row],[Qtde Chapas
Liberadas]]</f>
        <v/>
      </c>
      <c r="J872" s="59">
        <f>Tabela10[[#This Row],[ERP]]/Tabela10[[#This Row],[M² Da chapa]]</f>
        <v/>
      </c>
      <c r="K872" s="170">
        <f>Tabela10[[#This Row],[M² CHAPAS]]-Tabela10[[#This Row],[ERP]]</f>
        <v/>
      </c>
      <c r="L872" s="170">
        <f>Tabela10[[#This Row],[DIFERENÇA M²]]/Tabela10[[#This Row],[M² Da chapa]]</f>
        <v/>
      </c>
    </row>
    <row r="873" hidden="1">
      <c r="A873" s="6" t="n">
        <v>46191</v>
      </c>
      <c r="B873" s="8" t="inlineStr">
        <is>
          <t>V-U26007</t>
        </is>
      </c>
      <c r="C873" s="168">
        <f>VLOOKUP(LEFT(B873,1),Tabela5[],2,0)</f>
        <v/>
      </c>
      <c r="D873" s="57" t="inlineStr">
        <is>
          <t>CAPA MDF - 15MM</t>
        </is>
      </c>
      <c r="E873" s="169">
        <f>VLOOKUP(Tabela10[[#This Row],[Tipo de Chapa]],Tabela11[],2,FALSE)</f>
        <v/>
      </c>
      <c r="F873" s="151" t="n">
        <v>19</v>
      </c>
      <c r="G873" s="152" t="n">
        <v>0.0759</v>
      </c>
      <c r="H873" s="170">
        <f>Tabela10[[#This Row],[M² Da chapa]]*Tabela10[[#This Row],[Qtde Chapas
Liberadas]]</f>
        <v/>
      </c>
      <c r="J873" s="59">
        <f>Tabela10[[#This Row],[ERP]]/Tabela10[[#This Row],[M² Da chapa]]</f>
        <v/>
      </c>
      <c r="K873" s="170">
        <f>Tabela10[[#This Row],[M² CHAPAS]]-Tabela10[[#This Row],[ERP]]</f>
        <v/>
      </c>
      <c r="L873" s="170">
        <f>Tabela10[[#This Row],[DIFERENÇA M²]]/Tabela10[[#This Row],[M² Da chapa]]</f>
        <v/>
      </c>
    </row>
    <row r="874" hidden="1">
      <c r="A874" s="6" t="n">
        <v>46191</v>
      </c>
      <c r="B874" s="8" t="inlineStr">
        <is>
          <t>V-U26007</t>
        </is>
      </c>
      <c r="C874" s="168">
        <f>VLOOKUP(LEFT(B874,1),Tabela5[],2,0)</f>
        <v/>
      </c>
      <c r="D874" s="57" t="inlineStr">
        <is>
          <t>MDF - 25MM 2750x2200</t>
        </is>
      </c>
      <c r="E874" s="169">
        <f>VLOOKUP(Tabela10[[#This Row],[Tipo de Chapa]],Tabela11[],2,FALSE)</f>
        <v/>
      </c>
      <c r="F874" s="151" t="n">
        <v>34</v>
      </c>
      <c r="G874" s="152" t="n">
        <v>0.0533</v>
      </c>
      <c r="H874" s="170">
        <f>Tabela10[[#This Row],[M² Da chapa]]*Tabela10[[#This Row],[Qtde Chapas
Liberadas]]</f>
        <v/>
      </c>
      <c r="J874" s="59">
        <f>Tabela10[[#This Row],[ERP]]/Tabela10[[#This Row],[M² Da chapa]]</f>
        <v/>
      </c>
      <c r="K874" s="170">
        <f>Tabela10[[#This Row],[M² CHAPAS]]-Tabela10[[#This Row],[ERP]]</f>
        <v/>
      </c>
      <c r="L874" s="170">
        <f>Tabela10[[#This Row],[DIFERENÇA M²]]/Tabela10[[#This Row],[M² Da chapa]]</f>
        <v/>
      </c>
    </row>
    <row r="875" hidden="1">
      <c r="A875" s="6" t="n">
        <v>46191</v>
      </c>
      <c r="B875" s="8" t="inlineStr">
        <is>
          <t>V-U26007</t>
        </is>
      </c>
      <c r="C875" s="168">
        <f>VLOOKUP(LEFT(B875,1),Tabela5[],2,0)</f>
        <v/>
      </c>
      <c r="D875" s="57" t="inlineStr">
        <is>
          <t>CAPA DURATREE -2,5MM</t>
        </is>
      </c>
      <c r="E875" s="169">
        <f>VLOOKUP(Tabela10[[#This Row],[Tipo de Chapa]],Tabela11[],2,FALSE)</f>
        <v/>
      </c>
      <c r="F875" s="151" t="n">
        <v>15</v>
      </c>
      <c r="G875" s="152" t="n">
        <v>0.08699999999999999</v>
      </c>
      <c r="H875" s="170">
        <f>Tabela10[[#This Row],[M² Da chapa]]*Tabela10[[#This Row],[Qtde Chapas
Liberadas]]</f>
        <v/>
      </c>
      <c r="J875" s="59">
        <f>Tabela10[[#This Row],[ERP]]/Tabela10[[#This Row],[M² Da chapa]]</f>
        <v/>
      </c>
      <c r="K875" s="170">
        <f>Tabela10[[#This Row],[M² CHAPAS]]-Tabela10[[#This Row],[ERP]]</f>
        <v/>
      </c>
      <c r="L875" s="170">
        <f>Tabela10[[#This Row],[DIFERENÇA M²]]/Tabela10[[#This Row],[M² Da chapa]]</f>
        <v/>
      </c>
    </row>
    <row r="876" hidden="1">
      <c r="A876" s="6" t="n">
        <v>46191</v>
      </c>
      <c r="B876" s="8" t="inlineStr">
        <is>
          <t>V-U26008</t>
        </is>
      </c>
      <c r="C876" s="168">
        <f>VLOOKUP(LEFT(B876,1),Tabela5[],2,0)</f>
        <v/>
      </c>
      <c r="D876" s="57" t="inlineStr">
        <is>
          <t>CAPA MDF - 15MM</t>
        </is>
      </c>
      <c r="E876" s="169">
        <f>VLOOKUP(Tabela10[[#This Row],[Tipo de Chapa]],Tabela11[],2,FALSE)</f>
        <v/>
      </c>
      <c r="F876" s="151" t="n">
        <v>18</v>
      </c>
      <c r="G876" s="152" t="n">
        <v>0.0751</v>
      </c>
      <c r="H876" s="170">
        <f>Tabela10[[#This Row],[M² Da chapa]]*Tabela10[[#This Row],[Qtde Chapas
Liberadas]]</f>
        <v/>
      </c>
      <c r="J876" s="59">
        <f>Tabela10[[#This Row],[ERP]]/Tabela10[[#This Row],[M² Da chapa]]</f>
        <v/>
      </c>
      <c r="K876" s="170">
        <f>Tabela10[[#This Row],[M² CHAPAS]]-Tabela10[[#This Row],[ERP]]</f>
        <v/>
      </c>
      <c r="L876" s="170">
        <f>Tabela10[[#This Row],[DIFERENÇA M²]]/Tabela10[[#This Row],[M² Da chapa]]</f>
        <v/>
      </c>
    </row>
    <row r="877" hidden="1">
      <c r="A877" s="6" t="n">
        <v>46191</v>
      </c>
      <c r="B877" s="8" t="inlineStr">
        <is>
          <t>V-U26008</t>
        </is>
      </c>
      <c r="C877" s="168">
        <f>VLOOKUP(LEFT(B877,1),Tabela5[],2,0)</f>
        <v/>
      </c>
      <c r="D877" s="57" t="inlineStr">
        <is>
          <t>MDF - 25MM 2750x2200</t>
        </is>
      </c>
      <c r="E877" s="169">
        <f>VLOOKUP(Tabela10[[#This Row],[Tipo de Chapa]],Tabela11[],2,FALSE)</f>
        <v/>
      </c>
      <c r="F877" s="151" t="n">
        <v>33</v>
      </c>
      <c r="G877" s="152" t="n">
        <v>0.0533</v>
      </c>
      <c r="H877" s="170">
        <f>Tabela10[[#This Row],[M² Da chapa]]*Tabela10[[#This Row],[Qtde Chapas
Liberadas]]</f>
        <v/>
      </c>
      <c r="J877" s="59">
        <f>Tabela10[[#This Row],[ERP]]/Tabela10[[#This Row],[M² Da chapa]]</f>
        <v/>
      </c>
      <c r="K877" s="170">
        <f>Tabela10[[#This Row],[M² CHAPAS]]-Tabela10[[#This Row],[ERP]]</f>
        <v/>
      </c>
      <c r="L877" s="170">
        <f>Tabela10[[#This Row],[DIFERENÇA M²]]/Tabela10[[#This Row],[M² Da chapa]]</f>
        <v/>
      </c>
    </row>
    <row r="878" hidden="1">
      <c r="A878" s="6" t="n">
        <v>46191</v>
      </c>
      <c r="B878" s="8" t="inlineStr">
        <is>
          <t>V-U26008</t>
        </is>
      </c>
      <c r="C878" s="168">
        <f>VLOOKUP(LEFT(B878,1),Tabela5[],2,0)</f>
        <v/>
      </c>
      <c r="D878" s="57" t="inlineStr">
        <is>
          <t>CAPA DURATREE -2,5MM</t>
        </is>
      </c>
      <c r="E878" s="169">
        <f>VLOOKUP(Tabela10[[#This Row],[Tipo de Chapa]],Tabela11[],2,FALSE)</f>
        <v/>
      </c>
      <c r="F878" s="151" t="n">
        <v>15</v>
      </c>
      <c r="G878" s="152" t="n">
        <v>0.08699999999999999</v>
      </c>
      <c r="H878" s="170">
        <f>Tabela10[[#This Row],[M² Da chapa]]*Tabela10[[#This Row],[Qtde Chapas
Liberadas]]</f>
        <v/>
      </c>
      <c r="J878" s="59">
        <f>Tabela10[[#This Row],[ERP]]/Tabela10[[#This Row],[M² Da chapa]]</f>
        <v/>
      </c>
      <c r="K878" s="170">
        <f>Tabela10[[#This Row],[M² CHAPAS]]-Tabela10[[#This Row],[ERP]]</f>
        <v/>
      </c>
      <c r="L878" s="170">
        <f>Tabela10[[#This Row],[DIFERENÇA M²]]/Tabela10[[#This Row],[M² Da chapa]]</f>
        <v/>
      </c>
    </row>
    <row r="879" hidden="1">
      <c r="A879" s="6" t="n">
        <v>46191</v>
      </c>
      <c r="B879" s="8" t="inlineStr">
        <is>
          <t>V-U26009</t>
        </is>
      </c>
      <c r="C879" s="168">
        <f>VLOOKUP(LEFT(B879,1),Tabela5[],2,0)</f>
        <v/>
      </c>
      <c r="D879" s="57" t="inlineStr">
        <is>
          <t>CAPA MDF - 15MM</t>
        </is>
      </c>
      <c r="E879" s="169">
        <f>VLOOKUP(Tabela10[[#This Row],[Tipo de Chapa]],Tabela11[],2,FALSE)</f>
        <v/>
      </c>
      <c r="F879" s="151" t="n">
        <v>18</v>
      </c>
      <c r="G879" s="152" t="n">
        <v>0.1067</v>
      </c>
      <c r="H879" s="170">
        <f>Tabela10[[#This Row],[M² Da chapa]]*Tabela10[[#This Row],[Qtde Chapas
Liberadas]]</f>
        <v/>
      </c>
      <c r="J879" s="59">
        <f>Tabela10[[#This Row],[ERP]]/Tabela10[[#This Row],[M² Da chapa]]</f>
        <v/>
      </c>
      <c r="K879" s="170">
        <f>Tabela10[[#This Row],[M² CHAPAS]]-Tabela10[[#This Row],[ERP]]</f>
        <v/>
      </c>
      <c r="L879" s="170">
        <f>Tabela10[[#This Row],[DIFERENÇA M²]]/Tabela10[[#This Row],[M² Da chapa]]</f>
        <v/>
      </c>
    </row>
    <row r="880" hidden="1">
      <c r="A880" s="6" t="n">
        <v>46191</v>
      </c>
      <c r="B880" s="8" t="inlineStr">
        <is>
          <t>V-U26009</t>
        </is>
      </c>
      <c r="C880" s="168">
        <f>VLOOKUP(LEFT(B880,1),Tabela5[],2,0)</f>
        <v/>
      </c>
      <c r="D880" s="57" t="inlineStr">
        <is>
          <t>MDF - 25MM 2750x2100</t>
        </is>
      </c>
      <c r="E880" s="169">
        <f>VLOOKUP(Tabela10[[#This Row],[Tipo de Chapa]],Tabela11[],2,FALSE)</f>
        <v/>
      </c>
      <c r="F880" s="151" t="n">
        <v>27</v>
      </c>
      <c r="G880" s="152" t="n">
        <v>0.0325</v>
      </c>
      <c r="H880" s="170">
        <f>Tabela10[[#This Row],[M² Da chapa]]*Tabela10[[#This Row],[Qtde Chapas
Liberadas]]</f>
        <v/>
      </c>
      <c r="J880" s="59">
        <f>Tabela10[[#This Row],[ERP]]/Tabela10[[#This Row],[M² Da chapa]]</f>
        <v/>
      </c>
      <c r="K880" s="170">
        <f>Tabela10[[#This Row],[M² CHAPAS]]-Tabela10[[#This Row],[ERP]]</f>
        <v/>
      </c>
      <c r="L880" s="170">
        <f>Tabela10[[#This Row],[DIFERENÇA M²]]/Tabela10[[#This Row],[M² Da chapa]]</f>
        <v/>
      </c>
    </row>
    <row r="881" hidden="1">
      <c r="A881" s="6" t="n">
        <v>46191</v>
      </c>
      <c r="B881" s="8" t="inlineStr">
        <is>
          <t>V-U26010</t>
        </is>
      </c>
      <c r="C881" s="168">
        <f>VLOOKUP(LEFT(B881,1),Tabela5[],2,0)</f>
        <v/>
      </c>
      <c r="D881" s="57" t="inlineStr">
        <is>
          <t>CAPA MDF - 15MM</t>
        </is>
      </c>
      <c r="E881" s="169">
        <f>VLOOKUP(Tabela10[[#This Row],[Tipo de Chapa]],Tabela11[],2,FALSE)</f>
        <v/>
      </c>
      <c r="F881" s="151" t="n">
        <v>18</v>
      </c>
      <c r="G881" s="152" t="n">
        <v>0.1067</v>
      </c>
      <c r="H881" s="170">
        <f>Tabela10[[#This Row],[M² Da chapa]]*Tabela10[[#This Row],[Qtde Chapas
Liberadas]]</f>
        <v/>
      </c>
      <c r="J881" s="59">
        <f>Tabela10[[#This Row],[ERP]]/Tabela10[[#This Row],[M² Da chapa]]</f>
        <v/>
      </c>
      <c r="K881" s="170">
        <f>Tabela10[[#This Row],[M² CHAPAS]]-Tabela10[[#This Row],[ERP]]</f>
        <v/>
      </c>
      <c r="L881" s="170">
        <f>Tabela10[[#This Row],[DIFERENÇA M²]]/Tabela10[[#This Row],[M² Da chapa]]</f>
        <v/>
      </c>
    </row>
    <row r="882" hidden="1">
      <c r="A882" s="6" t="n">
        <v>46191</v>
      </c>
      <c r="B882" s="8" t="inlineStr">
        <is>
          <t>V-U26010</t>
        </is>
      </c>
      <c r="C882" s="168">
        <f>VLOOKUP(LEFT(B882,1),Tabela5[],2,0)</f>
        <v/>
      </c>
      <c r="D882" s="57" t="inlineStr">
        <is>
          <t>MDF - 25MM 2750x2100</t>
        </is>
      </c>
      <c r="E882" s="169">
        <f>VLOOKUP(Tabela10[[#This Row],[Tipo de Chapa]],Tabela11[],2,FALSE)</f>
        <v/>
      </c>
      <c r="F882" s="151" t="n">
        <v>27</v>
      </c>
      <c r="G882" s="152" t="n">
        <v>0.0325</v>
      </c>
      <c r="H882" s="170">
        <f>Tabela10[[#This Row],[M² Da chapa]]*Tabela10[[#This Row],[Qtde Chapas
Liberadas]]</f>
        <v/>
      </c>
      <c r="J882" s="59">
        <f>Tabela10[[#This Row],[ERP]]/Tabela10[[#This Row],[M² Da chapa]]</f>
        <v/>
      </c>
      <c r="K882" s="170">
        <f>Tabela10[[#This Row],[M² CHAPAS]]-Tabela10[[#This Row],[ERP]]</f>
        <v/>
      </c>
      <c r="L882" s="170">
        <f>Tabela10[[#This Row],[DIFERENÇA M²]]/Tabela10[[#This Row],[M² Da chapa]]</f>
        <v/>
      </c>
    </row>
    <row r="883" hidden="1">
      <c r="A883" s="6" t="n">
        <v>46191</v>
      </c>
      <c r="B883" s="8" t="inlineStr">
        <is>
          <t>V-U26011</t>
        </is>
      </c>
      <c r="C883" s="168">
        <f>VLOOKUP(LEFT(B883,1),Tabela5[],2,0)</f>
        <v/>
      </c>
      <c r="D883" s="57" t="inlineStr">
        <is>
          <t>CAPA MDF - 15MM</t>
        </is>
      </c>
      <c r="E883" s="169">
        <f>VLOOKUP(Tabela10[[#This Row],[Tipo de Chapa]],Tabela11[],2,FALSE)</f>
        <v/>
      </c>
      <c r="F883" s="151" t="n">
        <v>18</v>
      </c>
      <c r="G883" s="152" t="n">
        <v>0.1067</v>
      </c>
      <c r="H883" s="170">
        <f>Tabela10[[#This Row],[M² Da chapa]]*Tabela10[[#This Row],[Qtde Chapas
Liberadas]]</f>
        <v/>
      </c>
      <c r="J883" s="59">
        <f>Tabela10[[#This Row],[ERP]]/Tabela10[[#This Row],[M² Da chapa]]</f>
        <v/>
      </c>
      <c r="K883" s="170">
        <f>Tabela10[[#This Row],[M² CHAPAS]]-Tabela10[[#This Row],[ERP]]</f>
        <v/>
      </c>
      <c r="L883" s="170">
        <f>Tabela10[[#This Row],[DIFERENÇA M²]]/Tabela10[[#This Row],[M² Da chapa]]</f>
        <v/>
      </c>
    </row>
    <row r="884" hidden="1">
      <c r="A884" s="6" t="n">
        <v>46191</v>
      </c>
      <c r="B884" s="8" t="inlineStr">
        <is>
          <t>V-U26011</t>
        </is>
      </c>
      <c r="C884" s="168">
        <f>VLOOKUP(LEFT(B884,1),Tabela5[],2,0)</f>
        <v/>
      </c>
      <c r="D884" s="57" t="inlineStr">
        <is>
          <t>MDF - 25MM 2750x2100</t>
        </is>
      </c>
      <c r="E884" s="169">
        <f>VLOOKUP(Tabela10[[#This Row],[Tipo de Chapa]],Tabela11[],2,FALSE)</f>
        <v/>
      </c>
      <c r="F884" s="151" t="n">
        <v>26</v>
      </c>
      <c r="G884" s="152" t="n">
        <v>0.0325</v>
      </c>
      <c r="H884" s="170">
        <f>Tabela10[[#This Row],[M² Da chapa]]*Tabela10[[#This Row],[Qtde Chapas
Liberadas]]</f>
        <v/>
      </c>
      <c r="J884" s="59">
        <f>Tabela10[[#This Row],[ERP]]/Tabela10[[#This Row],[M² Da chapa]]</f>
        <v/>
      </c>
      <c r="K884" s="170">
        <f>Tabela10[[#This Row],[M² CHAPAS]]-Tabela10[[#This Row],[ERP]]</f>
        <v/>
      </c>
      <c r="L884" s="170">
        <f>Tabela10[[#This Row],[DIFERENÇA M²]]/Tabela10[[#This Row],[M² Da chapa]]</f>
        <v/>
      </c>
    </row>
    <row r="885">
      <c r="A885" s="6" t="n">
        <v>46191</v>
      </c>
      <c r="B885" s="8" t="inlineStr">
        <is>
          <t>N26071</t>
        </is>
      </c>
      <c r="C885" s="168">
        <f>VLOOKUP(LEFT(B885,1),Tabela5[],2,0)</f>
        <v/>
      </c>
      <c r="D885" s="57" t="inlineStr">
        <is>
          <t>MDF - 15MM</t>
        </is>
      </c>
      <c r="E885" s="169">
        <f>VLOOKUP(Tabela10[[#This Row],[Tipo de Chapa]],Tabela11[],2,FALSE)</f>
        <v/>
      </c>
      <c r="F885" s="151" t="n">
        <v>510</v>
      </c>
      <c r="G885" s="152" t="n">
        <v>0.053</v>
      </c>
      <c r="H885" s="170">
        <f>Tabela10[[#This Row],[M² Da chapa]]*Tabela10[[#This Row],[Qtde Chapas
Liberadas]]</f>
        <v/>
      </c>
      <c r="J885" s="59">
        <f>Tabela10[[#This Row],[ERP]]/Tabela10[[#This Row],[M² Da chapa]]</f>
        <v/>
      </c>
      <c r="K885" s="170">
        <f>Tabela10[[#This Row],[M² CHAPAS]]-Tabela10[[#This Row],[ERP]]</f>
        <v/>
      </c>
      <c r="L885" s="170">
        <f>Tabela10[[#This Row],[DIFERENÇA M²]]/Tabela10[[#This Row],[M² Da chapa]]</f>
        <v/>
      </c>
    </row>
    <row r="886">
      <c r="A886" s="6" t="n">
        <v>46191</v>
      </c>
      <c r="B886" s="8" t="inlineStr">
        <is>
          <t>N26059</t>
        </is>
      </c>
      <c r="C886" s="168">
        <f>VLOOKUP(LEFT(B886,1),Tabela5[],2,0)</f>
        <v/>
      </c>
      <c r="D886" s="57" t="inlineStr">
        <is>
          <t>EUCADUR FRJ - 2,5MM</t>
        </is>
      </c>
      <c r="E886" s="169">
        <f>VLOOKUP(Tabela10[[#This Row],[Tipo de Chapa]],Tabela11[],2,FALSE)</f>
        <v/>
      </c>
      <c r="F886" s="151" t="n">
        <v>268</v>
      </c>
      <c r="G886" s="152" t="n">
        <v>0.0689</v>
      </c>
      <c r="H886" s="170">
        <f>Tabela10[[#This Row],[M² Da chapa]]*Tabela10[[#This Row],[Qtde Chapas
Liberadas]]</f>
        <v/>
      </c>
      <c r="J886" s="59">
        <f>Tabela10[[#This Row],[ERP]]/Tabela10[[#This Row],[M² Da chapa]]</f>
        <v/>
      </c>
      <c r="K886" s="170">
        <f>Tabela10[[#This Row],[M² CHAPAS]]-Tabela10[[#This Row],[ERP]]</f>
        <v/>
      </c>
      <c r="L886" s="170">
        <f>Tabela10[[#This Row],[DIFERENÇA M²]]/Tabela10[[#This Row],[M² Da chapa]]</f>
        <v/>
      </c>
    </row>
    <row r="887" hidden="1">
      <c r="A887" s="6" t="n">
        <v>46191</v>
      </c>
      <c r="B887" s="8" t="inlineStr">
        <is>
          <t>M26028</t>
        </is>
      </c>
      <c r="C887" s="168">
        <f>VLOOKUP(LEFT(B887,1),Tabela5[],2,0)</f>
        <v/>
      </c>
      <c r="D887" s="57" t="inlineStr">
        <is>
          <t>EUCADUR NT - 2,5MM</t>
        </is>
      </c>
      <c r="E887" s="169">
        <f>VLOOKUP(Tabela10[[#This Row],[Tipo de Chapa]],Tabela11[],2,FALSE)</f>
        <v/>
      </c>
      <c r="F887" s="151" t="n">
        <v>557</v>
      </c>
      <c r="G887" s="152" t="n">
        <v>0.0614</v>
      </c>
      <c r="H887" s="170">
        <f>Tabela10[[#This Row],[M² Da chapa]]*Tabela10[[#This Row],[Qtde Chapas
Liberadas]]</f>
        <v/>
      </c>
      <c r="J887" s="59">
        <f>Tabela10[[#This Row],[ERP]]/Tabela10[[#This Row],[M² Da chapa]]</f>
        <v/>
      </c>
      <c r="K887" s="170">
        <f>Tabela10[[#This Row],[M² CHAPAS]]-Tabela10[[#This Row],[ERP]]</f>
        <v/>
      </c>
      <c r="L887" s="170">
        <f>Tabela10[[#This Row],[DIFERENÇA M²]]/Tabela10[[#This Row],[M² Da chapa]]</f>
        <v/>
      </c>
    </row>
    <row r="888">
      <c r="A888" s="6" t="n">
        <v>46191</v>
      </c>
      <c r="B888" s="8" t="inlineStr">
        <is>
          <t>N2605502 | N2605503</t>
        </is>
      </c>
      <c r="C888" s="168">
        <f>VLOOKUP(LEFT(B888,1),Tabela5[],2,0)</f>
        <v/>
      </c>
      <c r="D888" s="57" t="inlineStr">
        <is>
          <t>MDF - 25MM 2750X450 - SOBRAS</t>
        </is>
      </c>
      <c r="E888" s="169">
        <f>VLOOKUP(Tabela10[[#This Row],[Tipo de Chapa]],Tabela11[],2,FALSE)</f>
        <v/>
      </c>
      <c r="F888" s="151" t="n">
        <v>200</v>
      </c>
      <c r="G888" s="152" t="n">
        <v>0.0309</v>
      </c>
      <c r="H888" s="170">
        <f>Tabela10[[#This Row],[M² Da chapa]]*Tabela10[[#This Row],[Qtde Chapas
Liberadas]]</f>
        <v/>
      </c>
      <c r="J888" s="59">
        <f>Tabela10[[#This Row],[ERP]]/Tabela10[[#This Row],[M² Da chapa]]</f>
        <v/>
      </c>
      <c r="K888" s="170">
        <f>Tabela10[[#This Row],[M² CHAPAS]]-Tabela10[[#This Row],[ERP]]</f>
        <v/>
      </c>
      <c r="L888" s="170">
        <f>Tabela10[[#This Row],[DIFERENÇA M²]]/Tabela10[[#This Row],[M² Da chapa]]</f>
        <v/>
      </c>
    </row>
    <row r="889">
      <c r="A889" s="6" t="n">
        <v>46191</v>
      </c>
      <c r="B889" s="8" t="inlineStr">
        <is>
          <t>N2605502 | N2605503</t>
        </is>
      </c>
      <c r="C889" s="168">
        <f>VLOOKUP(LEFT(B889,1),Tabela5[],2,0)</f>
        <v/>
      </c>
      <c r="D889" s="57" t="inlineStr">
        <is>
          <t>MDF - 25MM 2750x2200</t>
        </is>
      </c>
      <c r="E889" s="169">
        <f>VLOOKUP(Tabela10[[#This Row],[Tipo de Chapa]],Tabela11[],2,FALSE)</f>
        <v/>
      </c>
      <c r="F889" s="151" t="n">
        <v>32</v>
      </c>
      <c r="G889" s="152" t="n">
        <v>0.0678</v>
      </c>
      <c r="H889" s="170">
        <f>Tabela10[[#This Row],[M² Da chapa]]*Tabela10[[#This Row],[Qtde Chapas
Liberadas]]</f>
        <v/>
      </c>
      <c r="J889" s="59">
        <f>Tabela10[[#This Row],[ERP]]/Tabela10[[#This Row],[M² Da chapa]]</f>
        <v/>
      </c>
      <c r="K889" s="170">
        <f>Tabela10[[#This Row],[M² CHAPAS]]-Tabela10[[#This Row],[ERP]]</f>
        <v/>
      </c>
      <c r="L889" s="170">
        <f>Tabela10[[#This Row],[DIFERENÇA M²]]/Tabela10[[#This Row],[M² Da chapa]]</f>
        <v/>
      </c>
    </row>
    <row r="890">
      <c r="A890" s="6" t="n">
        <v>46191</v>
      </c>
      <c r="B890" s="8" t="inlineStr">
        <is>
          <t>N2607103</t>
        </is>
      </c>
      <c r="C890" s="168">
        <f>VLOOKUP(LEFT(B890,1),Tabela5[],2,0)</f>
        <v/>
      </c>
      <c r="D890" s="57" t="inlineStr">
        <is>
          <t>MDF - 25MM 2750x2200</t>
        </is>
      </c>
      <c r="E890" s="169">
        <f>VLOOKUP(Tabela10[[#This Row],[Tipo de Chapa]],Tabela11[],2,FALSE)</f>
        <v/>
      </c>
      <c r="F890" s="151" t="n">
        <v>0</v>
      </c>
      <c r="G890" s="152" t="n">
        <v>0</v>
      </c>
      <c r="H890" s="170" t="n">
        <v>0</v>
      </c>
      <c r="J890" s="59">
        <f>Tabela10[[#This Row],[ERP]]/Tabela10[[#This Row],[M² Da chapa]]</f>
        <v/>
      </c>
      <c r="K890" s="170">
        <f>Tabela10[[#This Row],[M² CHAPAS]]-Tabela10[[#This Row],[ERP]]</f>
        <v/>
      </c>
      <c r="L890" s="170">
        <f>Tabela10[[#This Row],[DIFERENÇA M²]]/Tabela10[[#This Row],[M² Da chapa]]</f>
        <v/>
      </c>
    </row>
    <row r="891">
      <c r="A891" s="6" t="n">
        <v>46192</v>
      </c>
      <c r="B891" s="8" t="inlineStr">
        <is>
          <t>N2605101</t>
        </is>
      </c>
      <c r="C891" s="168">
        <f>VLOOKUP(LEFT(B891,1),Tabela5[],2,0)</f>
        <v/>
      </c>
      <c r="D891" s="57" t="inlineStr">
        <is>
          <t>MDF - 15MM</t>
        </is>
      </c>
      <c r="E891" s="169">
        <f>VLOOKUP(Tabela10[[#This Row],[Tipo de Chapa]],Tabela11[],2,FALSE)</f>
        <v/>
      </c>
      <c r="F891" s="151" t="n">
        <v>118</v>
      </c>
      <c r="G891" s="152" t="n">
        <v>0.0608</v>
      </c>
      <c r="H891" s="170">
        <f>Tabela10[[#This Row],[M² Da chapa]]*Tabela10[[#This Row],[Qtde Chapas
Liberadas]]</f>
        <v/>
      </c>
      <c r="J891" s="59">
        <f>Tabela10[[#This Row],[ERP]]/Tabela10[[#This Row],[M² Da chapa]]</f>
        <v/>
      </c>
      <c r="K891" s="170">
        <f>Tabela10[[#This Row],[M² CHAPAS]]-Tabela10[[#This Row],[ERP]]</f>
        <v/>
      </c>
      <c r="L891" s="170">
        <f>Tabela10[[#This Row],[DIFERENÇA M²]]/Tabela10[[#This Row],[M² Da chapa]]</f>
        <v/>
      </c>
    </row>
    <row r="892">
      <c r="A892" s="6" t="n">
        <v>46192</v>
      </c>
      <c r="B892" s="8" t="inlineStr">
        <is>
          <t>N2605201</t>
        </is>
      </c>
      <c r="C892" s="168">
        <f>VLOOKUP(LEFT(B892,1),Tabela5[],2,0)</f>
        <v/>
      </c>
      <c r="D892" s="57" t="inlineStr">
        <is>
          <t>MDF - 15MM</t>
        </is>
      </c>
      <c r="E892" s="169">
        <f>VLOOKUP(Tabela10[[#This Row],[Tipo de Chapa]],Tabela11[],2,FALSE)</f>
        <v/>
      </c>
      <c r="F892" s="151" t="n">
        <v>38</v>
      </c>
      <c r="G892" s="152" t="n">
        <v>0.0755</v>
      </c>
      <c r="H892" s="170">
        <f>Tabela10[[#This Row],[M² Da chapa]]*Tabela10[[#This Row],[Qtde Chapas
Liberadas]]</f>
        <v/>
      </c>
      <c r="J892" s="59">
        <f>Tabela10[[#This Row],[ERP]]/Tabela10[[#This Row],[M² Da chapa]]</f>
        <v/>
      </c>
      <c r="K892" s="170">
        <f>Tabela10[[#This Row],[M² CHAPAS]]-Tabela10[[#This Row],[ERP]]</f>
        <v/>
      </c>
      <c r="L892" s="170">
        <f>Tabela10[[#This Row],[DIFERENÇA M²]]/Tabela10[[#This Row],[M² Da chapa]]</f>
        <v/>
      </c>
    </row>
    <row r="893">
      <c r="A893" s="6" t="n">
        <v>46192</v>
      </c>
      <c r="B893" s="8" t="inlineStr">
        <is>
          <t>N2605801</t>
        </is>
      </c>
      <c r="C893" s="168">
        <f>VLOOKUP(LEFT(B893,1),Tabela5[],2,0)</f>
        <v/>
      </c>
      <c r="D893" s="57" t="inlineStr">
        <is>
          <t>MDF - 15MM</t>
        </is>
      </c>
      <c r="E893" s="169">
        <f>VLOOKUP(Tabela10[[#This Row],[Tipo de Chapa]],Tabela11[],2,FALSE)</f>
        <v/>
      </c>
      <c r="F893" s="151" t="n">
        <v>23</v>
      </c>
      <c r="G893" s="152" t="n">
        <v>0.0563</v>
      </c>
      <c r="H893" s="170">
        <f>Tabela10[[#This Row],[M² Da chapa]]*Tabela10[[#This Row],[Qtde Chapas
Liberadas]]</f>
        <v/>
      </c>
      <c r="J893" s="59">
        <f>Tabela10[[#This Row],[ERP]]/Tabela10[[#This Row],[M² Da chapa]]</f>
        <v/>
      </c>
      <c r="K893" s="170">
        <f>Tabela10[[#This Row],[M² CHAPAS]]-Tabela10[[#This Row],[ERP]]</f>
        <v/>
      </c>
      <c r="L893" s="170">
        <f>Tabela10[[#This Row],[DIFERENÇA M²]]/Tabela10[[#This Row],[M² Da chapa]]</f>
        <v/>
      </c>
    </row>
    <row r="894">
      <c r="A894" s="6" t="n">
        <v>46192</v>
      </c>
      <c r="B894" s="8" t="inlineStr">
        <is>
          <t>N2605901 | N2605902</t>
        </is>
      </c>
      <c r="C894" s="168">
        <f>VLOOKUP(LEFT(B894,1),Tabela5[],2,0)</f>
        <v/>
      </c>
      <c r="D894" s="57" t="inlineStr">
        <is>
          <t>MDF - 15MM</t>
        </is>
      </c>
      <c r="E894" s="169">
        <f>VLOOKUP(Tabela10[[#This Row],[Tipo de Chapa]],Tabela11[],2,FALSE)</f>
        <v/>
      </c>
      <c r="F894" s="151">
        <f>581+7</f>
        <v/>
      </c>
      <c r="G894" s="152" t="n">
        <v>0.0455</v>
      </c>
      <c r="H894" s="170">
        <f>Tabela10[[#This Row],[M² Da chapa]]*Tabela10[[#This Row],[Qtde Chapas
Liberadas]]</f>
        <v/>
      </c>
      <c r="J894" s="59">
        <f>Tabela10[[#This Row],[ERP]]/Tabela10[[#This Row],[M² Da chapa]]</f>
        <v/>
      </c>
      <c r="K894" s="170">
        <f>Tabela10[[#This Row],[M² CHAPAS]]-Tabela10[[#This Row],[ERP]]</f>
        <v/>
      </c>
      <c r="L894" s="170">
        <f>Tabela10[[#This Row],[DIFERENÇA M²]]/Tabela10[[#This Row],[M² Da chapa]]</f>
        <v/>
      </c>
    </row>
    <row r="895">
      <c r="A895" s="6" t="n">
        <v>46192</v>
      </c>
      <c r="B895" s="8" t="inlineStr">
        <is>
          <t>N2605802 | N2605803</t>
        </is>
      </c>
      <c r="C895" s="168">
        <f>VLOOKUP(LEFT(B895,1),Tabela5[],2,0)</f>
        <v/>
      </c>
      <c r="D895" s="57" t="inlineStr">
        <is>
          <t>MDF - 15MM</t>
        </is>
      </c>
      <c r="E895" s="169">
        <f>VLOOKUP(Tabela10[[#This Row],[Tipo de Chapa]],Tabela11[],2,FALSE)</f>
        <v/>
      </c>
      <c r="F895" s="147">
        <f>308+26</f>
        <v/>
      </c>
      <c r="G895" s="152" t="n">
        <v>0.0623</v>
      </c>
      <c r="H895" s="170">
        <f>Tabela10[[#This Row],[M² Da chapa]]*Tabela10[[#This Row],[Qtde Chapas
Liberadas]]</f>
        <v/>
      </c>
      <c r="J895" s="59">
        <f>Tabela10[[#This Row],[ERP]]/Tabela10[[#This Row],[M² Da chapa]]</f>
        <v/>
      </c>
      <c r="K895" s="170">
        <f>Tabela10[[#This Row],[M² CHAPAS]]-Tabela10[[#This Row],[ERP]]</f>
        <v/>
      </c>
      <c r="L895" s="170">
        <f>Tabela10[[#This Row],[DIFERENÇA M²]]/Tabela10[[#This Row],[M² Da chapa]]</f>
        <v/>
      </c>
    </row>
    <row r="896">
      <c r="A896" s="6" t="n">
        <v>46195</v>
      </c>
      <c r="B896" s="8" t="inlineStr">
        <is>
          <t>N2606301</t>
        </is>
      </c>
      <c r="C896" s="168">
        <f>VLOOKUP(LEFT(B896,1),Tabela5[],2,0)</f>
        <v/>
      </c>
      <c r="D896" s="57" t="inlineStr">
        <is>
          <t>MDF - 15MM</t>
        </is>
      </c>
      <c r="E896" s="169">
        <f>VLOOKUP(Tabela10[[#This Row],[Tipo de Chapa]],Tabela11[],2,FALSE)</f>
        <v/>
      </c>
      <c r="F896" s="151" t="n">
        <v>100</v>
      </c>
      <c r="G896" s="152" t="n">
        <v>0.0372</v>
      </c>
      <c r="H896" s="170">
        <f>Tabela10[[#This Row],[M² Da chapa]]*Tabela10[[#This Row],[Qtde Chapas
Liberadas]]</f>
        <v/>
      </c>
      <c r="J896" s="59">
        <f>Tabela10[[#This Row],[ERP]]/Tabela10[[#This Row],[M² Da chapa]]</f>
        <v/>
      </c>
      <c r="K896" s="170">
        <f>Tabela10[[#This Row],[M² CHAPAS]]-Tabela10[[#This Row],[ERP]]</f>
        <v/>
      </c>
      <c r="L896" s="170">
        <f>Tabela10[[#This Row],[DIFERENÇA M²]]/Tabela10[[#This Row],[M² Da chapa]]</f>
        <v/>
      </c>
    </row>
    <row r="897">
      <c r="A897" s="6" t="n">
        <v>46195</v>
      </c>
      <c r="B897" s="8" t="inlineStr">
        <is>
          <t>N2607102</t>
        </is>
      </c>
      <c r="C897" s="168">
        <f>VLOOKUP(LEFT(B897,1),Tabela5[],2,0)</f>
        <v/>
      </c>
      <c r="D897" s="57" t="inlineStr">
        <is>
          <t>MDF - 9MM</t>
        </is>
      </c>
      <c r="E897" s="169">
        <f>VLOOKUP(Tabela10[[#This Row],[Tipo de Chapa]],Tabela11[],2,FALSE)</f>
        <v/>
      </c>
      <c r="F897" s="151" t="n">
        <v>0</v>
      </c>
      <c r="G897" s="152" t="n">
        <v>0</v>
      </c>
      <c r="H897" s="170">
        <f>Tabela10[[#This Row],[M² Da chapa]]*Tabela10[[#This Row],[Qtde Chapas
Liberadas]]</f>
        <v/>
      </c>
      <c r="J897" s="59">
        <f>Tabela10[[#This Row],[ERP]]/Tabela10[[#This Row],[M² Da chapa]]</f>
        <v/>
      </c>
      <c r="K897" s="170">
        <f>Tabela10[[#This Row],[M² CHAPAS]]-Tabela10[[#This Row],[ERP]]</f>
        <v/>
      </c>
      <c r="L897" s="170">
        <f>Tabela10[[#This Row],[DIFERENÇA M²]]/Tabela10[[#This Row],[M² Da chapa]]</f>
        <v/>
      </c>
    </row>
    <row r="898">
      <c r="A898" s="145" t="n">
        <v>46195</v>
      </c>
      <c r="B898" s="90" t="inlineStr">
        <is>
          <t>N2606001</t>
        </is>
      </c>
      <c r="C898" s="146">
        <f>VLOOKUP(LEFT(B898,1),Tabela5[],2,0)</f>
        <v/>
      </c>
      <c r="D898" s="66" t="inlineStr">
        <is>
          <t>MDF - 9MM</t>
        </is>
      </c>
      <c r="E898" s="169">
        <f>VLOOKUP(Tabela10[[#This Row],[Tipo de Chapa]],Tabela11[],2,FALSE)</f>
        <v/>
      </c>
      <c r="F898" s="147" t="n">
        <v>0</v>
      </c>
      <c r="G898" s="67" t="n">
        <v>0</v>
      </c>
      <c r="H898" s="42">
        <f>Tabela10[[#This Row],[M² Da chapa]]*Tabela10[[#This Row],[Qtde Chapas
Liberadas]]</f>
        <v/>
      </c>
      <c r="J898" s="59">
        <f>Tabela10[[#This Row],[ERP]]/Tabela10[[#This Row],[M² Da chapa]]</f>
        <v/>
      </c>
      <c r="K898" s="170">
        <f>Tabela10[[#This Row],[M² CHAPAS]]-Tabela10[[#This Row],[ERP]]</f>
        <v/>
      </c>
      <c r="L898" s="170">
        <f>Tabela10[[#This Row],[DIFERENÇA M²]]/Tabela10[[#This Row],[M² Da chapa]]</f>
        <v/>
      </c>
    </row>
    <row r="899">
      <c r="A899" s="6" t="n">
        <v>46195</v>
      </c>
      <c r="B899" s="8" t="inlineStr">
        <is>
          <t>N2606002 | N2606003</t>
        </is>
      </c>
      <c r="C899" s="168">
        <f>VLOOKUP(LEFT(B899,1),Tabela5[],2,0)</f>
        <v/>
      </c>
      <c r="D899" s="57" t="inlineStr">
        <is>
          <t>MDF - 9MM</t>
        </is>
      </c>
      <c r="E899" s="169">
        <f>VLOOKUP(Tabela10[[#This Row],[Tipo de Chapa]],Tabela11[],2,FALSE)</f>
        <v/>
      </c>
      <c r="F899" s="151" t="n">
        <v>0</v>
      </c>
      <c r="G899" s="152" t="n">
        <v>0</v>
      </c>
      <c r="H899" s="170">
        <f>Tabela10[[#This Row],[M² Da chapa]]*Tabela10[[#This Row],[Qtde Chapas
Liberadas]]</f>
        <v/>
      </c>
      <c r="J899" s="59">
        <f>Tabela10[[#This Row],[ERP]]/Tabela10[[#This Row],[M² Da chapa]]</f>
        <v/>
      </c>
      <c r="K899" s="170">
        <f>Tabela10[[#This Row],[M² CHAPAS]]-Tabela10[[#This Row],[ERP]]</f>
        <v/>
      </c>
      <c r="L899" s="170">
        <f>Tabela10[[#This Row],[DIFERENÇA M²]]/Tabela10[[#This Row],[M² Da chapa]]</f>
        <v/>
      </c>
    </row>
    <row r="900">
      <c r="A900" s="6" t="n">
        <v>46195</v>
      </c>
      <c r="B900" s="8" t="inlineStr">
        <is>
          <t>N2605601</t>
        </is>
      </c>
      <c r="C900" s="168">
        <f>VLOOKUP(LEFT(B900,1),Tabela5[],2,0)</f>
        <v/>
      </c>
      <c r="D900" s="57" t="inlineStr">
        <is>
          <t>TIRA 9MM - 1850X165X9</t>
        </is>
      </c>
      <c r="E900" s="169">
        <f>VLOOKUP(Tabela10[[#This Row],[Tipo de Chapa]],Tabela11[],2,FALSE)</f>
        <v/>
      </c>
      <c r="F900" s="151" t="n">
        <v>149</v>
      </c>
      <c r="G900" s="152" t="n">
        <v>0.0249</v>
      </c>
      <c r="H900" s="170">
        <f>Tabela10[[#This Row],[M² Da chapa]]*Tabela10[[#This Row],[Qtde Chapas
Liberadas]]</f>
        <v/>
      </c>
      <c r="J900" s="59">
        <f>Tabela10[[#This Row],[ERP]]/Tabela10[[#This Row],[M² Da chapa]]</f>
        <v/>
      </c>
      <c r="K900" s="170">
        <f>Tabela10[[#This Row],[M² CHAPAS]]-Tabela10[[#This Row],[ERP]]</f>
        <v/>
      </c>
      <c r="L900" s="170">
        <f>Tabela10[[#This Row],[DIFERENÇA M²]]/Tabela10[[#This Row],[M² Da chapa]]</f>
        <v/>
      </c>
    </row>
    <row r="901">
      <c r="A901" s="6" t="n">
        <v>46195</v>
      </c>
      <c r="B901" s="8" t="inlineStr">
        <is>
          <t>N2605601</t>
        </is>
      </c>
      <c r="C901" s="168">
        <f>VLOOKUP(LEFT(B901,1),Tabela5[],2,0)</f>
        <v/>
      </c>
      <c r="D901" s="57" t="inlineStr">
        <is>
          <t>MDF - 9MM</t>
        </is>
      </c>
      <c r="E901" s="169">
        <f>VLOOKUP(Tabela10[[#This Row],[Tipo de Chapa]],Tabela11[],2,FALSE)</f>
        <v/>
      </c>
      <c r="F901" s="151" t="n">
        <v>11</v>
      </c>
      <c r="G901" s="152" t="n">
        <v>0.0799</v>
      </c>
      <c r="H901" s="170">
        <f>Tabela10[[#This Row],[M² Da chapa]]*Tabela10[[#This Row],[Qtde Chapas
Liberadas]]</f>
        <v/>
      </c>
      <c r="J901" s="59">
        <f>Tabela10[[#This Row],[ERP]]/Tabela10[[#This Row],[M² Da chapa]]</f>
        <v/>
      </c>
      <c r="K901" s="170">
        <f>Tabela10[[#This Row],[M² CHAPAS]]-Tabela10[[#This Row],[ERP]]</f>
        <v/>
      </c>
      <c r="L901" s="170">
        <f>Tabela10[[#This Row],[DIFERENÇA M²]]/Tabela10[[#This Row],[M² Da chapa]]</f>
        <v/>
      </c>
    </row>
    <row r="902">
      <c r="A902" s="6" t="n">
        <v>46195</v>
      </c>
      <c r="B902" s="8" t="inlineStr">
        <is>
          <t>N2605801</t>
        </is>
      </c>
      <c r="C902" s="168">
        <f>VLOOKUP(LEFT(B902,1),Tabela5[],2,0)</f>
        <v/>
      </c>
      <c r="D902" s="57" t="inlineStr">
        <is>
          <t>MDF - 15MM</t>
        </is>
      </c>
      <c r="E902" s="169">
        <f>VLOOKUP(Tabela10[[#This Row],[Tipo de Chapa]],Tabela11[],2,FALSE)</f>
        <v/>
      </c>
      <c r="F902" s="98" t="n">
        <v>51</v>
      </c>
      <c r="G902" s="152" t="n">
        <v>0.0536</v>
      </c>
      <c r="H902" s="170">
        <f>Tabela10[[#This Row],[M² Da chapa]]*Tabela10[[#This Row],[Qtde Chapas
Liberadas]]</f>
        <v/>
      </c>
      <c r="J902" s="59">
        <f>Tabela10[[#This Row],[ERP]]/Tabela10[[#This Row],[M² Da chapa]]</f>
        <v/>
      </c>
      <c r="K902" s="170">
        <f>Tabela10[[#This Row],[M² CHAPAS]]-Tabela10[[#This Row],[ERP]]</f>
        <v/>
      </c>
      <c r="L902" s="170">
        <f>Tabela10[[#This Row],[DIFERENÇA M²]]/Tabela10[[#This Row],[M² Da chapa]]</f>
        <v/>
      </c>
    </row>
    <row r="903">
      <c r="A903" s="6" t="n">
        <v>46195</v>
      </c>
      <c r="B903" s="8" t="inlineStr">
        <is>
          <t>N2605801</t>
        </is>
      </c>
      <c r="C903" s="168">
        <f>VLOOKUP(LEFT(B903,1),Tabela5[],2,0)</f>
        <v/>
      </c>
      <c r="D903" s="57" t="inlineStr">
        <is>
          <t>MDF - 18MM 2750X1850</t>
        </is>
      </c>
      <c r="E903" s="169">
        <f>VLOOKUP(Tabela10[[#This Row],[Tipo de Chapa]],Tabela11[],2,FALSE)</f>
        <v/>
      </c>
      <c r="F903" s="151" t="n">
        <v>3</v>
      </c>
      <c r="G903" s="152" t="n">
        <v>0.0776</v>
      </c>
      <c r="H903" s="170">
        <f>Tabela10[[#This Row],[M² Da chapa]]*Tabela10[[#This Row],[Qtde Chapas
Liberadas]]</f>
        <v/>
      </c>
      <c r="J903" s="59">
        <f>Tabela10[[#This Row],[ERP]]/Tabela10[[#This Row],[M² Da chapa]]</f>
        <v/>
      </c>
      <c r="K903" s="170">
        <f>Tabela10[[#This Row],[M² CHAPAS]]-Tabela10[[#This Row],[ERP]]</f>
        <v/>
      </c>
      <c r="L903" s="170">
        <f>Tabela10[[#This Row],[DIFERENÇA M²]]/Tabela10[[#This Row],[M² Da chapa]]</f>
        <v/>
      </c>
    </row>
    <row r="904">
      <c r="A904" s="6" t="n">
        <v>46196</v>
      </c>
      <c r="B904" s="8" t="inlineStr">
        <is>
          <t>N2605101</t>
        </is>
      </c>
      <c r="C904" s="168">
        <f>VLOOKUP(LEFT(B904,1),Tabela5[],2,0)</f>
        <v/>
      </c>
      <c r="D904" s="57" t="inlineStr">
        <is>
          <t>EUCADUR NT - 2,5MM</t>
        </is>
      </c>
      <c r="E904" s="169">
        <f>VLOOKUP(Tabela10[[#This Row],[Tipo de Chapa]],Tabela11[],2,FALSE)</f>
        <v/>
      </c>
      <c r="F904" s="151" t="n">
        <v>67</v>
      </c>
      <c r="G904" s="152" t="n">
        <v>0.0764</v>
      </c>
      <c r="H904" s="170">
        <f>Tabela10[[#This Row],[M² Da chapa]]*Tabela10[[#This Row],[Qtde Chapas
Liberadas]]</f>
        <v/>
      </c>
      <c r="J904" s="59">
        <f>Tabela10[[#This Row],[ERP]]/Tabela10[[#This Row],[M² Da chapa]]</f>
        <v/>
      </c>
      <c r="K904" s="170">
        <f>Tabela10[[#This Row],[M² CHAPAS]]-Tabela10[[#This Row],[ERP]]</f>
        <v/>
      </c>
      <c r="L904" s="170">
        <f>Tabela10[[#This Row],[DIFERENÇA M²]]/Tabela10[[#This Row],[M² Da chapa]]</f>
        <v/>
      </c>
    </row>
    <row r="905" hidden="1">
      <c r="A905" s="6" t="n">
        <v>46196</v>
      </c>
      <c r="B905" s="8" t="inlineStr">
        <is>
          <t>I26019</t>
        </is>
      </c>
      <c r="C905" s="168">
        <f>VLOOKUP(LEFT(B905,1),Tabela5[],2,0)</f>
        <v/>
      </c>
      <c r="D905" s="57" t="inlineStr">
        <is>
          <t>MDF - 15MM</t>
        </is>
      </c>
      <c r="E905" s="169">
        <f>VLOOKUP(Tabela10[[#This Row],[Tipo de Chapa]],Tabela11[],2,FALSE)</f>
        <v/>
      </c>
      <c r="F905" s="151" t="n">
        <v>1415</v>
      </c>
      <c r="G905" s="152" t="n">
        <v>0.0639</v>
      </c>
      <c r="H905" s="170">
        <f>Tabela10[[#This Row],[M² Da chapa]]*Tabela10[[#This Row],[Qtde Chapas
Liberadas]]</f>
        <v/>
      </c>
      <c r="J905" s="59">
        <f>Tabela10[[#This Row],[ERP]]/Tabela10[[#This Row],[M² Da chapa]]</f>
        <v/>
      </c>
      <c r="K905" s="170">
        <f>Tabela10[[#This Row],[M² CHAPAS]]-Tabela10[[#This Row],[ERP]]</f>
        <v/>
      </c>
      <c r="L905" s="170">
        <f>Tabela10[[#This Row],[DIFERENÇA M²]]/Tabela10[[#This Row],[M² Da chapa]]</f>
        <v/>
      </c>
    </row>
    <row r="906">
      <c r="A906" s="6" t="n">
        <v>46196</v>
      </c>
      <c r="B906" s="8" t="inlineStr">
        <is>
          <t>N2605201</t>
        </is>
      </c>
      <c r="C906" s="168">
        <f>VLOOKUP(LEFT(B906,1),Tabela5[],2,0)</f>
        <v/>
      </c>
      <c r="D906" s="57" t="inlineStr">
        <is>
          <t>EUCADUR NT - 2,5MM</t>
        </is>
      </c>
      <c r="E906" s="169">
        <f>VLOOKUP(Tabela10[[#This Row],[Tipo de Chapa]],Tabela11[],2,FALSE)</f>
        <v/>
      </c>
      <c r="F906" s="151" t="n">
        <v>100</v>
      </c>
      <c r="G906" s="152" t="n">
        <v>0.076</v>
      </c>
      <c r="H906" s="170">
        <f>Tabela10[[#This Row],[M² Da chapa]]*Tabela10[[#This Row],[Qtde Chapas
Liberadas]]</f>
        <v/>
      </c>
      <c r="J906" s="59">
        <f>Tabela10[[#This Row],[ERP]]/Tabela10[[#This Row],[M² Da chapa]]</f>
        <v/>
      </c>
      <c r="K906" s="170">
        <f>Tabela10[[#This Row],[M² CHAPAS]]-Tabela10[[#This Row],[ERP]]</f>
        <v/>
      </c>
      <c r="L906" s="170">
        <f>Tabela10[[#This Row],[DIFERENÇA M²]]/Tabela10[[#This Row],[M² Da chapa]]</f>
        <v/>
      </c>
    </row>
    <row r="907">
      <c r="A907" s="6" t="n">
        <v>46196</v>
      </c>
      <c r="B907" s="8" t="inlineStr">
        <is>
          <t>N26058</t>
        </is>
      </c>
      <c r="C907" s="168">
        <f>VLOOKUP(LEFT(B907,1),Tabela5[],2,0)</f>
        <v/>
      </c>
      <c r="D907" s="57" t="inlineStr">
        <is>
          <t>EUCADUR FRJ - 2,5MM</t>
        </is>
      </c>
      <c r="E907" s="169">
        <f>VLOOKUP(Tabela10[[#This Row],[Tipo de Chapa]],Tabela11[],2,FALSE)</f>
        <v/>
      </c>
      <c r="F907" s="151" t="n">
        <v>141</v>
      </c>
      <c r="G907" s="152" t="n">
        <v>0.061</v>
      </c>
      <c r="H907" s="170">
        <f>Tabela10[[#This Row],[M² Da chapa]]*Tabela10[[#This Row],[Qtde Chapas
Liberadas]]</f>
        <v/>
      </c>
      <c r="J907" s="59">
        <f>Tabela10[[#This Row],[ERP]]/Tabela10[[#This Row],[M² Da chapa]]</f>
        <v/>
      </c>
      <c r="K907" s="170">
        <f>Tabela10[[#This Row],[M² CHAPAS]]-Tabela10[[#This Row],[ERP]]</f>
        <v/>
      </c>
      <c r="L907" s="170">
        <f>Tabela10[[#This Row],[DIFERENÇA M²]]/Tabela10[[#This Row],[M² Da chapa]]</f>
        <v/>
      </c>
    </row>
    <row r="908" hidden="1">
      <c r="A908" s="6" t="n">
        <v>46197</v>
      </c>
      <c r="B908" s="8" t="inlineStr">
        <is>
          <t>I26019</t>
        </is>
      </c>
      <c r="C908" s="168">
        <f>VLOOKUP(LEFT(B908,1),Tabela5[],2,0)</f>
        <v/>
      </c>
      <c r="D908" s="57" t="inlineStr">
        <is>
          <t>EUCADUR NT - 2,5MM</t>
        </is>
      </c>
      <c r="E908" s="169">
        <f>VLOOKUP(Tabela10[[#This Row],[Tipo de Chapa]],Tabela11[],2,FALSE)</f>
        <v/>
      </c>
      <c r="F908" s="151" t="n">
        <v>446</v>
      </c>
      <c r="G908" s="152" t="n">
        <v>0.0665</v>
      </c>
      <c r="H908" s="170">
        <f>Tabela10[[#This Row],[M² Da chapa]]*Tabela10[[#This Row],[Qtde Chapas
Liberadas]]</f>
        <v/>
      </c>
      <c r="J908" s="59">
        <f>Tabela10[[#This Row],[ERP]]/Tabela10[[#This Row],[M² Da chapa]]</f>
        <v/>
      </c>
      <c r="K908" s="170">
        <f>Tabela10[[#This Row],[M² CHAPAS]]-Tabela10[[#This Row],[ERP]]</f>
        <v/>
      </c>
      <c r="L908" s="170">
        <f>Tabela10[[#This Row],[DIFERENÇA M²]]/Tabela10[[#This Row],[M² Da chapa]]</f>
        <v/>
      </c>
    </row>
    <row r="909">
      <c r="A909" s="6" t="n">
        <v>46197</v>
      </c>
      <c r="B909" s="8" t="inlineStr">
        <is>
          <t>N2606001</t>
        </is>
      </c>
      <c r="C909" s="168">
        <f>VLOOKUP(LEFT(B909,1),Tabela5[],2,0)</f>
        <v/>
      </c>
      <c r="D909" s="57" t="inlineStr">
        <is>
          <t>MDF - 15MM</t>
        </is>
      </c>
      <c r="E909" s="169">
        <f>VLOOKUP(Tabela10[[#This Row],[Tipo de Chapa]],Tabela11[],2,FALSE)</f>
        <v/>
      </c>
      <c r="F909" s="151" t="n">
        <v>218</v>
      </c>
      <c r="G909" s="152" t="n">
        <v>0.0582</v>
      </c>
      <c r="H909" s="170">
        <f>Tabela10[[#This Row],[M² Da chapa]]*Tabela10[[#This Row],[Qtde Chapas
Liberadas]]</f>
        <v/>
      </c>
      <c r="J909" s="59">
        <f>Tabela10[[#This Row],[ERP]]/Tabela10[[#This Row],[M² Da chapa]]</f>
        <v/>
      </c>
      <c r="K909" s="170">
        <f>Tabela10[[#This Row],[M² CHAPAS]]-Tabela10[[#This Row],[ERP]]</f>
        <v/>
      </c>
      <c r="L909" s="170">
        <f>Tabela10[[#This Row],[DIFERENÇA M²]]/Tabela10[[#This Row],[M² Da chapa]]</f>
        <v/>
      </c>
    </row>
    <row r="910">
      <c r="A910" s="6" t="n">
        <v>46197</v>
      </c>
      <c r="B910" s="8" t="inlineStr">
        <is>
          <t>N2606002 | N2606003</t>
        </is>
      </c>
      <c r="C910" s="168">
        <f>VLOOKUP(LEFT(B910,1),Tabela5[],2,0)</f>
        <v/>
      </c>
      <c r="D910" s="57" t="inlineStr">
        <is>
          <t>MDF - 15MM</t>
        </is>
      </c>
      <c r="E910" s="169">
        <f>VLOOKUP(Tabela10[[#This Row],[Tipo de Chapa]],Tabela11[],2,FALSE)</f>
        <v/>
      </c>
      <c r="F910" s="147" t="n">
        <v>210</v>
      </c>
      <c r="G910" s="152" t="n">
        <v>0.0477</v>
      </c>
      <c r="H910" s="170">
        <f>Tabela10[[#This Row],[M² Da chapa]]*Tabela10[[#This Row],[Qtde Chapas
Liberadas]]</f>
        <v/>
      </c>
      <c r="J910" s="59">
        <f>Tabela10[[#This Row],[ERP]]/Tabela10[[#This Row],[M² Da chapa]]</f>
        <v/>
      </c>
      <c r="K910" s="170">
        <f>Tabela10[[#This Row],[M² CHAPAS]]-Tabela10[[#This Row],[ERP]]</f>
        <v/>
      </c>
      <c r="L910" s="170">
        <f>Tabela10[[#This Row],[DIFERENÇA M²]]/Tabela10[[#This Row],[M² Da chapa]]</f>
        <v/>
      </c>
    </row>
    <row r="911">
      <c r="A911" s="6" t="n">
        <v>46197</v>
      </c>
      <c r="B911" s="8" t="inlineStr">
        <is>
          <t>N2606603 | N2606604</t>
        </is>
      </c>
      <c r="C911" s="168">
        <f>VLOOKUP(LEFT(B911,1),Tabela5[],2,0)</f>
        <v/>
      </c>
      <c r="D911" s="57" t="inlineStr">
        <is>
          <t>MDF - 15MM</t>
        </is>
      </c>
      <c r="E911" s="169">
        <f>VLOOKUP(Tabela10[[#This Row],[Tipo de Chapa]],Tabela11[],2,FALSE)</f>
        <v/>
      </c>
      <c r="F911" s="151" t="n">
        <v>11</v>
      </c>
      <c r="G911" s="152" t="n">
        <v>0.07099999999999999</v>
      </c>
      <c r="H911" s="170">
        <f>Tabela10[[#This Row],[M² Da chapa]]*Tabela10[[#This Row],[Qtde Chapas
Liberadas]]</f>
        <v/>
      </c>
      <c r="J911" s="59">
        <f>Tabela10[[#This Row],[ERP]]/Tabela10[[#This Row],[M² Da chapa]]</f>
        <v/>
      </c>
      <c r="K911" s="170">
        <f>Tabela10[[#This Row],[M² CHAPAS]]-Tabela10[[#This Row],[ERP]]</f>
        <v/>
      </c>
      <c r="L911" s="170">
        <f>Tabela10[[#This Row],[DIFERENÇA M²]]/Tabela10[[#This Row],[M² Da chapa]]</f>
        <v/>
      </c>
    </row>
    <row r="912">
      <c r="A912" s="6" t="n">
        <v>46197</v>
      </c>
      <c r="B912" s="8" t="inlineStr">
        <is>
          <t>N2606601 | N2606602</t>
        </is>
      </c>
      <c r="C912" s="168">
        <f>VLOOKUP(LEFT(B912,1),Tabela5[],2,0)</f>
        <v/>
      </c>
      <c r="D912" s="57" t="inlineStr">
        <is>
          <t>MDF - 15MM</t>
        </is>
      </c>
      <c r="E912" s="169">
        <f>VLOOKUP(Tabela10[[#This Row],[Tipo de Chapa]],Tabela11[],2,FALSE)</f>
        <v/>
      </c>
      <c r="F912" s="151" t="n">
        <v>178</v>
      </c>
      <c r="G912" s="152" t="n">
        <v>0.0593</v>
      </c>
      <c r="H912" s="170">
        <f>Tabela10[[#This Row],[M² Da chapa]]*Tabela10[[#This Row],[Qtde Chapas
Liberadas]]</f>
        <v/>
      </c>
      <c r="J912" s="59">
        <f>Tabela10[[#This Row],[ERP]]/Tabela10[[#This Row],[M² Da chapa]]</f>
        <v/>
      </c>
      <c r="K912" s="170">
        <f>Tabela10[[#This Row],[M² CHAPAS]]-Tabela10[[#This Row],[ERP]]</f>
        <v/>
      </c>
      <c r="L912" s="170">
        <f>Tabela10[[#This Row],[DIFERENÇA M²]]/Tabela10[[#This Row],[M² Da chapa]]</f>
        <v/>
      </c>
    </row>
    <row r="913">
      <c r="A913" s="6" t="n">
        <v>46198</v>
      </c>
      <c r="B913" s="8" t="inlineStr">
        <is>
          <t>N2606001 | N2606002 | N2606003</t>
        </is>
      </c>
      <c r="C913" s="168">
        <f>VLOOKUP(LEFT(B913,1),Tabela5[],2,0)</f>
        <v/>
      </c>
      <c r="D913" s="57" t="inlineStr">
        <is>
          <t>EUCADUR NT - 2,5MM</t>
        </is>
      </c>
      <c r="E913" s="169">
        <f>VLOOKUP(Tabela10[[#This Row],[Tipo de Chapa]],Tabela11[],2,FALSE)</f>
        <v/>
      </c>
      <c r="F913" s="151" t="n">
        <v>92</v>
      </c>
      <c r="G913" s="152" t="n">
        <v>0.0683</v>
      </c>
      <c r="H913" s="170">
        <f>Tabela10[[#This Row],[M² Da chapa]]*Tabela10[[#This Row],[Qtde Chapas
Liberadas]]</f>
        <v/>
      </c>
      <c r="J913" s="59">
        <f>Tabela10[[#This Row],[ERP]]/Tabela10[[#This Row],[M² Da chapa]]</f>
        <v/>
      </c>
      <c r="K913" s="170">
        <f>Tabela10[[#This Row],[M² CHAPAS]]-Tabela10[[#This Row],[ERP]]</f>
        <v/>
      </c>
      <c r="L913" s="170">
        <f>Tabela10[[#This Row],[DIFERENÇA M²]]/Tabela10[[#This Row],[M² Da chapa]]</f>
        <v/>
      </c>
    </row>
    <row r="914">
      <c r="A914" s="6" t="n">
        <v>46198</v>
      </c>
      <c r="B914" s="8" t="inlineStr">
        <is>
          <t>N2606601 | N2606602</t>
        </is>
      </c>
      <c r="C914" s="168">
        <f>VLOOKUP(LEFT(B914,1),Tabela5[],2,0)</f>
        <v/>
      </c>
      <c r="D914" s="57" t="inlineStr">
        <is>
          <t>EUCADUR NT - 2,5MM</t>
        </is>
      </c>
      <c r="E914" s="169">
        <f>VLOOKUP(Tabela10[[#This Row],[Tipo de Chapa]],Tabela11[],2,FALSE)</f>
        <v/>
      </c>
      <c r="F914" s="151" t="n">
        <v>50</v>
      </c>
      <c r="G914" s="152" t="n">
        <v>0.036</v>
      </c>
      <c r="H914" s="170">
        <f>Tabela10[[#This Row],[M² Da chapa]]*Tabela10[[#This Row],[Qtde Chapas
Liberadas]]</f>
        <v/>
      </c>
      <c r="J914" s="59">
        <f>Tabela10[[#This Row],[ERP]]/Tabela10[[#This Row],[M² Da chapa]]</f>
        <v/>
      </c>
      <c r="K914" s="170">
        <f>Tabela10[[#This Row],[M² CHAPAS]]-Tabela10[[#This Row],[ERP]]</f>
        <v/>
      </c>
      <c r="L914" s="170">
        <f>Tabela10[[#This Row],[DIFERENÇA M²]]/Tabela10[[#This Row],[M² Da chapa]]</f>
        <v/>
      </c>
    </row>
    <row r="915" hidden="1">
      <c r="A915" s="6" t="n">
        <v>46198</v>
      </c>
      <c r="B915" s="8" t="inlineStr">
        <is>
          <t>I26020</t>
        </is>
      </c>
      <c r="C915" s="168">
        <f>VLOOKUP(LEFT(B915,1),Tabela5[],2,0)</f>
        <v/>
      </c>
      <c r="D915" s="57" t="inlineStr">
        <is>
          <t>MDF - 15MM</t>
        </is>
      </c>
      <c r="E915" s="169">
        <f>VLOOKUP(Tabela10[[#This Row],[Tipo de Chapa]],Tabela11[],2,FALSE)</f>
        <v/>
      </c>
      <c r="F915" s="151" t="n">
        <v>303</v>
      </c>
      <c r="G915" s="152" t="n">
        <v>0.0731</v>
      </c>
      <c r="H915" s="170">
        <f>Tabela10[[#This Row],[M² Da chapa]]*Tabela10[[#This Row],[Qtde Chapas
Liberadas]]</f>
        <v/>
      </c>
      <c r="J915" s="59">
        <f>Tabela10[[#This Row],[ERP]]/Tabela10[[#This Row],[M² Da chapa]]</f>
        <v/>
      </c>
      <c r="K915" s="170">
        <f>Tabela10[[#This Row],[M² CHAPAS]]-Tabela10[[#This Row],[ERP]]</f>
        <v/>
      </c>
      <c r="L915" s="170">
        <f>Tabela10[[#This Row],[DIFERENÇA M²]]/Tabela10[[#This Row],[M² Da chapa]]</f>
        <v/>
      </c>
    </row>
    <row r="916">
      <c r="A916" s="6" t="n">
        <v>46198</v>
      </c>
      <c r="B916" s="8" t="inlineStr">
        <is>
          <t>N2606301</t>
        </is>
      </c>
      <c r="C916" s="168">
        <f>VLOOKUP(LEFT(B916,1),Tabela5[],2,0)</f>
        <v/>
      </c>
      <c r="D916" s="57" t="inlineStr">
        <is>
          <t>MDF - 15MM</t>
        </is>
      </c>
      <c r="E916" s="169">
        <f>VLOOKUP(Tabela10[[#This Row],[Tipo de Chapa]],Tabela11[],2,FALSE)</f>
        <v/>
      </c>
      <c r="F916" s="151" t="n">
        <v>303</v>
      </c>
      <c r="G916" s="152" t="n">
        <v>0.0496</v>
      </c>
      <c r="H916" s="170">
        <f>Tabela10[[#This Row],[M² Da chapa]]*Tabela10[[#This Row],[Qtde Chapas
Liberadas]]</f>
        <v/>
      </c>
      <c r="J916" s="59">
        <f>Tabela10[[#This Row],[ERP]]/Tabela10[[#This Row],[M² Da chapa]]</f>
        <v/>
      </c>
      <c r="K916" s="170">
        <f>Tabela10[[#This Row],[M² CHAPAS]]-Tabela10[[#This Row],[ERP]]</f>
        <v/>
      </c>
      <c r="L916" s="170">
        <f>Tabela10[[#This Row],[DIFERENÇA M²]]/Tabela10[[#This Row],[M² Da chapa]]</f>
        <v/>
      </c>
    </row>
    <row r="917">
      <c r="A917" s="6" t="n">
        <v>46198</v>
      </c>
      <c r="B917" s="8" t="inlineStr">
        <is>
          <t>N2606201 | N2606202 | N2606203 | N2606204</t>
        </is>
      </c>
      <c r="C917" s="168">
        <f>VLOOKUP(LEFT(B917,1),Tabela5[],2,0)</f>
        <v/>
      </c>
      <c r="D917" s="57" t="inlineStr">
        <is>
          <t>MDF - 15MM</t>
        </is>
      </c>
      <c r="E917" s="169">
        <f>VLOOKUP(Tabela10[[#This Row],[Tipo de Chapa]],Tabela11[],2,FALSE)</f>
        <v/>
      </c>
      <c r="F917" s="151" t="n">
        <v>310</v>
      </c>
      <c r="G917" s="152" t="n">
        <v>0.0624</v>
      </c>
      <c r="H917" s="170">
        <f>Tabela10[[#This Row],[M² Da chapa]]*Tabela10[[#This Row],[Qtde Chapas
Liberadas]]</f>
        <v/>
      </c>
      <c r="J917" s="59">
        <f>Tabela10[[#This Row],[ERP]]/Tabela10[[#This Row],[M² Da chapa]]</f>
        <v/>
      </c>
      <c r="K917" s="170">
        <f>Tabela10[[#This Row],[M² CHAPAS]]-Tabela10[[#This Row],[ERP]]</f>
        <v/>
      </c>
      <c r="L917" s="170">
        <f>Tabela10[[#This Row],[DIFERENÇA M²]]/Tabela10[[#This Row],[M² Da chapa]]</f>
        <v/>
      </c>
    </row>
    <row r="918">
      <c r="A918" s="6" t="n">
        <v>46199</v>
      </c>
      <c r="B918" s="8" t="inlineStr">
        <is>
          <t>N2606001</t>
        </is>
      </c>
      <c r="C918" s="168">
        <f>VLOOKUP(LEFT(B918,1),Tabela5[],2,0)</f>
        <v/>
      </c>
      <c r="D918" s="57" t="inlineStr">
        <is>
          <t>MDF - 25MM 2750x2200</t>
        </is>
      </c>
      <c r="E918" s="169">
        <f>VLOOKUP(Tabela10[[#This Row],[Tipo de Chapa]],Tabela11[],2,FALSE)</f>
        <v/>
      </c>
      <c r="F918" s="151" t="n">
        <v>53</v>
      </c>
      <c r="G918" s="152" t="n">
        <v>0.07779999999999999</v>
      </c>
      <c r="H918" s="170">
        <f>Tabela10[[#This Row],[M² Da chapa]]*Tabela10[[#This Row],[Qtde Chapas
Liberadas]]</f>
        <v/>
      </c>
      <c r="J918" s="59">
        <f>Tabela10[[#This Row],[ERP]]/Tabela10[[#This Row],[M² Da chapa]]</f>
        <v/>
      </c>
      <c r="K918" s="170">
        <f>Tabela10[[#This Row],[M² CHAPAS]]-Tabela10[[#This Row],[ERP]]</f>
        <v/>
      </c>
      <c r="L918" s="170">
        <f>Tabela10[[#This Row],[DIFERENÇA M²]]/Tabela10[[#This Row],[M² Da chapa]]</f>
        <v/>
      </c>
    </row>
    <row r="919">
      <c r="A919" s="6" t="n">
        <v>46199</v>
      </c>
      <c r="B919" s="8" t="inlineStr">
        <is>
          <t>N2606205</t>
        </is>
      </c>
      <c r="C919" s="168">
        <f>VLOOKUP(LEFT(B919,1),Tabela5[],2,0)</f>
        <v/>
      </c>
      <c r="D919" s="57" t="inlineStr">
        <is>
          <t>MDF - 25MM 2750x2200</t>
        </is>
      </c>
      <c r="E919" s="169">
        <f>VLOOKUP(Tabela10[[#This Row],[Tipo de Chapa]],Tabela11[],2,FALSE)</f>
        <v/>
      </c>
      <c r="F919" s="151" t="n">
        <v>0</v>
      </c>
      <c r="G919" s="152" t="n">
        <v>0</v>
      </c>
      <c r="H919" s="170">
        <f>Tabela10[[#This Row],[M² Da chapa]]*Tabela10[[#This Row],[Qtde Chapas
Liberadas]]</f>
        <v/>
      </c>
      <c r="J919" s="59">
        <f>Tabela10[[#This Row],[ERP]]/Tabela10[[#This Row],[M² Da chapa]]</f>
        <v/>
      </c>
      <c r="K919" s="170">
        <f>Tabela10[[#This Row],[M² CHAPAS]]-Tabela10[[#This Row],[ERP]]</f>
        <v/>
      </c>
      <c r="L919" s="170">
        <f>Tabela10[[#This Row],[DIFERENÇA M²]]/Tabela10[[#This Row],[M² Da chapa]]</f>
        <v/>
      </c>
    </row>
    <row r="920">
      <c r="A920" s="6" t="n">
        <v>46199</v>
      </c>
      <c r="B920" s="8" t="inlineStr">
        <is>
          <t>N2605601</t>
        </is>
      </c>
      <c r="C920" s="168">
        <f>VLOOKUP(LEFT(B920,1),Tabela5[],2,0)</f>
        <v/>
      </c>
      <c r="D920" s="57" t="inlineStr">
        <is>
          <t>MDF - 15MM</t>
        </is>
      </c>
      <c r="E920" s="169">
        <f>VLOOKUP(Tabela10[[#This Row],[Tipo de Chapa]],Tabela11[],2,FALSE)</f>
        <v/>
      </c>
      <c r="F920" s="151" t="n">
        <v>113</v>
      </c>
      <c r="G920" s="152" t="n">
        <v>0.0703</v>
      </c>
      <c r="H920" s="170">
        <f>Tabela10[[#This Row],[M² Da chapa]]*Tabela10[[#This Row],[Qtde Chapas
Liberadas]]</f>
        <v/>
      </c>
      <c r="J920" s="59">
        <f>Tabela10[[#This Row],[ERP]]/Tabela10[[#This Row],[M² Da chapa]]</f>
        <v/>
      </c>
      <c r="K920" s="170">
        <f>Tabela10[[#This Row],[M² CHAPAS]]-Tabela10[[#This Row],[ERP]]</f>
        <v/>
      </c>
      <c r="L920" s="170">
        <f>Tabela10[[#This Row],[DIFERENÇA M²]]/Tabela10[[#This Row],[M² Da chapa]]</f>
        <v/>
      </c>
    </row>
    <row r="921" hidden="1">
      <c r="A921" s="6" t="n">
        <v>46199</v>
      </c>
      <c r="B921" s="8" t="inlineStr">
        <is>
          <t>M26031</t>
        </is>
      </c>
      <c r="C921" s="168">
        <f>VLOOKUP(LEFT(B921,1),Tabela5[],2,0)</f>
        <v/>
      </c>
      <c r="D921" s="57" t="inlineStr">
        <is>
          <t>MDF - 15MM</t>
        </is>
      </c>
      <c r="E921" s="169">
        <f>VLOOKUP(Tabela10[[#This Row],[Tipo de Chapa]],Tabela11[],2,FALSE)</f>
        <v/>
      </c>
      <c r="F921" s="151" t="n">
        <v>264</v>
      </c>
      <c r="G921" s="152" t="n">
        <v>0.0667</v>
      </c>
      <c r="H921" s="170">
        <f>Tabela10[[#This Row],[M² Da chapa]]*Tabela10[[#This Row],[Qtde Chapas
Liberadas]]</f>
        <v/>
      </c>
      <c r="J921" s="59">
        <f>Tabela10[[#This Row],[ERP]]/Tabela10[[#This Row],[M² Da chapa]]</f>
        <v/>
      </c>
      <c r="K921" s="170">
        <f>Tabela10[[#This Row],[M² CHAPAS]]-Tabela10[[#This Row],[ERP]]</f>
        <v/>
      </c>
      <c r="L921" s="170">
        <f>Tabela10[[#This Row],[DIFERENÇA M²]]/Tabela10[[#This Row],[M² Da chapa]]</f>
        <v/>
      </c>
    </row>
    <row r="922" hidden="1">
      <c r="A922" s="6" t="n">
        <v>46199</v>
      </c>
      <c r="B922" s="8" t="inlineStr">
        <is>
          <t>M26029</t>
        </is>
      </c>
      <c r="C922" s="168">
        <f>VLOOKUP(LEFT(B922,1),Tabela5[],2,0)</f>
        <v/>
      </c>
      <c r="D922" s="57" t="inlineStr">
        <is>
          <t>MDF - 15MM</t>
        </is>
      </c>
      <c r="E922" s="169">
        <f>VLOOKUP(Tabela10[[#This Row],[Tipo de Chapa]],Tabela11[],2,FALSE)</f>
        <v/>
      </c>
      <c r="F922" s="151" t="n">
        <v>567</v>
      </c>
      <c r="G922" s="152" t="n">
        <v>0.0553</v>
      </c>
      <c r="H922" s="170">
        <f>Tabela10[[#This Row],[M² Da chapa]]*Tabela10[[#This Row],[Qtde Chapas
Liberadas]]</f>
        <v/>
      </c>
      <c r="J922" s="59">
        <f>Tabela10[[#This Row],[ERP]]/Tabela10[[#This Row],[M² Da chapa]]</f>
        <v/>
      </c>
      <c r="K922" s="170">
        <f>Tabela10[[#This Row],[M² CHAPAS]]-Tabela10[[#This Row],[ERP]]</f>
        <v/>
      </c>
      <c r="L922" s="170">
        <f>Tabela10[[#This Row],[DIFERENÇA M²]]/Tabela10[[#This Row],[M² Da chapa]]</f>
        <v/>
      </c>
    </row>
    <row r="923">
      <c r="A923" s="6" t="n">
        <v>46202</v>
      </c>
      <c r="B923" s="8" t="inlineStr">
        <is>
          <t>N2606301</t>
        </is>
      </c>
      <c r="C923" s="168">
        <f>VLOOKUP(LEFT(B923,1),Tabela5[],2,0)</f>
        <v/>
      </c>
      <c r="D923" s="57" t="inlineStr">
        <is>
          <t>EUCADUR NT - 2,5MM</t>
        </is>
      </c>
      <c r="E923" s="170">
        <f>VLOOKUP(Tabela10[[#This Row],[Tipo de Chapa]],Tabela11[],2,FALSE)</f>
        <v/>
      </c>
      <c r="F923" s="169" t="n">
        <v>97</v>
      </c>
      <c r="G923" s="152" t="n">
        <v>0.07190000000000001</v>
      </c>
      <c r="H923" s="170">
        <f>Tabela10[[#This Row],[M² Da chapa]]*Tabela10[[#This Row],[Qtde Chapas
Liberadas]]</f>
        <v/>
      </c>
      <c r="J923" s="59">
        <f>Tabela10[[#This Row],[ERP]]/Tabela10[[#This Row],[M² Da chapa]]</f>
        <v/>
      </c>
      <c r="K923" s="170">
        <f>Tabela10[[#This Row],[M² CHAPAS]]-Tabela10[[#This Row],[ERP]]</f>
        <v/>
      </c>
      <c r="L923" s="170">
        <f>Tabela10[[#This Row],[DIFERENÇA M²]]/Tabela10[[#This Row],[M² Da chapa]]</f>
        <v/>
      </c>
    </row>
    <row r="924">
      <c r="A924" s="6" t="n">
        <v>46202</v>
      </c>
      <c r="B924" s="8" t="inlineStr">
        <is>
          <t>N2606205</t>
        </is>
      </c>
      <c r="C924" s="168">
        <f>VLOOKUP(LEFT(B924,1),Tabela5[],2,0)</f>
        <v/>
      </c>
      <c r="D924" s="57" t="inlineStr">
        <is>
          <t>MDF - 15MM</t>
        </is>
      </c>
      <c r="E924" s="170">
        <f>VLOOKUP(Tabela10[[#This Row],[Tipo de Chapa]],Tabela11[],2,FALSE)</f>
        <v/>
      </c>
      <c r="F924" s="169" t="n">
        <v>198</v>
      </c>
      <c r="G924" s="152" t="n">
        <v>0.055</v>
      </c>
      <c r="H924" s="170">
        <f>Tabela10[[#This Row],[M² Da chapa]]*Tabela10[[#This Row],[Qtde Chapas
Liberadas]]</f>
        <v/>
      </c>
      <c r="J924" s="59">
        <f>Tabela10[[#This Row],[ERP]]/Tabela10[[#This Row],[M² Da chapa]]</f>
        <v/>
      </c>
      <c r="K924" s="170">
        <f>Tabela10[[#This Row],[M² CHAPAS]]-Tabela10[[#This Row],[ERP]]</f>
        <v/>
      </c>
      <c r="L924" s="170">
        <f>Tabela10[[#This Row],[DIFERENÇA M²]]/Tabela10[[#This Row],[M² Da chapa]]</f>
        <v/>
      </c>
    </row>
    <row r="925" hidden="1">
      <c r="A925" s="6" t="n">
        <v>46202</v>
      </c>
      <c r="B925" s="8" t="inlineStr">
        <is>
          <t>I26020</t>
        </is>
      </c>
      <c r="C925" s="168">
        <f>VLOOKUP(LEFT(B925,1),Tabela5[],2,0)</f>
        <v/>
      </c>
      <c r="D925" s="57" t="inlineStr">
        <is>
          <t>EUCADUR FRJ - 2,5MM</t>
        </is>
      </c>
      <c r="E925" s="170">
        <f>VLOOKUP(Tabela10[[#This Row],[Tipo de Chapa]],Tabela11[],2,FALSE)</f>
        <v/>
      </c>
      <c r="F925" s="169" t="n">
        <v>44</v>
      </c>
      <c r="G925" s="152" t="n">
        <v>0.0639</v>
      </c>
      <c r="H925" s="170">
        <f>Tabela10[[#This Row],[M² Da chapa]]*Tabela10[[#This Row],[Qtde Chapas
Liberadas]]</f>
        <v/>
      </c>
      <c r="J925" s="59">
        <f>Tabela10[[#This Row],[ERP]]/Tabela10[[#This Row],[M² Da chapa]]</f>
        <v/>
      </c>
      <c r="K925" s="170">
        <f>Tabela10[[#This Row],[M² CHAPAS]]-Tabela10[[#This Row],[ERP]]</f>
        <v/>
      </c>
      <c r="L925" s="170">
        <f>Tabela10[[#This Row],[DIFERENÇA M²]]/Tabela10[[#This Row],[M² Da chapa]]</f>
        <v/>
      </c>
    </row>
    <row r="926" hidden="1">
      <c r="A926" s="6" t="n">
        <v>46202</v>
      </c>
      <c r="B926" s="8" t="inlineStr">
        <is>
          <t>M26031</t>
        </is>
      </c>
      <c r="C926" s="168">
        <f>VLOOKUP(LEFT(B926,1),Tabela5[],2,0)</f>
        <v/>
      </c>
      <c r="D926" s="57" t="inlineStr">
        <is>
          <t>EUCADUR FRJ - 2,5MM</t>
        </is>
      </c>
      <c r="E926" s="170">
        <f>VLOOKUP(Tabela10[[#This Row],[Tipo de Chapa]],Tabela11[],2,FALSE)</f>
        <v/>
      </c>
      <c r="F926" s="169" t="n">
        <v>134</v>
      </c>
      <c r="G926" s="152" t="n">
        <v>0.0678</v>
      </c>
      <c r="H926" s="170">
        <f>Tabela10[[#This Row],[M² Da chapa]]*Tabela10[[#This Row],[Qtde Chapas
Liberadas]]</f>
        <v/>
      </c>
      <c r="J926" s="59">
        <f>Tabela10[[#This Row],[ERP]]/Tabela10[[#This Row],[M² Da chapa]]</f>
        <v/>
      </c>
      <c r="K926" s="170">
        <f>Tabela10[[#This Row],[M² CHAPAS]]-Tabela10[[#This Row],[ERP]]</f>
        <v/>
      </c>
      <c r="L926" s="170">
        <f>Tabela10[[#This Row],[DIFERENÇA M²]]/Tabela10[[#This Row],[M² Da chapa]]</f>
        <v/>
      </c>
    </row>
    <row r="927">
      <c r="A927" s="6" t="n">
        <v>46203</v>
      </c>
      <c r="B927" s="8" t="inlineStr">
        <is>
          <t>N2606201 | N2606202 | N2606203 | N2606204</t>
        </is>
      </c>
      <c r="C927" s="168">
        <f>VLOOKUP(LEFT(B927,1),Tabela5[],2,0)</f>
        <v/>
      </c>
      <c r="D927" s="57" t="inlineStr">
        <is>
          <t>EUCADUR FRJ - 2,5MM</t>
        </is>
      </c>
      <c r="E927" s="170">
        <f>VLOOKUP(Tabela10[[#This Row],[Tipo de Chapa]],Tabela11[],2,FALSE)</f>
        <v/>
      </c>
      <c r="F927" s="169" t="n">
        <v>111</v>
      </c>
      <c r="G927" s="152" t="n">
        <v>0.0524</v>
      </c>
      <c r="H927" s="170">
        <f>Tabela10[[#This Row],[M² Da chapa]]*Tabela10[[#This Row],[Qtde Chapas
Liberadas]]</f>
        <v/>
      </c>
      <c r="J927" s="59">
        <f>Tabela10[[#This Row],[ERP]]/Tabela10[[#This Row],[M² Da chapa]]</f>
        <v/>
      </c>
      <c r="K927" s="170">
        <f>Tabela10[[#This Row],[M² CHAPAS]]-Tabela10[[#This Row],[ERP]]</f>
        <v/>
      </c>
      <c r="L927" s="170">
        <f>Tabela10[[#This Row],[DIFERENÇA M²]]/Tabela10[[#This Row],[M² Da chapa]]</f>
        <v/>
      </c>
    </row>
    <row r="928">
      <c r="A928" s="6" t="n">
        <v>46203</v>
      </c>
      <c r="B928" s="8" t="inlineStr">
        <is>
          <t>N2606205</t>
        </is>
      </c>
      <c r="C928" s="168">
        <f>VLOOKUP(LEFT(B928,1),Tabela5[],2,0)</f>
        <v/>
      </c>
      <c r="D928" s="57" t="inlineStr">
        <is>
          <t>EUCADUR NT - 2,5MM</t>
        </is>
      </c>
      <c r="E928" s="170">
        <f>VLOOKUP(Tabela10[[#This Row],[Tipo de Chapa]],Tabela11[],2,FALSE)</f>
        <v/>
      </c>
      <c r="F928" s="169" t="n">
        <v>73</v>
      </c>
      <c r="G928" s="152" t="n">
        <v>0.0579</v>
      </c>
      <c r="H928" s="170">
        <f>Tabela10[[#This Row],[M² Da chapa]]*Tabela10[[#This Row],[Qtde Chapas
Liberadas]]</f>
        <v/>
      </c>
      <c r="J928" s="59">
        <f>Tabela10[[#This Row],[ERP]]/Tabela10[[#This Row],[M² Da chapa]]</f>
        <v/>
      </c>
      <c r="K928" s="170">
        <f>Tabela10[[#This Row],[M² CHAPAS]]-Tabela10[[#This Row],[ERP]]</f>
        <v/>
      </c>
      <c r="L928" s="170">
        <f>Tabela10[[#This Row],[DIFERENÇA M²]]/Tabela10[[#This Row],[M² Da chapa]]</f>
        <v/>
      </c>
    </row>
    <row r="929">
      <c r="A929" s="6" t="n">
        <v>46203</v>
      </c>
      <c r="B929" s="8" t="inlineStr">
        <is>
          <t>N2606502 | N2606503 | N2606504</t>
        </is>
      </c>
      <c r="C929" s="168">
        <f>VLOOKUP(LEFT(B929,1),Tabela5[],2,0)</f>
        <v/>
      </c>
      <c r="D929" s="57" t="inlineStr">
        <is>
          <t>EUCADUR NT - 2,5MM</t>
        </is>
      </c>
      <c r="E929" s="170">
        <f>VLOOKUP(Tabela10[[#This Row],[Tipo de Chapa]],Tabela11[],2,FALSE)</f>
        <v/>
      </c>
      <c r="F929" s="169" t="n">
        <v>203</v>
      </c>
      <c r="G929" s="152" t="n">
        <v>0.0648</v>
      </c>
      <c r="H929" s="170">
        <f>Tabela10[[#This Row],[M² Da chapa]]*Tabela10[[#This Row],[Qtde Chapas
Liberadas]]</f>
        <v/>
      </c>
      <c r="J929" s="59">
        <f>Tabela10[[#This Row],[ERP]]/Tabela10[[#This Row],[M² Da chapa]]</f>
        <v/>
      </c>
      <c r="K929" s="170">
        <f>Tabela10[[#This Row],[M² CHAPAS]]-Tabela10[[#This Row],[ERP]]</f>
        <v/>
      </c>
      <c r="L929" s="170">
        <f>Tabela10[[#This Row],[DIFERENÇA M²]]/Tabela10[[#This Row],[M² Da chapa]]</f>
        <v/>
      </c>
    </row>
    <row r="930">
      <c r="A930" s="6" t="n">
        <v>46203</v>
      </c>
      <c r="B930" s="8" t="inlineStr">
        <is>
          <t>N2606502 | N2606503 | N2606504</t>
        </is>
      </c>
      <c r="C930" s="168">
        <f>VLOOKUP(LEFT(B930,1),Tabela5[],2,0)</f>
        <v/>
      </c>
      <c r="D930" s="57" t="inlineStr">
        <is>
          <t>MDF - 15MM</t>
        </is>
      </c>
      <c r="E930" s="170">
        <f>VLOOKUP(Tabela10[[#This Row],[Tipo de Chapa]],Tabela11[],2,FALSE)</f>
        <v/>
      </c>
      <c r="F930" s="169">
        <f>534-9</f>
        <v/>
      </c>
      <c r="G930" s="152" t="n">
        <v>0.058</v>
      </c>
      <c r="H930" s="170">
        <f>Tabela10[[#This Row],[M² Da chapa]]*Tabela10[[#This Row],[Qtde Chapas
Liberadas]]</f>
        <v/>
      </c>
      <c r="J930" s="59">
        <f>Tabela10[[#This Row],[ERP]]/Tabela10[[#This Row],[M² Da chapa]]</f>
        <v/>
      </c>
      <c r="K930" s="170">
        <f>Tabela10[[#This Row],[M² CHAPAS]]-Tabela10[[#This Row],[ERP]]</f>
        <v/>
      </c>
      <c r="L930" s="170">
        <f>Tabela10[[#This Row],[DIFERENÇA M²]]/Tabela10[[#This Row],[M² Da chapa]]</f>
        <v/>
      </c>
    </row>
    <row r="931" hidden="1">
      <c r="A931" s="6" t="n">
        <v>46203</v>
      </c>
      <c r="B931" s="8" t="inlineStr">
        <is>
          <t>V-U26012</t>
        </is>
      </c>
      <c r="C931" s="168">
        <f>VLOOKUP(LEFT(B931,1),Tabela5[],2,0)</f>
        <v/>
      </c>
      <c r="D931" s="57" t="inlineStr">
        <is>
          <t>CAPA MDF - 15MM</t>
        </is>
      </c>
      <c r="E931" s="170">
        <f>VLOOKUP(Tabela10[[#This Row],[Tipo de Chapa]],Tabela11[],2,FALSE)</f>
        <v/>
      </c>
      <c r="F931" s="169" t="n">
        <v>15</v>
      </c>
      <c r="G931" s="152" t="n">
        <v>0.1386</v>
      </c>
      <c r="H931" s="170">
        <f>Tabela10[[#This Row],[M² Da chapa]]*Tabela10[[#This Row],[Qtde Chapas
Liberadas]]</f>
        <v/>
      </c>
      <c r="J931" s="59">
        <f>Tabela10[[#This Row],[ERP]]/Tabela10[[#This Row],[M² Da chapa]]</f>
        <v/>
      </c>
      <c r="K931" s="170">
        <f>Tabela10[[#This Row],[M² CHAPAS]]-Tabela10[[#This Row],[ERP]]</f>
        <v/>
      </c>
      <c r="L931" s="170">
        <f>Tabela10[[#This Row],[DIFERENÇA M²]]/Tabela10[[#This Row],[M² Da chapa]]</f>
        <v/>
      </c>
    </row>
    <row r="932" hidden="1">
      <c r="A932" s="6" t="n">
        <v>46203</v>
      </c>
      <c r="B932" s="8" t="inlineStr">
        <is>
          <t>V-U26012</t>
        </is>
      </c>
      <c r="C932" s="168">
        <f>VLOOKUP(LEFT(B932,1),Tabela5[],2,0)</f>
        <v/>
      </c>
      <c r="D932" s="57" t="inlineStr">
        <is>
          <t>MDF - 25MM 2750x2200</t>
        </is>
      </c>
      <c r="E932" s="169">
        <f>VLOOKUP(Tabela10[[#This Row],[Tipo de Chapa]],Tabela11[],2,FALSE)</f>
        <v/>
      </c>
      <c r="F932" s="151" t="n">
        <v>25</v>
      </c>
      <c r="G932" s="152" t="n">
        <v>0.0508</v>
      </c>
      <c r="H932" s="170">
        <f>Tabela10[[#This Row],[M² Da chapa]]*Tabela10[[#This Row],[Qtde Chapas
Liberadas]]</f>
        <v/>
      </c>
      <c r="J932" s="59">
        <f>Tabela10[[#This Row],[ERP]]/Tabela10[[#This Row],[M² Da chapa]]</f>
        <v/>
      </c>
      <c r="K932" s="170">
        <f>Tabela10[[#This Row],[M² CHAPAS]]-Tabela10[[#This Row],[ERP]]</f>
        <v/>
      </c>
      <c r="L932" s="170">
        <f>Tabela10[[#This Row],[DIFERENÇA M²]]/Tabela10[[#This Row],[M² Da chapa]]</f>
        <v/>
      </c>
    </row>
    <row r="933" hidden="1">
      <c r="A933" s="6" t="n">
        <v>46203</v>
      </c>
      <c r="B933" s="8" t="inlineStr">
        <is>
          <t>V-U26013</t>
        </is>
      </c>
      <c r="C933" s="168">
        <f>VLOOKUP(LEFT(B933,1),Tabela5[],2,0)</f>
        <v/>
      </c>
      <c r="D933" s="57" t="inlineStr">
        <is>
          <t>CAPA MDF - 15MM</t>
        </is>
      </c>
      <c r="E933" s="169">
        <f>VLOOKUP(Tabela10[[#This Row],[Tipo de Chapa]],Tabela11[],2,FALSE)</f>
        <v/>
      </c>
      <c r="F933" s="151" t="n">
        <v>14</v>
      </c>
      <c r="G933" s="152" t="n">
        <v>0.1386</v>
      </c>
      <c r="H933" s="170">
        <f>Tabela10[[#This Row],[M² Da chapa]]*Tabela10[[#This Row],[Qtde Chapas
Liberadas]]</f>
        <v/>
      </c>
      <c r="J933" s="59">
        <f>Tabela10[[#This Row],[ERP]]/Tabela10[[#This Row],[M² Da chapa]]</f>
        <v/>
      </c>
      <c r="K933" s="170">
        <f>Tabela10[[#This Row],[M² CHAPAS]]-Tabela10[[#This Row],[ERP]]</f>
        <v/>
      </c>
      <c r="L933" s="170">
        <f>Tabela10[[#This Row],[DIFERENÇA M²]]/Tabela10[[#This Row],[M² Da chapa]]</f>
        <v/>
      </c>
    </row>
    <row r="934" hidden="1">
      <c r="A934" s="6" t="n">
        <v>46203</v>
      </c>
      <c r="B934" s="8" t="inlineStr">
        <is>
          <t>V-U26013</t>
        </is>
      </c>
      <c r="C934" s="168">
        <f>VLOOKUP(LEFT(B934,1),Tabela5[],2,0)</f>
        <v/>
      </c>
      <c r="D934" s="57" t="inlineStr">
        <is>
          <t>MDF - 25MM 2750x2200</t>
        </is>
      </c>
      <c r="E934" s="169">
        <f>VLOOKUP(Tabela10[[#This Row],[Tipo de Chapa]],Tabela11[],2,FALSE)</f>
        <v/>
      </c>
      <c r="F934" s="151" t="n">
        <v>25</v>
      </c>
      <c r="G934" s="152" t="n">
        <v>0.0508</v>
      </c>
      <c r="H934" s="170">
        <f>Tabela10[[#This Row],[M² Da chapa]]*Tabela10[[#This Row],[Qtde Chapas
Liberadas]]</f>
        <v/>
      </c>
      <c r="J934" s="59">
        <f>Tabela10[[#This Row],[ERP]]/Tabela10[[#This Row],[M² Da chapa]]</f>
        <v/>
      </c>
      <c r="K934" s="170">
        <f>Tabela10[[#This Row],[M² CHAPAS]]-Tabela10[[#This Row],[ERP]]</f>
        <v/>
      </c>
      <c r="L934" s="170">
        <f>Tabela10[[#This Row],[DIFERENÇA M²]]/Tabela10[[#This Row],[M² Da chapa]]</f>
        <v/>
      </c>
    </row>
    <row r="935" hidden="1">
      <c r="A935" s="6" t="n">
        <v>46203</v>
      </c>
      <c r="B935" s="8" t="inlineStr">
        <is>
          <t>V-U26014</t>
        </is>
      </c>
      <c r="C935" s="168">
        <f>VLOOKUP(LEFT(B935,1),Tabela5[],2,0)</f>
        <v/>
      </c>
      <c r="D935" s="57" t="inlineStr">
        <is>
          <t>CAPA MDF - 15MM</t>
        </is>
      </c>
      <c r="E935" s="169">
        <f>VLOOKUP(Tabela10[[#This Row],[Tipo de Chapa]],Tabela11[],2,FALSE)</f>
        <v/>
      </c>
      <c r="F935" s="151" t="n">
        <v>14</v>
      </c>
      <c r="G935" s="152" t="n">
        <v>0.1386</v>
      </c>
      <c r="H935" s="170">
        <f>Tabela10[[#This Row],[M² Da chapa]]*Tabela10[[#This Row],[Qtde Chapas
Liberadas]]</f>
        <v/>
      </c>
      <c r="J935" s="59">
        <f>Tabela10[[#This Row],[ERP]]/Tabela10[[#This Row],[M² Da chapa]]</f>
        <v/>
      </c>
      <c r="K935" s="170">
        <f>Tabela10[[#This Row],[M² CHAPAS]]-Tabela10[[#This Row],[ERP]]</f>
        <v/>
      </c>
      <c r="L935" s="170">
        <f>Tabela10[[#This Row],[DIFERENÇA M²]]/Tabela10[[#This Row],[M² Da chapa]]</f>
        <v/>
      </c>
    </row>
    <row r="936" hidden="1">
      <c r="A936" s="6" t="n">
        <v>46203</v>
      </c>
      <c r="B936" s="8" t="inlineStr">
        <is>
          <t>V-U26014</t>
        </is>
      </c>
      <c r="C936" s="168">
        <f>VLOOKUP(LEFT(B936,1),Tabela5[],2,0)</f>
        <v/>
      </c>
      <c r="D936" s="57" t="inlineStr">
        <is>
          <t>MDF - 25MM 2750x2200</t>
        </is>
      </c>
      <c r="E936" s="169">
        <f>VLOOKUP(Tabela10[[#This Row],[Tipo de Chapa]],Tabela11[],2,FALSE)</f>
        <v/>
      </c>
      <c r="F936" s="151" t="n">
        <v>34</v>
      </c>
      <c r="G936" s="152" t="n">
        <v>0.0533</v>
      </c>
      <c r="H936" s="170">
        <f>Tabela10[[#This Row],[M² Da chapa]]*Tabela10[[#This Row],[Qtde Chapas
Liberadas]]</f>
        <v/>
      </c>
      <c r="J936" s="59">
        <f>Tabela10[[#This Row],[ERP]]/Tabela10[[#This Row],[M² Da chapa]]</f>
        <v/>
      </c>
      <c r="K936" s="170">
        <f>Tabela10[[#This Row],[M² CHAPAS]]-Tabela10[[#This Row],[ERP]]</f>
        <v/>
      </c>
      <c r="L936" s="170">
        <f>Tabela10[[#This Row],[DIFERENÇA M²]]/Tabela10[[#This Row],[M² Da chapa]]</f>
        <v/>
      </c>
    </row>
    <row r="937" hidden="1">
      <c r="A937" s="6" t="n">
        <v>46203</v>
      </c>
      <c r="B937" s="8" t="inlineStr">
        <is>
          <t>V-U26015</t>
        </is>
      </c>
      <c r="C937" s="168">
        <f>VLOOKUP(LEFT(B937,1),Tabela5[],2,0)</f>
        <v/>
      </c>
      <c r="D937" s="57" t="inlineStr">
        <is>
          <t>CAPA MDF - 15MM</t>
        </is>
      </c>
      <c r="E937" s="169">
        <f>VLOOKUP(Tabela10[[#This Row],[Tipo de Chapa]],Tabela11[],2,FALSE)</f>
        <v/>
      </c>
      <c r="F937" s="151" t="n">
        <v>15</v>
      </c>
      <c r="G937" s="152" t="n">
        <v>0.1386</v>
      </c>
      <c r="H937" s="170">
        <f>Tabela10[[#This Row],[M² Da chapa]]*Tabela10[[#This Row],[Qtde Chapas
Liberadas]]</f>
        <v/>
      </c>
      <c r="J937" s="59">
        <f>Tabela10[[#This Row],[ERP]]/Tabela10[[#This Row],[M² Da chapa]]</f>
        <v/>
      </c>
      <c r="K937" s="170">
        <f>Tabela10[[#This Row],[M² CHAPAS]]-Tabela10[[#This Row],[ERP]]</f>
        <v/>
      </c>
      <c r="L937" s="170">
        <f>Tabela10[[#This Row],[DIFERENÇA M²]]/Tabela10[[#This Row],[M² Da chapa]]</f>
        <v/>
      </c>
    </row>
    <row r="938" hidden="1">
      <c r="A938" s="6" t="n">
        <v>46203</v>
      </c>
      <c r="B938" s="8" t="inlineStr">
        <is>
          <t>V-U26015</t>
        </is>
      </c>
      <c r="C938" s="168">
        <f>VLOOKUP(LEFT(B938,1),Tabela5[],2,0)</f>
        <v/>
      </c>
      <c r="D938" s="57" t="inlineStr">
        <is>
          <t>MDF - 25MM 2750x2200</t>
        </is>
      </c>
      <c r="E938" s="169">
        <f>VLOOKUP(Tabela10[[#This Row],[Tipo de Chapa]],Tabela11[],2,FALSE)</f>
        <v/>
      </c>
      <c r="F938" s="151" t="n">
        <v>33</v>
      </c>
      <c r="G938" s="152" t="n">
        <v>0.0533</v>
      </c>
      <c r="H938" s="170">
        <f>Tabela10[[#This Row],[M² Da chapa]]*Tabela10[[#This Row],[Qtde Chapas
Liberadas]]</f>
        <v/>
      </c>
      <c r="J938" s="59">
        <f>Tabela10[[#This Row],[ERP]]/Tabela10[[#This Row],[M² Da chapa]]</f>
        <v/>
      </c>
      <c r="K938" s="170">
        <f>Tabela10[[#This Row],[M² CHAPAS]]-Tabela10[[#This Row],[ERP]]</f>
        <v/>
      </c>
      <c r="L938" s="170">
        <f>Tabela10[[#This Row],[DIFERENÇA M²]]/Tabela10[[#This Row],[M² Da chapa]]</f>
        <v/>
      </c>
    </row>
    <row r="939" hidden="1">
      <c r="A939" s="6" t="n">
        <v>46203</v>
      </c>
      <c r="B939" s="8" t="inlineStr">
        <is>
          <t>V-U26016</t>
        </is>
      </c>
      <c r="C939" s="168">
        <f>VLOOKUP(LEFT(B939,1),Tabela5[],2,0)</f>
        <v/>
      </c>
      <c r="D939" s="57" t="inlineStr">
        <is>
          <t>CAPA MDF - 15MM</t>
        </is>
      </c>
      <c r="E939" s="169">
        <f>VLOOKUP(Tabela10[[#This Row],[Tipo de Chapa]],Tabela11[],2,FALSE)</f>
        <v/>
      </c>
      <c r="F939" s="151" t="n">
        <v>17</v>
      </c>
      <c r="G939" s="152" t="n">
        <v>0.1386</v>
      </c>
      <c r="H939" s="170">
        <f>Tabela10[[#This Row],[M² Da chapa]]*Tabela10[[#This Row],[Qtde Chapas
Liberadas]]</f>
        <v/>
      </c>
      <c r="J939" s="59">
        <f>Tabela10[[#This Row],[ERP]]/Tabela10[[#This Row],[M² Da chapa]]</f>
        <v/>
      </c>
      <c r="K939" s="170">
        <f>Tabela10[[#This Row],[M² CHAPAS]]-Tabela10[[#This Row],[ERP]]</f>
        <v/>
      </c>
      <c r="L939" s="170">
        <f>Tabela10[[#This Row],[DIFERENÇA M²]]/Tabela10[[#This Row],[M² Da chapa]]</f>
        <v/>
      </c>
    </row>
    <row r="940" hidden="1">
      <c r="A940" s="6" t="n">
        <v>46203</v>
      </c>
      <c r="B940" s="8" t="inlineStr">
        <is>
          <t>V-U26016</t>
        </is>
      </c>
      <c r="C940" s="168">
        <f>VLOOKUP(LEFT(B940,1),Tabela5[],2,0)</f>
        <v/>
      </c>
      <c r="D940" s="57" t="inlineStr">
        <is>
          <t>MDF - 25MM 2750x2100</t>
        </is>
      </c>
      <c r="E940" s="169">
        <f>VLOOKUP(Tabela10[[#This Row],[Tipo de Chapa]],Tabela11[],2,FALSE)</f>
        <v/>
      </c>
      <c r="F940" s="151" t="n">
        <v>14</v>
      </c>
      <c r="G940" s="152" t="n">
        <v>0.0351</v>
      </c>
      <c r="H940" s="170">
        <f>Tabela10[[#This Row],[M² Da chapa]]*Tabela10[[#This Row],[Qtde Chapas
Liberadas]]</f>
        <v/>
      </c>
      <c r="J940" s="59">
        <f>Tabela10[[#This Row],[ERP]]/Tabela10[[#This Row],[M² Da chapa]]</f>
        <v/>
      </c>
      <c r="K940" s="170">
        <f>Tabela10[[#This Row],[M² CHAPAS]]-Tabela10[[#This Row],[ERP]]</f>
        <v/>
      </c>
      <c r="L940" s="170">
        <f>Tabela10[[#This Row],[DIFERENÇA M²]]/Tabela10[[#This Row],[M² Da chapa]]</f>
        <v/>
      </c>
    </row>
    <row r="941" hidden="1">
      <c r="A941" s="6" t="n">
        <v>46203</v>
      </c>
      <c r="B941" s="8" t="inlineStr">
        <is>
          <t>V-U26016</t>
        </is>
      </c>
      <c r="C941" s="168">
        <f>VLOOKUP(LEFT(B941,1),Tabela5[],2,0)</f>
        <v/>
      </c>
      <c r="D941" s="57" t="inlineStr">
        <is>
          <t>MDF - 25MM 2750x2200</t>
        </is>
      </c>
      <c r="E941" s="169">
        <f>VLOOKUP(Tabela10[[#This Row],[Tipo de Chapa]],Tabela11[],2,FALSE)</f>
        <v/>
      </c>
      <c r="F941" s="151" t="n">
        <v>13</v>
      </c>
      <c r="G941" s="152" t="n">
        <v>0.0789</v>
      </c>
      <c r="H941" s="170">
        <f>Tabela10[[#This Row],[M² Da chapa]]*Tabela10[[#This Row],[Qtde Chapas
Liberadas]]</f>
        <v/>
      </c>
      <c r="J941" s="59">
        <f>Tabela10[[#This Row],[ERP]]/Tabela10[[#This Row],[M² Da chapa]]</f>
        <v/>
      </c>
      <c r="K941" s="170">
        <f>Tabela10[[#This Row],[M² CHAPAS]]-Tabela10[[#This Row],[ERP]]</f>
        <v/>
      </c>
      <c r="L941" s="170">
        <f>Tabela10[[#This Row],[DIFERENÇA M²]]/Tabela10[[#This Row],[M² Da chapa]]</f>
        <v/>
      </c>
    </row>
    <row r="942" hidden="1">
      <c r="A942" s="6" t="n">
        <v>46203</v>
      </c>
      <c r="B942" s="8" t="inlineStr">
        <is>
          <t>V-U26017</t>
        </is>
      </c>
      <c r="C942" s="168">
        <f>VLOOKUP(LEFT(B942,1),Tabela5[],2,0)</f>
        <v/>
      </c>
      <c r="D942" s="57" t="inlineStr">
        <is>
          <t>CAPA MDF - 15MM</t>
        </is>
      </c>
      <c r="E942" s="169">
        <f>VLOOKUP(Tabela10[[#This Row],[Tipo de Chapa]],Tabela11[],2,FALSE)</f>
        <v/>
      </c>
      <c r="F942" s="151" t="n">
        <v>17</v>
      </c>
      <c r="G942" s="152" t="n">
        <v>0.0386</v>
      </c>
      <c r="H942" s="170">
        <f>Tabela10[[#This Row],[M² Da chapa]]*Tabela10[[#This Row],[Qtde Chapas
Liberadas]]</f>
        <v/>
      </c>
      <c r="J942" s="59">
        <f>Tabela10[[#This Row],[ERP]]/Tabela10[[#This Row],[M² Da chapa]]</f>
        <v/>
      </c>
      <c r="K942" s="170">
        <f>Tabela10[[#This Row],[M² CHAPAS]]-Tabela10[[#This Row],[ERP]]</f>
        <v/>
      </c>
      <c r="L942" s="170">
        <f>Tabela10[[#This Row],[DIFERENÇA M²]]/Tabela10[[#This Row],[M² Da chapa]]</f>
        <v/>
      </c>
    </row>
    <row r="943" hidden="1">
      <c r="A943" s="6" t="n">
        <v>46203</v>
      </c>
      <c r="B943" s="8" t="inlineStr">
        <is>
          <t>V-U26017</t>
        </is>
      </c>
      <c r="C943" s="168">
        <f>VLOOKUP(LEFT(B943,1),Tabela5[],2,0)</f>
        <v/>
      </c>
      <c r="D943" s="57" t="inlineStr">
        <is>
          <t>MDF - 25MM 2750x2200</t>
        </is>
      </c>
      <c r="E943" s="169">
        <f>VLOOKUP(Tabela10[[#This Row],[Tipo de Chapa]],Tabela11[],2,FALSE)</f>
        <v/>
      </c>
      <c r="F943" s="151" t="n">
        <v>27</v>
      </c>
      <c r="G943" s="152" t="n">
        <v>0.0789</v>
      </c>
      <c r="H943" s="170">
        <f>Tabela10[[#This Row],[M² Da chapa]]*Tabela10[[#This Row],[Qtde Chapas
Liberadas]]</f>
        <v/>
      </c>
      <c r="J943" s="59">
        <f>Tabela10[[#This Row],[ERP]]/Tabela10[[#This Row],[M² Da chapa]]</f>
        <v/>
      </c>
      <c r="K943" s="170">
        <f>Tabela10[[#This Row],[M² CHAPAS]]-Tabela10[[#This Row],[ERP]]</f>
        <v/>
      </c>
      <c r="L943" s="170">
        <f>Tabela10[[#This Row],[DIFERENÇA M²]]/Tabela10[[#This Row],[M² Da chapa]]</f>
        <v/>
      </c>
    </row>
    <row r="944" hidden="1">
      <c r="A944" s="6" t="n">
        <v>46203</v>
      </c>
      <c r="B944" s="8" t="inlineStr">
        <is>
          <t>V-U26018</t>
        </is>
      </c>
      <c r="C944" s="168">
        <f>VLOOKUP(LEFT(B944,1),Tabela5[],2,0)</f>
        <v/>
      </c>
      <c r="D944" s="57" t="inlineStr">
        <is>
          <t>CAPA MDF - 15MM</t>
        </is>
      </c>
      <c r="E944" s="169">
        <f>VLOOKUP(Tabela10[[#This Row],[Tipo de Chapa]],Tabela11[],2,FALSE)</f>
        <v/>
      </c>
      <c r="F944" s="151" t="n">
        <v>8</v>
      </c>
      <c r="G944" s="152" t="n">
        <v>0.1386</v>
      </c>
      <c r="H944" s="170">
        <f>Tabela10[[#This Row],[M² Da chapa]]*Tabela10[[#This Row],[Qtde Chapas
Liberadas]]</f>
        <v/>
      </c>
      <c r="J944" s="59">
        <f>Tabela10[[#This Row],[ERP]]/Tabela10[[#This Row],[M² Da chapa]]</f>
        <v/>
      </c>
      <c r="K944" s="170">
        <f>Tabela10[[#This Row],[M² CHAPAS]]-Tabela10[[#This Row],[ERP]]</f>
        <v/>
      </c>
      <c r="L944" s="170">
        <f>Tabela10[[#This Row],[DIFERENÇA M²]]/Tabela10[[#This Row],[M² Da chapa]]</f>
        <v/>
      </c>
    </row>
    <row r="945" hidden="1">
      <c r="A945" s="6" t="n">
        <v>46203</v>
      </c>
      <c r="B945" s="8" t="inlineStr">
        <is>
          <t>V-U26018</t>
        </is>
      </c>
      <c r="C945" s="168">
        <f>VLOOKUP(LEFT(B945,1),Tabela5[],2,0)</f>
        <v/>
      </c>
      <c r="D945" s="57" t="inlineStr">
        <is>
          <t>MDF - 25MM 2750x2200</t>
        </is>
      </c>
      <c r="E945" s="169">
        <f>VLOOKUP(Tabela10[[#This Row],[Tipo de Chapa]],Tabela11[],2,FALSE)</f>
        <v/>
      </c>
      <c r="F945" s="151" t="n">
        <v>13</v>
      </c>
      <c r="G945" s="152" t="n">
        <v>0.0789</v>
      </c>
      <c r="H945" s="170">
        <f>Tabela10[[#This Row],[M² Da chapa]]*Tabela10[[#This Row],[Qtde Chapas
Liberadas]]</f>
        <v/>
      </c>
      <c r="J945" s="59">
        <f>Tabela10[[#This Row],[ERP]]/Tabela10[[#This Row],[M² Da chapa]]</f>
        <v/>
      </c>
      <c r="K945" s="170">
        <f>Tabela10[[#This Row],[M² CHAPAS]]-Tabela10[[#This Row],[ERP]]</f>
        <v/>
      </c>
      <c r="L945" s="170">
        <f>Tabela10[[#This Row],[DIFERENÇA M²]]/Tabela10[[#This Row],[M² Da chapa]]</f>
        <v/>
      </c>
    </row>
    <row r="946" hidden="1">
      <c r="A946" s="6" t="n">
        <v>46203</v>
      </c>
      <c r="B946" s="8" t="inlineStr">
        <is>
          <t>V2607001</t>
        </is>
      </c>
      <c r="C946" s="168">
        <f>VLOOKUP(LEFT(B946,1),Tabela5[],2,0)</f>
        <v/>
      </c>
      <c r="D946" s="57" t="inlineStr">
        <is>
          <t>MDF - 25MM 2750x2100</t>
        </is>
      </c>
      <c r="E946" s="169">
        <f>VLOOKUP(Tabela10[[#This Row],[Tipo de Chapa]],Tabela11[],2,FALSE)</f>
        <v/>
      </c>
      <c r="F946" s="151" t="n">
        <v>18</v>
      </c>
      <c r="G946" s="152" t="n">
        <v>0.0325</v>
      </c>
      <c r="H946" s="170">
        <f>Tabela10[[#This Row],[M² Da chapa]]*Tabela10[[#This Row],[Qtde Chapas
Liberadas]]</f>
        <v/>
      </c>
      <c r="J946" s="59">
        <f>Tabela10[[#This Row],[ERP]]/Tabela10[[#This Row],[M² Da chapa]]</f>
        <v/>
      </c>
      <c r="K946" s="170">
        <f>Tabela10[[#This Row],[M² CHAPAS]]-Tabela10[[#This Row],[ERP]]</f>
        <v/>
      </c>
      <c r="L946" s="170">
        <f>Tabela10[[#This Row],[DIFERENÇA M²]]/Tabela10[[#This Row],[M² Da chapa]]</f>
        <v/>
      </c>
    </row>
    <row r="947" hidden="1">
      <c r="A947" s="6" t="n">
        <v>46204</v>
      </c>
      <c r="B947" s="8" t="inlineStr">
        <is>
          <t>M26032</t>
        </is>
      </c>
      <c r="C947" s="168">
        <f>VLOOKUP(LEFT(B947,1),Tabela5[],2,0)</f>
        <v/>
      </c>
      <c r="D947" s="57" t="inlineStr">
        <is>
          <t>MDF - 15MM</t>
        </is>
      </c>
      <c r="E947" s="169">
        <f>VLOOKUP(Tabela10[[#This Row],[Tipo de Chapa]],Tabela11[],2,FALSE)</f>
        <v/>
      </c>
      <c r="F947" s="151" t="n">
        <v>1224</v>
      </c>
      <c r="G947" s="152" t="n">
        <v>0.07199999999999999</v>
      </c>
      <c r="H947" s="170">
        <f>Tabela10[[#This Row],[M² Da chapa]]*Tabela10[[#This Row],[Qtde Chapas
Liberadas]]</f>
        <v/>
      </c>
      <c r="J947" s="59">
        <f>Tabela10[[#This Row],[ERP]]/Tabela10[[#This Row],[M² Da chapa]]</f>
        <v/>
      </c>
      <c r="K947" s="170">
        <f>Tabela10[[#This Row],[M² CHAPAS]]-Tabela10[[#This Row],[ERP]]</f>
        <v/>
      </c>
      <c r="L947" s="170">
        <f>Tabela10[[#This Row],[DIFERENÇA M²]]/Tabela10[[#This Row],[M² Da chapa]]</f>
        <v/>
      </c>
    </row>
    <row r="948" hidden="1">
      <c r="A948" s="6" t="n">
        <v>46204</v>
      </c>
      <c r="B948" s="8" t="inlineStr">
        <is>
          <t>M26032</t>
        </is>
      </c>
      <c r="C948" s="168">
        <f>VLOOKUP(LEFT(B948,1),Tabela5[],2,0)</f>
        <v/>
      </c>
      <c r="D948" s="57" t="inlineStr">
        <is>
          <t>MDF - 9MM</t>
        </is>
      </c>
      <c r="E948" s="169">
        <f>VLOOKUP(Tabela10[[#This Row],[Tipo de Chapa]],Tabela11[],2,FALSE)</f>
        <v/>
      </c>
      <c r="F948" s="151" t="n">
        <v>318</v>
      </c>
      <c r="G948" s="152" t="n">
        <v>0.0428</v>
      </c>
      <c r="H948" s="170">
        <f>Tabela10[[#This Row],[M² Da chapa]]*Tabela10[[#This Row],[Qtde Chapas
Liberadas]]</f>
        <v/>
      </c>
      <c r="J948" s="59">
        <f>Tabela10[[#This Row],[ERP]]/Tabela10[[#This Row],[M² Da chapa]]</f>
        <v/>
      </c>
      <c r="K948" s="170">
        <f>Tabela10[[#This Row],[M² CHAPAS]]-Tabela10[[#This Row],[ERP]]</f>
        <v/>
      </c>
      <c r="L948" s="170">
        <f>Tabela10[[#This Row],[DIFERENÇA M²]]/Tabela10[[#This Row],[M² Da chapa]]</f>
        <v/>
      </c>
    </row>
    <row r="949">
      <c r="A949" s="6" t="n">
        <v>46205</v>
      </c>
      <c r="B949" s="8" t="inlineStr">
        <is>
          <t>N2605601 | N2605602</t>
        </is>
      </c>
      <c r="C949" s="168">
        <f>VLOOKUP(LEFT(B949,1),Tabela5[],2,0)</f>
        <v/>
      </c>
      <c r="D949" s="57" t="inlineStr">
        <is>
          <t>MDF - 15MM</t>
        </is>
      </c>
      <c r="E949" s="169">
        <f>VLOOKUP(Tabela10[[#This Row],[Tipo de Chapa]],Tabela11[],2,FALSE)</f>
        <v/>
      </c>
      <c r="F949" s="151">
        <f>96+113</f>
        <v/>
      </c>
      <c r="G949" s="152" t="n">
        <v>0.0571</v>
      </c>
      <c r="H949" s="170">
        <f>Tabela10[[#This Row],[M² Da chapa]]*Tabela10[[#This Row],[Qtde Chapas
Liberadas]]</f>
        <v/>
      </c>
      <c r="J949" s="59">
        <f>Tabela10[[#This Row],[ERP]]/Tabela10[[#This Row],[M² Da chapa]]</f>
        <v/>
      </c>
      <c r="K949" s="170">
        <f>Tabela10[[#This Row],[M² CHAPAS]]-Tabela10[[#This Row],[ERP]]</f>
        <v/>
      </c>
      <c r="L949" s="170">
        <f>Tabela10[[#This Row],[DIFERENÇA M²]]/Tabela10[[#This Row],[M² Da chapa]]</f>
        <v/>
      </c>
    </row>
    <row r="950">
      <c r="A950" s="6" t="n">
        <v>46205</v>
      </c>
      <c r="B950" s="8" t="inlineStr">
        <is>
          <t>N2605601 | N2605602</t>
        </is>
      </c>
      <c r="C950" s="168">
        <f>VLOOKUP(LEFT(B950,1),Tabela5[],2,0)</f>
        <v/>
      </c>
      <c r="D950" s="57" t="inlineStr">
        <is>
          <t>EUCADUR NT - 2,5MM</t>
        </is>
      </c>
      <c r="E950" s="169">
        <f>VLOOKUP(Tabela10[[#This Row],[Tipo de Chapa]],Tabela11[],2,FALSE)</f>
        <v/>
      </c>
      <c r="F950" s="151" t="n">
        <v>119</v>
      </c>
      <c r="G950" s="152" t="n">
        <v>0.06</v>
      </c>
      <c r="H950" s="170">
        <f>Tabela10[[#This Row],[M² Da chapa]]*Tabela10[[#This Row],[Qtde Chapas
Liberadas]]</f>
        <v/>
      </c>
      <c r="J950" s="59">
        <f>Tabela10[[#This Row],[ERP]]/Tabela10[[#This Row],[M² Da chapa]]</f>
        <v/>
      </c>
      <c r="K950" s="170">
        <f>Tabela10[[#This Row],[M² CHAPAS]]-Tabela10[[#This Row],[ERP]]</f>
        <v/>
      </c>
      <c r="L950" s="170">
        <f>Tabela10[[#This Row],[DIFERENÇA M²]]/Tabela10[[#This Row],[M² Da chapa]]</f>
        <v/>
      </c>
    </row>
    <row r="951">
      <c r="A951" s="6" t="n">
        <v>46205</v>
      </c>
      <c r="B951" s="8" t="inlineStr">
        <is>
          <t>N2606501</t>
        </is>
      </c>
      <c r="C951" s="168">
        <f>VLOOKUP(LEFT(B951,1),Tabela5[],2,0)</f>
        <v/>
      </c>
      <c r="D951" s="57" t="inlineStr">
        <is>
          <t>MDF - 15MM</t>
        </is>
      </c>
      <c r="E951" s="169">
        <f>VLOOKUP(Tabela10[[#This Row],[Tipo de Chapa]],Tabela11[],2,FALSE)</f>
        <v/>
      </c>
      <c r="F951" s="151" t="n">
        <v>284</v>
      </c>
      <c r="G951" s="152" t="n">
        <v>0.0534</v>
      </c>
      <c r="H951" s="170">
        <f>Tabela10[[#This Row],[M² Da chapa]]*Tabela10[[#This Row],[Qtde Chapas
Liberadas]]</f>
        <v/>
      </c>
      <c r="J951" s="59">
        <f>Tabela10[[#This Row],[ERP]]/Tabela10[[#This Row],[M² Da chapa]]</f>
        <v/>
      </c>
      <c r="K951" s="170">
        <f>Tabela10[[#This Row],[M² CHAPAS]]-Tabela10[[#This Row],[ERP]]</f>
        <v/>
      </c>
      <c r="L951" s="170">
        <f>Tabela10[[#This Row],[DIFERENÇA M²]]/Tabela10[[#This Row],[M² Da chapa]]</f>
        <v/>
      </c>
    </row>
    <row r="952">
      <c r="A952" s="6" t="n">
        <v>46205</v>
      </c>
      <c r="B952" s="8" t="inlineStr">
        <is>
          <t>N26067</t>
        </is>
      </c>
      <c r="C952" s="168">
        <f>VLOOKUP(LEFT(B952,1),Tabela5[],2,0)</f>
        <v/>
      </c>
      <c r="D952" s="57" t="inlineStr">
        <is>
          <t>MDF - 15MM</t>
        </is>
      </c>
      <c r="E952" s="169">
        <f>VLOOKUP(Tabela10[[#This Row],[Tipo de Chapa]],Tabela11[],2,FALSE)</f>
        <v/>
      </c>
      <c r="F952" s="147">
        <f>564+1</f>
        <v/>
      </c>
      <c r="G952" s="152" t="n">
        <v>0.0475</v>
      </c>
      <c r="H952" s="170">
        <f>Tabela10[[#This Row],[M² Da chapa]]*Tabela10[[#This Row],[Qtde Chapas
Liberadas]]</f>
        <v/>
      </c>
      <c r="J952" s="59">
        <f>Tabela10[[#This Row],[ERP]]/Tabela10[[#This Row],[M² Da chapa]]</f>
        <v/>
      </c>
      <c r="K952" s="170">
        <f>Tabela10[[#This Row],[M² CHAPAS]]-Tabela10[[#This Row],[ERP]]</f>
        <v/>
      </c>
      <c r="L952" s="170">
        <f>Tabela10[[#This Row],[DIFERENÇA M²]]/Tabela10[[#This Row],[M² Da chapa]]</f>
        <v/>
      </c>
    </row>
    <row r="953">
      <c r="A953" s="6" t="n">
        <v>46205</v>
      </c>
      <c r="B953" s="8" t="inlineStr">
        <is>
          <t>N2606501</t>
        </is>
      </c>
      <c r="C953" s="168">
        <f>VLOOKUP(LEFT(B953,1),Tabela5[],2,0)</f>
        <v/>
      </c>
      <c r="D953" s="57" t="inlineStr">
        <is>
          <t>EUCADUR BR - 2,5MM</t>
        </is>
      </c>
      <c r="E953" s="169">
        <f>VLOOKUP(Tabela10[[#This Row],[Tipo de Chapa]],Tabela11[],2,FALSE)</f>
        <v/>
      </c>
      <c r="F953" s="151" t="n">
        <v>110</v>
      </c>
      <c r="G953" s="152" t="n">
        <v>0.0629</v>
      </c>
      <c r="H953" s="170">
        <f>Tabela10[[#This Row],[M² Da chapa]]*Tabela10[[#This Row],[Qtde Chapas
Liberadas]]</f>
        <v/>
      </c>
      <c r="J953" s="59">
        <f>Tabela10[[#This Row],[ERP]]/Tabela10[[#This Row],[M² Da chapa]]</f>
        <v/>
      </c>
      <c r="K953" s="170">
        <f>Tabela10[[#This Row],[M² CHAPAS]]-Tabela10[[#This Row],[ERP]]</f>
        <v/>
      </c>
      <c r="L953" s="170">
        <f>Tabela10[[#This Row],[DIFERENÇA M²]]/Tabela10[[#This Row],[M² Da chapa]]</f>
        <v/>
      </c>
    </row>
    <row r="954">
      <c r="A954" s="6" t="n">
        <v>46205</v>
      </c>
      <c r="B954" s="8" t="inlineStr">
        <is>
          <t>N26067</t>
        </is>
      </c>
      <c r="C954" s="168">
        <f>VLOOKUP(LEFT(B954,1),Tabela5[],2,0)</f>
        <v/>
      </c>
      <c r="D954" s="57" t="inlineStr">
        <is>
          <t>EUCADUR FRJ - 2,5MM</t>
        </is>
      </c>
      <c r="E954" s="169">
        <f>VLOOKUP(Tabela10[[#This Row],[Tipo de Chapa]],Tabela11[],2,FALSE)</f>
        <v/>
      </c>
      <c r="F954" s="151" t="n">
        <v>377</v>
      </c>
      <c r="G954" s="152" t="n">
        <v>0.0606</v>
      </c>
      <c r="H954" s="170">
        <f>Tabela10[[#This Row],[M² Da chapa]]*Tabela10[[#This Row],[Qtde Chapas
Liberadas]]</f>
        <v/>
      </c>
      <c r="J954" s="59">
        <f>Tabela10[[#This Row],[ERP]]/Tabela10[[#This Row],[M² Da chapa]]</f>
        <v/>
      </c>
      <c r="K954" s="170">
        <f>Tabela10[[#This Row],[M² CHAPAS]]-Tabela10[[#This Row],[ERP]]</f>
        <v/>
      </c>
      <c r="L954" s="170">
        <f>Tabela10[[#This Row],[DIFERENÇA M²]]/Tabela10[[#This Row],[M² Da chapa]]</f>
        <v/>
      </c>
    </row>
    <row r="955">
      <c r="A955" s="6" t="n">
        <v>46205</v>
      </c>
      <c r="B955" s="8" t="inlineStr">
        <is>
          <t>N2606401</t>
        </is>
      </c>
      <c r="C955" s="168">
        <f>VLOOKUP(LEFT(B955,1),Tabela5[],2,0)</f>
        <v/>
      </c>
      <c r="D955" s="57" t="inlineStr">
        <is>
          <t>MDF - 15MM</t>
        </is>
      </c>
      <c r="E955" s="169">
        <f>VLOOKUP(Tabela10[[#This Row],[Tipo de Chapa]],Tabela11[],2,FALSE)</f>
        <v/>
      </c>
      <c r="F955" s="151" t="n">
        <v>117</v>
      </c>
      <c r="G955" s="152" t="n">
        <v>0.06320000000000001</v>
      </c>
      <c r="H955" s="170">
        <f>Tabela10[[#This Row],[M² Da chapa]]*Tabela10[[#This Row],[Qtde Chapas
Liberadas]]</f>
        <v/>
      </c>
      <c r="J955" s="59">
        <f>Tabela10[[#This Row],[ERP]]/Tabela10[[#This Row],[M² Da chapa]]</f>
        <v/>
      </c>
      <c r="K955" s="170">
        <f>Tabela10[[#This Row],[M² CHAPAS]]-Tabela10[[#This Row],[ERP]]</f>
        <v/>
      </c>
      <c r="L955" s="170">
        <f>Tabela10[[#This Row],[DIFERENÇA M²]]/Tabela10[[#This Row],[M² Da chapa]]</f>
        <v/>
      </c>
    </row>
    <row r="956" hidden="1">
      <c r="A956" s="6" t="n">
        <v>46206</v>
      </c>
      <c r="B956" s="8" t="inlineStr">
        <is>
          <t>M26033</t>
        </is>
      </c>
      <c r="C956" s="168">
        <f>VLOOKUP(LEFT(B956,1),Tabela5[],2,0)</f>
        <v/>
      </c>
      <c r="D956" s="57" t="inlineStr">
        <is>
          <t>MDF - 15MM</t>
        </is>
      </c>
      <c r="E956" s="169">
        <f>VLOOKUP(Tabela10[[#This Row],[Tipo de Chapa]],Tabela11[],2,FALSE)</f>
        <v/>
      </c>
      <c r="F956" s="151" t="n">
        <v>616</v>
      </c>
      <c r="G956" s="152" t="n">
        <v>0.0767</v>
      </c>
      <c r="H956" s="170">
        <f>Tabela10[[#This Row],[M² Da chapa]]*Tabela10[[#This Row],[Qtde Chapas
Liberadas]]</f>
        <v/>
      </c>
      <c r="J956" s="59">
        <f>Tabela10[[#This Row],[ERP]]/Tabela10[[#This Row],[M² Da chapa]]</f>
        <v/>
      </c>
      <c r="K956" s="170">
        <f>Tabela10[[#This Row],[M² CHAPAS]]-Tabela10[[#This Row],[ERP]]</f>
        <v/>
      </c>
      <c r="L956" s="170">
        <f>Tabela10[[#This Row],[DIFERENÇA M²]]/Tabela10[[#This Row],[M² Da chapa]]</f>
        <v/>
      </c>
    </row>
    <row r="957" hidden="1">
      <c r="A957" s="6" t="n">
        <v>46209</v>
      </c>
      <c r="B957" s="8" t="inlineStr">
        <is>
          <t>M26032</t>
        </is>
      </c>
      <c r="C957" s="168">
        <f>VLOOKUP(LEFT(B957,1),Tabela5[],2,0)</f>
        <v/>
      </c>
      <c r="D957" s="57" t="inlineStr">
        <is>
          <t>CAPA MDF - 15MM</t>
        </is>
      </c>
      <c r="E957" s="169">
        <f>VLOOKUP(Tabela10[[#This Row],[Tipo de Chapa]],Tabela11[],2,FALSE)</f>
        <v/>
      </c>
      <c r="F957" s="151" t="n">
        <v>18</v>
      </c>
      <c r="G957" s="152" t="n">
        <v>0.1001</v>
      </c>
      <c r="H957" s="170">
        <f>Tabela10[[#This Row],[M² Da chapa]]*Tabela10[[#This Row],[Qtde Chapas
Liberadas]]</f>
        <v/>
      </c>
      <c r="J957" s="59">
        <f>Tabela10[[#This Row],[ERP]]/Tabela10[[#This Row],[M² Da chapa]]</f>
        <v/>
      </c>
      <c r="K957" s="170">
        <f>Tabela10[[#This Row],[M² CHAPAS]]-Tabela10[[#This Row],[ERP]]</f>
        <v/>
      </c>
      <c r="L957" s="170">
        <f>Tabela10[[#This Row],[DIFERENÇA M²]]/Tabela10[[#This Row],[M² Da chapa]]</f>
        <v/>
      </c>
    </row>
    <row r="958" hidden="1">
      <c r="A958" s="6" t="n">
        <v>46209</v>
      </c>
      <c r="B958" s="8" t="inlineStr">
        <is>
          <t>M26032</t>
        </is>
      </c>
      <c r="C958" s="168">
        <f>VLOOKUP(LEFT(B958,1),Tabela5[],2,0)</f>
        <v/>
      </c>
      <c r="D958" s="57" t="inlineStr">
        <is>
          <t>EUCADUR NT - 2,5MM</t>
        </is>
      </c>
      <c r="E958" s="169">
        <f>VLOOKUP(Tabela10[[#This Row],[Tipo de Chapa]],Tabela11[],2,FALSE)</f>
        <v/>
      </c>
      <c r="F958" s="151" t="n">
        <v>593</v>
      </c>
      <c r="G958" s="152" t="n">
        <v>0.066</v>
      </c>
      <c r="H958" s="170">
        <f>Tabela10[[#This Row],[M² Da chapa]]*Tabela10[[#This Row],[Qtde Chapas
Liberadas]]</f>
        <v/>
      </c>
      <c r="J958" s="59">
        <f>Tabela10[[#This Row],[ERP]]/Tabela10[[#This Row],[M² Da chapa]]</f>
        <v/>
      </c>
      <c r="K958" s="170">
        <f>Tabela10[[#This Row],[M² CHAPAS]]-Tabela10[[#This Row],[ERP]]</f>
        <v/>
      </c>
      <c r="L958" s="170">
        <f>Tabela10[[#This Row],[DIFERENÇA M²]]/Tabela10[[#This Row],[M² Da chapa]]</f>
        <v/>
      </c>
    </row>
    <row r="959" hidden="1">
      <c r="A959" s="6" t="n">
        <v>46209</v>
      </c>
      <c r="B959" s="8" t="inlineStr">
        <is>
          <t>M26033</t>
        </is>
      </c>
      <c r="C959" s="168">
        <f>VLOOKUP(LEFT(B959,1),Tabela5[],2,0)</f>
        <v/>
      </c>
      <c r="D959" s="57" t="inlineStr">
        <is>
          <t>MDF - 9MM</t>
        </is>
      </c>
      <c r="E959" s="169">
        <f>VLOOKUP(Tabela10[[#This Row],[Tipo de Chapa]],Tabela11[],2,FALSE)</f>
        <v/>
      </c>
      <c r="F959" s="151" t="n">
        <v>63</v>
      </c>
      <c r="G959" s="152" t="n">
        <v>0.0437</v>
      </c>
      <c r="H959" s="170">
        <f>Tabela10[[#This Row],[M² Da chapa]]*Tabela10[[#This Row],[Qtde Chapas
Liberadas]]</f>
        <v/>
      </c>
      <c r="J959" s="59">
        <f>Tabela10[[#This Row],[ERP]]/Tabela10[[#This Row],[M² Da chapa]]</f>
        <v/>
      </c>
      <c r="K959" s="170">
        <f>Tabela10[[#This Row],[M² CHAPAS]]-Tabela10[[#This Row],[ERP]]</f>
        <v/>
      </c>
      <c r="L959" s="170">
        <f>Tabela10[[#This Row],[DIFERENÇA M²]]/Tabela10[[#This Row],[M² Da chapa]]</f>
        <v/>
      </c>
    </row>
    <row r="960">
      <c r="A960" s="6" t="n">
        <v>46209</v>
      </c>
      <c r="B960" s="8" t="inlineStr">
        <is>
          <t>N2606401</t>
        </is>
      </c>
      <c r="C960" s="168">
        <f>VLOOKUP(LEFT(B960,1),Tabela5[],2,0)</f>
        <v/>
      </c>
      <c r="D960" s="57" t="inlineStr">
        <is>
          <t>MDF - 15MM</t>
        </is>
      </c>
      <c r="E960" s="169">
        <f>VLOOKUP(Tabela10[[#This Row],[Tipo de Chapa]],Tabela11[],2,FALSE)</f>
        <v/>
      </c>
      <c r="F960" s="147">
        <f>272-25</f>
        <v/>
      </c>
      <c r="G960" s="152" t="n">
        <v>0.0487</v>
      </c>
      <c r="H960" s="170">
        <f>Tabela10[[#This Row],[M² Da chapa]]*Tabela10[[#This Row],[Qtde Chapas
Liberadas]]</f>
        <v/>
      </c>
      <c r="J960" s="59">
        <f>Tabela10[[#This Row],[ERP]]/Tabela10[[#This Row],[M² Da chapa]]</f>
        <v/>
      </c>
      <c r="K960" s="170">
        <f>Tabela10[[#This Row],[M² CHAPAS]]-Tabela10[[#This Row],[ERP]]</f>
        <v/>
      </c>
      <c r="L960" s="170">
        <f>Tabela10[[#This Row],[DIFERENÇA M²]]/Tabela10[[#This Row],[M² Da chapa]]</f>
        <v/>
      </c>
    </row>
    <row r="961">
      <c r="A961" s="6" t="n">
        <v>46209</v>
      </c>
      <c r="B961" s="8" t="inlineStr">
        <is>
          <t>N2606801</t>
        </is>
      </c>
      <c r="C961" s="168">
        <f>VLOOKUP(LEFT(B961,1),Tabela5[],2,0)</f>
        <v/>
      </c>
      <c r="D961" s="57" t="inlineStr">
        <is>
          <t>MDF - 15MM</t>
        </is>
      </c>
      <c r="E961" s="169">
        <f>VLOOKUP(Tabela10[[#This Row],[Tipo de Chapa]],Tabela11[],2,FALSE)</f>
        <v/>
      </c>
      <c r="F961" s="151" t="n">
        <v>145</v>
      </c>
      <c r="G961" s="152" t="n">
        <v>0.06</v>
      </c>
      <c r="H961" s="170">
        <f>Tabela10[[#This Row],[M² Da chapa]]*Tabela10[[#This Row],[Qtde Chapas
Liberadas]]</f>
        <v/>
      </c>
      <c r="J961" s="59">
        <f>Tabela10[[#This Row],[ERP]]/Tabela10[[#This Row],[M² Da chapa]]</f>
        <v/>
      </c>
      <c r="K961" s="170">
        <f>Tabela10[[#This Row],[M² CHAPAS]]-Tabela10[[#This Row],[ERP]]</f>
        <v/>
      </c>
      <c r="L961" s="170">
        <f>Tabela10[[#This Row],[DIFERENÇA M²]]/Tabela10[[#This Row],[M² Da chapa]]</f>
        <v/>
      </c>
    </row>
    <row r="962" hidden="1">
      <c r="A962" s="6" t="n">
        <v>46210</v>
      </c>
      <c r="B962" s="8" t="inlineStr">
        <is>
          <t>M2603302</t>
        </is>
      </c>
      <c r="C962" s="168">
        <f>VLOOKUP(LEFT(B962,1),Tabela5[],2,0)</f>
        <v/>
      </c>
      <c r="D962" s="57" t="inlineStr">
        <is>
          <t>MDF - 9MM</t>
        </is>
      </c>
      <c r="E962" s="169">
        <f>VLOOKUP(Tabela10[[#This Row],[Tipo de Chapa]],Tabela11[],2,FALSE)</f>
        <v/>
      </c>
      <c r="F962" s="151" t="n">
        <v>50</v>
      </c>
      <c r="G962" s="152" t="n">
        <v>0.0561</v>
      </c>
      <c r="H962" s="170">
        <f>Tabela10[[#This Row],[M² Da chapa]]*Tabela10[[#This Row],[Qtde Chapas
Liberadas]]</f>
        <v/>
      </c>
      <c r="J962" s="59">
        <f>Tabela10[[#This Row],[ERP]]/Tabela10[[#This Row],[M² Da chapa]]</f>
        <v/>
      </c>
      <c r="K962" s="170">
        <f>Tabela10[[#This Row],[M² CHAPAS]]-Tabela10[[#This Row],[ERP]]</f>
        <v/>
      </c>
      <c r="L962" s="170">
        <f>Tabela10[[#This Row],[DIFERENÇA M²]]/Tabela10[[#This Row],[M² Da chapa]]</f>
        <v/>
      </c>
    </row>
    <row r="963" hidden="1">
      <c r="A963" s="6" t="n">
        <v>46210</v>
      </c>
      <c r="B963" s="90" t="inlineStr">
        <is>
          <t>M2603302</t>
        </is>
      </c>
      <c r="C963" s="168">
        <f>VLOOKUP(LEFT(B963,1),Tabela5[],2,0)</f>
        <v/>
      </c>
      <c r="D963" s="57" t="inlineStr">
        <is>
          <t>MDF - 15MM</t>
        </is>
      </c>
      <c r="E963" s="169">
        <f>VLOOKUP(Tabela10[[#This Row],[Tipo de Chapa]],Tabela11[],2,FALSE)</f>
        <v/>
      </c>
      <c r="F963" s="151" t="n">
        <v>68</v>
      </c>
      <c r="G963" s="152" t="n">
        <v>0.0732</v>
      </c>
      <c r="H963" s="170">
        <f>Tabela10[[#This Row],[M² Da chapa]]*Tabela10[[#This Row],[Qtde Chapas
Liberadas]]</f>
        <v/>
      </c>
      <c r="J963" s="59">
        <f>Tabela10[[#This Row],[ERP]]/Tabela10[[#This Row],[M² Da chapa]]</f>
        <v/>
      </c>
      <c r="K963" s="170">
        <f>Tabela10[[#This Row],[M² CHAPAS]]-Tabela10[[#This Row],[ERP]]</f>
        <v/>
      </c>
      <c r="L963" s="170">
        <f>Tabela10[[#This Row],[DIFERENÇA M²]]/Tabela10[[#This Row],[M² Da chapa]]</f>
        <v/>
      </c>
    </row>
    <row r="964">
      <c r="A964" s="6" t="n">
        <v>46210</v>
      </c>
      <c r="B964" s="8" t="inlineStr">
        <is>
          <t>N2606904</t>
        </is>
      </c>
      <c r="C964" s="168">
        <f>VLOOKUP(LEFT(B964,1),Tabela5[],2,0)</f>
        <v/>
      </c>
      <c r="D964" s="57" t="inlineStr">
        <is>
          <t>MDF - 15MM</t>
        </is>
      </c>
      <c r="E964" s="169">
        <f>VLOOKUP(Tabela10[[#This Row],[Tipo de Chapa]],Tabela11[],2,FALSE)</f>
        <v/>
      </c>
      <c r="F964" s="151" t="n">
        <v>35</v>
      </c>
      <c r="G964" s="152" t="n">
        <v>0.0537</v>
      </c>
      <c r="H964" s="170">
        <f>Tabela10[[#This Row],[M² Da chapa]]*Tabela10[[#This Row],[Qtde Chapas
Liberadas]]</f>
        <v/>
      </c>
      <c r="J964" s="59">
        <f>Tabela10[[#This Row],[ERP]]/Tabela10[[#This Row],[M² Da chapa]]</f>
        <v/>
      </c>
      <c r="K964" s="170">
        <f>Tabela10[[#This Row],[M² CHAPAS]]-Tabela10[[#This Row],[ERP]]</f>
        <v/>
      </c>
      <c r="L964" s="170">
        <f>Tabela10[[#This Row],[DIFERENÇA M²]]/Tabela10[[#This Row],[M² Da chapa]]</f>
        <v/>
      </c>
    </row>
    <row r="965">
      <c r="A965" s="6" t="n">
        <v>46210</v>
      </c>
      <c r="B965" s="8" t="inlineStr">
        <is>
          <t>N2606802</t>
        </is>
      </c>
      <c r="C965" s="168">
        <f>VLOOKUP(LEFT(B965,1),Tabela5[],2,0)</f>
        <v/>
      </c>
      <c r="D965" s="57" t="inlineStr">
        <is>
          <t>MDF - 15MM</t>
        </is>
      </c>
      <c r="E965" s="169">
        <f>VLOOKUP(Tabela10[[#This Row],[Tipo de Chapa]],Tabela11[],2,FALSE)</f>
        <v/>
      </c>
      <c r="F965" s="151" t="n">
        <v>187</v>
      </c>
      <c r="G965" s="152" t="n">
        <v>0.0534</v>
      </c>
      <c r="H965" s="170">
        <f>Tabela10[[#This Row],[M² Da chapa]]*Tabela10[[#This Row],[Qtde Chapas
Liberadas]]</f>
        <v/>
      </c>
      <c r="J965" s="59">
        <f>Tabela10[[#This Row],[ERP]]/Tabela10[[#This Row],[M² Da chapa]]</f>
        <v/>
      </c>
      <c r="K965" s="170">
        <f>Tabela10[[#This Row],[M² CHAPAS]]-Tabela10[[#This Row],[ERP]]</f>
        <v/>
      </c>
      <c r="L965" s="170">
        <f>Tabela10[[#This Row],[DIFERENÇA M²]]/Tabela10[[#This Row],[M² Da chapa]]</f>
        <v/>
      </c>
    </row>
    <row r="966">
      <c r="A966" s="6" t="n">
        <v>46210</v>
      </c>
      <c r="B966" s="8" t="inlineStr">
        <is>
          <t>N2606901 | N2606902 | N2606903</t>
        </is>
      </c>
      <c r="C966" s="168">
        <f>VLOOKUP(LEFT(B966,1),Tabela5[],2,0)</f>
        <v/>
      </c>
      <c r="D966" s="57" t="inlineStr">
        <is>
          <t>MDF - 15MM</t>
        </is>
      </c>
      <c r="E966" s="169">
        <f>VLOOKUP(Tabela10[[#This Row],[Tipo de Chapa]],Tabela11[],2,FALSE)</f>
        <v/>
      </c>
      <c r="F966" s="151" t="n">
        <v>337</v>
      </c>
      <c r="G966" s="152" t="n">
        <v>0.0566</v>
      </c>
      <c r="H966" s="170">
        <f>Tabela10[[#This Row],[M² Da chapa]]*Tabela10[[#This Row],[Qtde Chapas
Liberadas]]</f>
        <v/>
      </c>
      <c r="J966" s="59">
        <f>Tabela10[[#This Row],[ERP]]/Tabela10[[#This Row],[M² Da chapa]]</f>
        <v/>
      </c>
      <c r="K966" s="170">
        <f>Tabela10[[#This Row],[M² CHAPAS]]-Tabela10[[#This Row],[ERP]]</f>
        <v/>
      </c>
      <c r="L966" s="170">
        <f>Tabela10[[#This Row],[DIFERENÇA M²]]/Tabela10[[#This Row],[M² Da chapa]]</f>
        <v/>
      </c>
    </row>
    <row r="967">
      <c r="A967" s="6" t="n">
        <v>46211</v>
      </c>
      <c r="B967" s="8" t="inlineStr">
        <is>
          <t>N2606401</t>
        </is>
      </c>
      <c r="C967" s="168">
        <f>VLOOKUP(LEFT(B967,1),Tabela5[],2,0)</f>
        <v/>
      </c>
      <c r="D967" s="57" t="inlineStr">
        <is>
          <t>EUCADUR NT - 2,5MM</t>
        </is>
      </c>
      <c r="E967" s="169">
        <f>VLOOKUP(Tabela10[[#This Row],[Tipo de Chapa]],Tabela11[],2,FALSE)</f>
        <v/>
      </c>
      <c r="F967" s="151" t="n">
        <v>71</v>
      </c>
      <c r="G967" s="152" t="n">
        <v>0.0555</v>
      </c>
      <c r="H967" s="170">
        <f>Tabela10[[#This Row],[M² Da chapa]]*Tabela10[[#This Row],[Qtde Chapas
Liberadas]]</f>
        <v/>
      </c>
      <c r="J967" s="59">
        <f>Tabela10[[#This Row],[ERP]]/Tabela10[[#This Row],[M² Da chapa]]</f>
        <v/>
      </c>
      <c r="K967" s="170">
        <f>Tabela10[[#This Row],[M² CHAPAS]]-Tabela10[[#This Row],[ERP]]</f>
        <v/>
      </c>
      <c r="L967" s="170">
        <f>Tabela10[[#This Row],[DIFERENÇA M²]]/Tabela10[[#This Row],[M² Da chapa]]</f>
        <v/>
      </c>
    </row>
    <row r="968">
      <c r="A968" s="6" t="n">
        <v>46211</v>
      </c>
      <c r="B968" s="8" t="inlineStr">
        <is>
          <t>N2606801</t>
        </is>
      </c>
      <c r="C968" s="168">
        <f>VLOOKUP(LEFT(B968,1),Tabela5[],2,0)</f>
        <v/>
      </c>
      <c r="D968" s="57" t="inlineStr">
        <is>
          <t>EUCADUR FRJ - 2,5MM</t>
        </is>
      </c>
      <c r="E968" s="169">
        <f>VLOOKUP(Tabela10[[#This Row],[Tipo de Chapa]],Tabela11[],2,FALSE)</f>
        <v/>
      </c>
      <c r="F968" s="151" t="n">
        <v>0</v>
      </c>
      <c r="G968" s="152" t="n">
        <v>0</v>
      </c>
      <c r="H968" s="170">
        <f>Tabela10[[#This Row],[M² Da chapa]]*Tabela10[[#This Row],[Qtde Chapas
Liberadas]]</f>
        <v/>
      </c>
      <c r="J968" s="59">
        <f>Tabela10[[#This Row],[ERP]]/Tabela10[[#This Row],[M² Da chapa]]</f>
        <v/>
      </c>
      <c r="K968" s="170">
        <f>Tabela10[[#This Row],[M² CHAPAS]]-Tabela10[[#This Row],[ERP]]</f>
        <v/>
      </c>
      <c r="L968" s="170">
        <f>Tabela10[[#This Row],[DIFERENÇA M²]]/Tabela10[[#This Row],[M² Da chapa]]</f>
        <v/>
      </c>
    </row>
    <row r="969">
      <c r="A969" s="6" t="n">
        <v>46211</v>
      </c>
      <c r="B969" s="8" t="inlineStr">
        <is>
          <t>N2606802</t>
        </is>
      </c>
      <c r="C969" s="168">
        <f>VLOOKUP(LEFT(B969,1),Tabela5[],2,0)</f>
        <v/>
      </c>
      <c r="D969" s="57" t="inlineStr">
        <is>
          <t>EUCADUR NT - 2,5MM</t>
        </is>
      </c>
      <c r="E969" s="169">
        <f>VLOOKUP(Tabela10[[#This Row],[Tipo de Chapa]],Tabela11[],2,FALSE)</f>
        <v/>
      </c>
      <c r="F969" s="151" t="n">
        <v>175</v>
      </c>
      <c r="G969" s="152" t="n">
        <v>0.0609</v>
      </c>
      <c r="H969" s="170">
        <f>Tabela10[[#This Row],[M² Da chapa]]*Tabela10[[#This Row],[Qtde Chapas
Liberadas]]</f>
        <v/>
      </c>
      <c r="J969" s="59">
        <f>Tabela10[[#This Row],[ERP]]/Tabela10[[#This Row],[M² Da chapa]]</f>
        <v/>
      </c>
      <c r="K969" s="170">
        <f>Tabela10[[#This Row],[M² CHAPAS]]-Tabela10[[#This Row],[ERP]]</f>
        <v/>
      </c>
      <c r="L969" s="170">
        <f>Tabela10[[#This Row],[DIFERENÇA M²]]/Tabela10[[#This Row],[M² Da chapa]]</f>
        <v/>
      </c>
    </row>
    <row r="970">
      <c r="A970" s="6" t="n">
        <v>46211</v>
      </c>
      <c r="B970" s="8" t="inlineStr">
        <is>
          <t>N2606904</t>
        </is>
      </c>
      <c r="C970" s="168">
        <f>VLOOKUP(LEFT(B970,1),Tabela5[],2,0)</f>
        <v/>
      </c>
      <c r="D970" s="57" t="inlineStr">
        <is>
          <t>MDF - 15MM</t>
        </is>
      </c>
      <c r="E970" s="169">
        <f>VLOOKUP(Tabela10[[#This Row],[Tipo de Chapa]],Tabela11[],2,FALSE)</f>
        <v/>
      </c>
      <c r="F970" s="151" t="n">
        <v>83</v>
      </c>
      <c r="G970" s="152" t="n">
        <v>0.0505</v>
      </c>
      <c r="H970" s="170">
        <f>Tabela10[[#This Row],[M² Da chapa]]*Tabela10[[#This Row],[Qtde Chapas
Liberadas]]</f>
        <v/>
      </c>
      <c r="J970" s="59">
        <f>Tabela10[[#This Row],[ERP]]/Tabela10[[#This Row],[M² Da chapa]]</f>
        <v/>
      </c>
      <c r="K970" s="170">
        <f>Tabela10[[#This Row],[M² CHAPAS]]-Tabela10[[#This Row],[ERP]]</f>
        <v/>
      </c>
      <c r="L970" s="170">
        <f>Tabela10[[#This Row],[DIFERENÇA M²]]/Tabela10[[#This Row],[M² Da chapa]]</f>
        <v/>
      </c>
    </row>
    <row r="971">
      <c r="A971" s="6" t="n">
        <v>46211</v>
      </c>
      <c r="B971" s="8" t="inlineStr">
        <is>
          <t>N2607701</t>
        </is>
      </c>
      <c r="C971" s="168">
        <f>VLOOKUP(LEFT(B971,1),Tabela5[],2,0)</f>
        <v/>
      </c>
      <c r="D971" s="57" t="inlineStr">
        <is>
          <t>MDF - 15MM</t>
        </is>
      </c>
      <c r="E971" s="169">
        <f>VLOOKUP(Tabela10[[#This Row],[Tipo de Chapa]],Tabela11[],2,FALSE)</f>
        <v/>
      </c>
      <c r="F971" s="151" t="n">
        <v>207</v>
      </c>
      <c r="G971" s="152" t="n">
        <v>0.0482</v>
      </c>
      <c r="H971" s="170">
        <f>Tabela10[[#This Row],[M² Da chapa]]*Tabela10[[#This Row],[Qtde Chapas
Liberadas]]</f>
        <v/>
      </c>
      <c r="J971" s="59">
        <f>Tabela10[[#This Row],[ERP]]/Tabela10[[#This Row],[M² Da chapa]]</f>
        <v/>
      </c>
      <c r="K971" s="170">
        <f>Tabela10[[#This Row],[M² CHAPAS]]-Tabela10[[#This Row],[ERP]]</f>
        <v/>
      </c>
      <c r="L971" s="170">
        <f>Tabela10[[#This Row],[DIFERENÇA M²]]/Tabela10[[#This Row],[M² Da chapa]]</f>
        <v/>
      </c>
    </row>
    <row r="972">
      <c r="A972" s="6" t="n">
        <v>46212</v>
      </c>
      <c r="B972" s="8" t="inlineStr">
        <is>
          <t>N2606802</t>
        </is>
      </c>
      <c r="C972" s="168">
        <f>VLOOKUP(LEFT(B972,1),Tabela5[],2,0)</f>
        <v/>
      </c>
      <c r="D972" s="57" t="inlineStr">
        <is>
          <t>MDF - 25MM 2750x2200</t>
        </is>
      </c>
      <c r="E972" s="169">
        <f>VLOOKUP(Tabela10[[#This Row],[Tipo de Chapa]],Tabela11[],2,FALSE)</f>
        <v/>
      </c>
      <c r="F972" s="147">
        <f>59-16</f>
        <v/>
      </c>
      <c r="G972" s="152" t="n">
        <v>0.06279999999999999</v>
      </c>
      <c r="H972" s="170">
        <f>Tabela10[[#This Row],[M² Da chapa]]*Tabela10[[#This Row],[Qtde Chapas
Liberadas]]</f>
        <v/>
      </c>
      <c r="J972" s="59">
        <f>Tabela10[[#This Row],[ERP]]/Tabela10[[#This Row],[M² Da chapa]]</f>
        <v/>
      </c>
      <c r="K972" s="170">
        <f>Tabela10[[#This Row],[M² CHAPAS]]-Tabela10[[#This Row],[ERP]]</f>
        <v/>
      </c>
      <c r="L972" s="170">
        <f>Tabela10[[#This Row],[DIFERENÇA M²]]/Tabela10[[#This Row],[M² Da chapa]]</f>
        <v/>
      </c>
    </row>
    <row r="973">
      <c r="A973" s="6" t="n">
        <v>46212</v>
      </c>
      <c r="B973" s="8" t="inlineStr">
        <is>
          <t>N2607701</t>
        </is>
      </c>
      <c r="C973" s="168">
        <f>VLOOKUP(LEFT(B973,1),Tabela5[],2,0)</f>
        <v/>
      </c>
      <c r="D973" s="57" t="inlineStr">
        <is>
          <t>MDF - 25MM 2750x2200</t>
        </is>
      </c>
      <c r="E973" s="169">
        <f>VLOOKUP(Tabela10[[#This Row],[Tipo de Chapa]],Tabela11[],2,FALSE)</f>
        <v/>
      </c>
      <c r="F973" s="151" t="n">
        <v>58</v>
      </c>
      <c r="G973" s="152" t="n">
        <v>0.081</v>
      </c>
      <c r="H973" s="170">
        <f>Tabela10[[#This Row],[M² Da chapa]]*Tabela10[[#This Row],[Qtde Chapas
Liberadas]]</f>
        <v/>
      </c>
      <c r="J973" s="59">
        <f>Tabela10[[#This Row],[ERP]]/Tabela10[[#This Row],[M² Da chapa]]</f>
        <v/>
      </c>
      <c r="K973" s="170">
        <f>Tabela10[[#This Row],[M² CHAPAS]]-Tabela10[[#This Row],[ERP]]</f>
        <v/>
      </c>
      <c r="L973" s="170">
        <f>Tabela10[[#This Row],[DIFERENÇA M²]]/Tabela10[[#This Row],[M² Da chapa]]</f>
        <v/>
      </c>
    </row>
    <row r="974" hidden="1">
      <c r="A974" s="6" t="n">
        <v>46212</v>
      </c>
      <c r="B974" s="8" t="inlineStr">
        <is>
          <t>M26035</t>
        </is>
      </c>
      <c r="C974" s="168">
        <f>VLOOKUP(LEFT(B974,1),Tabela5[],2,0)</f>
        <v/>
      </c>
      <c r="D974" s="57" t="inlineStr">
        <is>
          <t>MDF - 15MM</t>
        </is>
      </c>
      <c r="E974" s="169">
        <f>VLOOKUP(Tabela10[[#This Row],[Tipo de Chapa]],Tabela11[],2,FALSE)</f>
        <v/>
      </c>
      <c r="F974" s="151" t="n">
        <v>1102</v>
      </c>
      <c r="G974" s="152" t="n">
        <v>0.0622</v>
      </c>
      <c r="H974" s="170">
        <f>Tabela10[[#This Row],[M² Da chapa]]*Tabela10[[#This Row],[Qtde Chapas
Liberadas]]</f>
        <v/>
      </c>
      <c r="J974" s="59">
        <f>Tabela10[[#This Row],[ERP]]/Tabela10[[#This Row],[M² Da chapa]]</f>
        <v/>
      </c>
      <c r="K974" s="170">
        <f>Tabela10[[#This Row],[M² CHAPAS]]-Tabela10[[#This Row],[ERP]]</f>
        <v/>
      </c>
      <c r="L974" s="170">
        <f>Tabela10[[#This Row],[DIFERENÇA M²]]/Tabela10[[#This Row],[M² Da chapa]]</f>
        <v/>
      </c>
    </row>
    <row r="975" hidden="1">
      <c r="A975" s="6" t="n">
        <v>46212</v>
      </c>
      <c r="B975" s="8" t="inlineStr">
        <is>
          <t>M26034</t>
        </is>
      </c>
      <c r="C975" s="168">
        <f>VLOOKUP(LEFT(B975,1),Tabela5[],2,0)</f>
        <v/>
      </c>
      <c r="D975" s="57" t="inlineStr">
        <is>
          <t>MDF - 15MM</t>
        </is>
      </c>
      <c r="E975" s="169">
        <f>VLOOKUP(Tabela10[[#This Row],[Tipo de Chapa]],Tabela11[],2,FALSE)</f>
        <v/>
      </c>
      <c r="F975" s="151" t="n">
        <v>1465</v>
      </c>
      <c r="G975" s="152" t="n">
        <v>0.0649</v>
      </c>
      <c r="H975" s="170">
        <f>Tabela10[[#This Row],[M² Da chapa]]*Tabela10[[#This Row],[Qtde Chapas
Liberadas]]</f>
        <v/>
      </c>
      <c r="J975" s="59">
        <f>Tabela10[[#This Row],[ERP]]/Tabela10[[#This Row],[M² Da chapa]]</f>
        <v/>
      </c>
      <c r="K975" s="170">
        <f>Tabela10[[#This Row],[M² CHAPAS]]-Tabela10[[#This Row],[ERP]]</f>
        <v/>
      </c>
      <c r="L975" s="170">
        <f>Tabela10[[#This Row],[DIFERENÇA M²]]/Tabela10[[#This Row],[M² Da chapa]]</f>
        <v/>
      </c>
    </row>
    <row r="976" hidden="1">
      <c r="A976" s="6" t="n">
        <v>46212</v>
      </c>
      <c r="B976" s="8" t="inlineStr">
        <is>
          <t>M26034</t>
        </is>
      </c>
      <c r="C976" s="168">
        <f>VLOOKUP(LEFT(B976,1),Tabela5[],2,0)</f>
        <v/>
      </c>
      <c r="D976" s="57" t="inlineStr">
        <is>
          <t>MDF - 18MM 2750X1850</t>
        </is>
      </c>
      <c r="E976" s="169">
        <f>VLOOKUP(Tabela10[[#This Row],[Tipo de Chapa]],Tabela11[],2,FALSE)</f>
        <v/>
      </c>
      <c r="F976" s="151" t="n">
        <v>2</v>
      </c>
      <c r="G976" s="152" t="n">
        <v>0.099</v>
      </c>
      <c r="H976" s="170">
        <f>Tabela10[[#This Row],[M² Da chapa]]*Tabela10[[#This Row],[Qtde Chapas
Liberadas]]</f>
        <v/>
      </c>
      <c r="J976" s="59">
        <f>Tabela10[[#This Row],[ERP]]/Tabela10[[#This Row],[M² Da chapa]]</f>
        <v/>
      </c>
      <c r="K976" s="170">
        <f>Tabela10[[#This Row],[M² CHAPAS]]-Tabela10[[#This Row],[ERP]]</f>
        <v/>
      </c>
      <c r="L976" s="170">
        <f>Tabela10[[#This Row],[DIFERENÇA M²]]/Tabela10[[#This Row],[M² Da chapa]]</f>
        <v/>
      </c>
    </row>
    <row r="977">
      <c r="A977" s="6" t="n">
        <v>46212</v>
      </c>
      <c r="B977" s="8" t="inlineStr">
        <is>
          <t>N2607702</t>
        </is>
      </c>
      <c r="C977" s="168">
        <f>VLOOKUP(LEFT(B977,1),Tabela5[],2,0)</f>
        <v/>
      </c>
      <c r="D977" s="57" t="inlineStr">
        <is>
          <t>MDF - 15MM</t>
        </is>
      </c>
      <c r="E977" s="169">
        <f>VLOOKUP(Tabela10[[#This Row],[Tipo de Chapa]],Tabela11[],2,FALSE)</f>
        <v/>
      </c>
      <c r="F977" s="151" t="n">
        <v>95</v>
      </c>
      <c r="G977" s="152" t="n">
        <v>0.0633</v>
      </c>
      <c r="H977" s="170">
        <f>Tabela10[[#This Row],[M² Da chapa]]*Tabela10[[#This Row],[Qtde Chapas
Liberadas]]</f>
        <v/>
      </c>
      <c r="J977" s="59">
        <f>Tabela10[[#This Row],[ERP]]/Tabela10[[#This Row],[M² Da chapa]]</f>
        <v/>
      </c>
      <c r="K977" s="170">
        <f>Tabela10[[#This Row],[M² CHAPAS]]-Tabela10[[#This Row],[ERP]]</f>
        <v/>
      </c>
      <c r="L977" s="170">
        <f>Tabela10[[#This Row],[DIFERENÇA M²]]/Tabela10[[#This Row],[M² Da chapa]]</f>
        <v/>
      </c>
    </row>
    <row r="978" hidden="1">
      <c r="A978" s="6" t="n">
        <v>46212</v>
      </c>
      <c r="B978" s="8" t="inlineStr">
        <is>
          <t>M26033</t>
        </is>
      </c>
      <c r="C978" s="168">
        <f>VLOOKUP(LEFT(B978,1),Tabela5[],2,0)</f>
        <v/>
      </c>
      <c r="D978" s="57" t="inlineStr">
        <is>
          <t>EUCADUR NT - 2,5MM</t>
        </is>
      </c>
      <c r="E978" s="169">
        <f>VLOOKUP(Tabela10[[#This Row],[Tipo de Chapa]],Tabela11[],2,FALSE)</f>
        <v/>
      </c>
      <c r="F978" s="151" t="n">
        <v>203</v>
      </c>
      <c r="G978" s="152" t="n">
        <v>0.0602</v>
      </c>
      <c r="H978" s="170">
        <f>Tabela10[[#This Row],[M² Da chapa]]*Tabela10[[#This Row],[Qtde Chapas
Liberadas]]</f>
        <v/>
      </c>
      <c r="J978" s="59">
        <f>Tabela10[[#This Row],[ERP]]/Tabela10[[#This Row],[M² Da chapa]]</f>
        <v/>
      </c>
      <c r="K978" s="170">
        <f>Tabela10[[#This Row],[M² CHAPAS]]-Tabela10[[#This Row],[ERP]]</f>
        <v/>
      </c>
      <c r="L978" s="170">
        <f>Tabela10[[#This Row],[DIFERENÇA M²]]/Tabela10[[#This Row],[M² Da chapa]]</f>
        <v/>
      </c>
    </row>
    <row r="979">
      <c r="A979" s="6" t="n">
        <v>46212</v>
      </c>
      <c r="B979" s="8" t="inlineStr">
        <is>
          <t>N2607403</t>
        </is>
      </c>
      <c r="C979" s="168">
        <f>VLOOKUP(LEFT(B979,1),Tabela5[],2,0)</f>
        <v/>
      </c>
      <c r="D979" s="57" t="inlineStr">
        <is>
          <t>MDF - 15MM</t>
        </is>
      </c>
      <c r="E979" s="169">
        <f>VLOOKUP(Tabela10[[#This Row],[Tipo de Chapa]],Tabela11[],2,FALSE)</f>
        <v/>
      </c>
      <c r="F979" s="151" t="n">
        <v>35</v>
      </c>
      <c r="G979" s="152" t="n">
        <v>0.0636</v>
      </c>
      <c r="H979" s="170">
        <f>Tabela10[[#This Row],[M² Da chapa]]*Tabela10[[#This Row],[Qtde Chapas
Liberadas]]</f>
        <v/>
      </c>
      <c r="J979" s="59">
        <f>Tabela10[[#This Row],[ERP]]/Tabela10[[#This Row],[M² Da chapa]]</f>
        <v/>
      </c>
      <c r="K979" s="170">
        <f>Tabela10[[#This Row],[M² CHAPAS]]-Tabela10[[#This Row],[ERP]]</f>
        <v/>
      </c>
      <c r="L979" s="170">
        <f>Tabela10[[#This Row],[DIFERENÇA M²]]/Tabela10[[#This Row],[M² Da chapa]]</f>
        <v/>
      </c>
    </row>
    <row r="980">
      <c r="A980" s="6" t="n">
        <v>46212</v>
      </c>
      <c r="B980" s="8" t="inlineStr">
        <is>
          <t>N2607603</t>
        </is>
      </c>
      <c r="C980" s="168">
        <f>VLOOKUP(LEFT(B980,1),Tabela5[],2,0)</f>
        <v/>
      </c>
      <c r="D980" s="57" t="inlineStr">
        <is>
          <t>MDF - 15MM</t>
        </is>
      </c>
      <c r="E980" s="169">
        <f>VLOOKUP(Tabela10[[#This Row],[Tipo de Chapa]],Tabela11[],2,FALSE)</f>
        <v/>
      </c>
      <c r="F980" s="147">
        <f>38+6</f>
        <v/>
      </c>
      <c r="G980" s="152" t="n">
        <v>0.0633</v>
      </c>
      <c r="H980" s="170">
        <f>Tabela10[[#This Row],[M² Da chapa]]*Tabela10[[#This Row],[Qtde Chapas
Liberadas]]</f>
        <v/>
      </c>
      <c r="J980" s="59">
        <f>Tabela10[[#This Row],[ERP]]/Tabela10[[#This Row],[M² Da chapa]]</f>
        <v/>
      </c>
      <c r="K980" s="170">
        <f>Tabela10[[#This Row],[M² CHAPAS]]-Tabela10[[#This Row],[ERP]]</f>
        <v/>
      </c>
      <c r="L980" s="170">
        <f>Tabela10[[#This Row],[DIFERENÇA M²]]/Tabela10[[#This Row],[M² Da chapa]]</f>
        <v/>
      </c>
    </row>
    <row r="981">
      <c r="A981" s="6" t="n">
        <v>46212</v>
      </c>
      <c r="B981" s="8" t="inlineStr">
        <is>
          <t>N2607703</t>
        </is>
      </c>
      <c r="C981" s="168">
        <f>VLOOKUP(LEFT(B981,1),Tabela5[],2,0)</f>
        <v/>
      </c>
      <c r="D981" s="57" t="inlineStr">
        <is>
          <t>MDF - 15MM</t>
        </is>
      </c>
      <c r="E981" s="169">
        <f>VLOOKUP(Tabela10[[#This Row],[Tipo de Chapa]],Tabela11[],2,FALSE)</f>
        <v/>
      </c>
      <c r="F981" s="151" t="n">
        <v>122</v>
      </c>
      <c r="G981" s="152" t="n">
        <v>0.057</v>
      </c>
      <c r="H981" s="170">
        <f>Tabela10[[#This Row],[M² Da chapa]]*Tabela10[[#This Row],[Qtde Chapas
Liberadas]]</f>
        <v/>
      </c>
      <c r="J981" s="59">
        <f>Tabela10[[#This Row],[ERP]]/Tabela10[[#This Row],[M² Da chapa]]</f>
        <v/>
      </c>
      <c r="K981" s="170">
        <f>Tabela10[[#This Row],[M² CHAPAS]]-Tabela10[[#This Row],[ERP]]</f>
        <v/>
      </c>
      <c r="L981" s="170">
        <f>Tabela10[[#This Row],[DIFERENÇA M²]]/Tabela10[[#This Row],[M² Da chapa]]</f>
        <v/>
      </c>
    </row>
    <row r="982">
      <c r="A982" s="6" t="n">
        <v>46212</v>
      </c>
      <c r="B982" s="8" t="inlineStr">
        <is>
          <t>N2606902 | N2606903 | N2606904</t>
        </is>
      </c>
      <c r="C982" s="168">
        <f>VLOOKUP(LEFT(B982,1),Tabela5[],2,0)</f>
        <v/>
      </c>
      <c r="D982" s="57" t="inlineStr">
        <is>
          <t>EUCADUR NT - 2,5MM</t>
        </is>
      </c>
      <c r="E982" s="169">
        <f>VLOOKUP(Tabela10[[#This Row],[Tipo de Chapa]],Tabela11[],2,FALSE)</f>
        <v/>
      </c>
      <c r="F982" s="147">
        <f>164-4</f>
        <v/>
      </c>
      <c r="G982" s="152" t="n">
        <v>0.0677</v>
      </c>
      <c r="H982" s="170">
        <f>Tabela10[[#This Row],[M² Da chapa]]*Tabela10[[#This Row],[Qtde Chapas
Liberadas]]</f>
        <v/>
      </c>
      <c r="J982" s="59">
        <f>Tabela10[[#This Row],[ERP]]/Tabela10[[#This Row],[M² Da chapa]]</f>
        <v/>
      </c>
      <c r="K982" s="170">
        <f>Tabela10[[#This Row],[M² CHAPAS]]-Tabela10[[#This Row],[ERP]]</f>
        <v/>
      </c>
      <c r="L982" s="170">
        <f>Tabela10[[#This Row],[DIFERENÇA M²]]/Tabela10[[#This Row],[M² Da chapa]]</f>
        <v/>
      </c>
    </row>
    <row r="983">
      <c r="A983" s="6" t="n">
        <v>46212</v>
      </c>
      <c r="B983" s="8" t="inlineStr">
        <is>
          <t>N2607202 | N2607204</t>
        </is>
      </c>
      <c r="C983" s="168">
        <f>VLOOKUP(LEFT(B983,1),Tabela5[],2,0)</f>
        <v/>
      </c>
      <c r="D983" s="57" t="inlineStr">
        <is>
          <t>MDF - 15MM</t>
        </is>
      </c>
      <c r="E983" s="169">
        <f>VLOOKUP(Tabela10[[#This Row],[Tipo de Chapa]],Tabela11[],2,FALSE)</f>
        <v/>
      </c>
      <c r="F983" s="147">
        <f>333-19</f>
        <v/>
      </c>
      <c r="G983" s="152" t="n">
        <v>0.0546</v>
      </c>
      <c r="H983" s="170">
        <f>Tabela10[[#This Row],[M² Da chapa]]*Tabela10[[#This Row],[Qtde Chapas
Liberadas]]</f>
        <v/>
      </c>
      <c r="J983" s="59">
        <f>Tabela10[[#This Row],[ERP]]/Tabela10[[#This Row],[M² Da chapa]]</f>
        <v/>
      </c>
      <c r="K983" s="170">
        <f>Tabela10[[#This Row],[M² CHAPAS]]-Tabela10[[#This Row],[ERP]]</f>
        <v/>
      </c>
      <c r="L983" s="170">
        <f>Tabela10[[#This Row],[DIFERENÇA M²]]/Tabela10[[#This Row],[M² Da chapa]]</f>
        <v/>
      </c>
    </row>
    <row r="984">
      <c r="A984" s="6" t="n">
        <v>46213</v>
      </c>
      <c r="B984" s="8" t="inlineStr">
        <is>
          <t>N2607702</t>
        </is>
      </c>
      <c r="C984" s="168">
        <f>VLOOKUP(LEFT(B984,1),Tabela5[],2,0)</f>
        <v/>
      </c>
      <c r="D984" s="57" t="inlineStr">
        <is>
          <t>TIRA 9MM - 1850X165X9</t>
        </is>
      </c>
      <c r="E984" s="169">
        <f>VLOOKUP(Tabela10[[#This Row],[Tipo de Chapa]],Tabela11[],2,FALSE)</f>
        <v/>
      </c>
      <c r="F984" s="151" t="n">
        <v>175</v>
      </c>
      <c r="G984" s="152" t="n">
        <v>0.1643</v>
      </c>
      <c r="H984" s="170">
        <f>Tabela10[[#This Row],[M² Da chapa]]*Tabela10[[#This Row],[Qtde Chapas
Liberadas]]</f>
        <v/>
      </c>
      <c r="J984" s="59">
        <f>Tabela10[[#This Row],[ERP]]/Tabela10[[#This Row],[M² Da chapa]]</f>
        <v/>
      </c>
      <c r="K984" s="170">
        <f>Tabela10[[#This Row],[M² CHAPAS]]-Tabela10[[#This Row],[ERP]]</f>
        <v/>
      </c>
      <c r="L984" s="170">
        <f>Tabela10[[#This Row],[DIFERENÇA M²]]/Tabela10[[#This Row],[M² Da chapa]]</f>
        <v/>
      </c>
    </row>
    <row r="985">
      <c r="A985" s="6" t="n">
        <v>46213</v>
      </c>
      <c r="B985" s="8" t="inlineStr">
        <is>
          <t>N2607702</t>
        </is>
      </c>
      <c r="C985" s="168">
        <f>VLOOKUP(LEFT(B985,1),Tabela5[],2,0)</f>
        <v/>
      </c>
      <c r="D985" s="57" t="inlineStr">
        <is>
          <t>MDF - 9MM</t>
        </is>
      </c>
      <c r="E985" s="169">
        <f>VLOOKUP(Tabela10[[#This Row],[Tipo de Chapa]],Tabela11[],2,FALSE)</f>
        <v/>
      </c>
      <c r="F985" s="151" t="n">
        <v>10</v>
      </c>
      <c r="G985" s="152" t="n">
        <v>0.0717</v>
      </c>
      <c r="H985" s="170">
        <f>Tabela10[[#This Row],[M² Da chapa]]*Tabela10[[#This Row],[Qtde Chapas
Liberadas]]</f>
        <v/>
      </c>
      <c r="J985" s="59">
        <f>Tabela10[[#This Row],[ERP]]/Tabela10[[#This Row],[M² Da chapa]]</f>
        <v/>
      </c>
      <c r="K985" s="170">
        <f>Tabela10[[#This Row],[M² CHAPAS]]-Tabela10[[#This Row],[ERP]]</f>
        <v/>
      </c>
      <c r="L985" s="170">
        <f>Tabela10[[#This Row],[DIFERENÇA M²]]/Tabela10[[#This Row],[M² Da chapa]]</f>
        <v/>
      </c>
    </row>
    <row r="986">
      <c r="A986" s="6" t="n">
        <v>46213</v>
      </c>
      <c r="B986" s="8" t="inlineStr">
        <is>
          <t>N2607701 | N2607703</t>
        </is>
      </c>
      <c r="C986" s="168">
        <f>VLOOKUP(LEFT(B986,1),Tabela5[],2,0)</f>
        <v/>
      </c>
      <c r="D986" s="57" t="inlineStr">
        <is>
          <t>EUCADUR NT - 2,5MM</t>
        </is>
      </c>
      <c r="E986" s="169">
        <f>VLOOKUP(Tabela10[[#This Row],[Tipo de Chapa]],Tabela11[],2,FALSE)</f>
        <v/>
      </c>
      <c r="F986" s="151" t="n">
        <v>226</v>
      </c>
      <c r="G986" s="152" t="n">
        <v>0.0723</v>
      </c>
      <c r="H986" s="170">
        <f>Tabela10[[#This Row],[M² Da chapa]]*Tabela10[[#This Row],[Qtde Chapas
Liberadas]]</f>
        <v/>
      </c>
      <c r="J986" s="59">
        <f>Tabela10[[#This Row],[ERP]]/Tabela10[[#This Row],[M² Da chapa]]</f>
        <v/>
      </c>
      <c r="K986" s="170">
        <f>Tabela10[[#This Row],[M² CHAPAS]]-Tabela10[[#This Row],[ERP]]</f>
        <v/>
      </c>
      <c r="L986" s="170">
        <f>Tabela10[[#This Row],[DIFERENÇA M²]]/Tabela10[[#This Row],[M² Da chapa]]</f>
        <v/>
      </c>
    </row>
    <row r="987">
      <c r="A987" s="6" t="n">
        <v>46213</v>
      </c>
      <c r="B987" s="8" t="inlineStr">
        <is>
          <t>N2607203 | N2607201</t>
        </is>
      </c>
      <c r="C987" s="168">
        <f>VLOOKUP(LEFT(B987,1),Tabela5[],2,0)</f>
        <v/>
      </c>
      <c r="D987" s="57" t="inlineStr">
        <is>
          <t>MDF - 15MM</t>
        </is>
      </c>
      <c r="E987" s="169">
        <f>VLOOKUP(Tabela10[[#This Row],[Tipo de Chapa]],Tabela11[],2,FALSE)</f>
        <v/>
      </c>
      <c r="F987" s="151" t="n">
        <v>108</v>
      </c>
      <c r="G987" s="152" t="n">
        <v>0.0535</v>
      </c>
      <c r="H987" s="170">
        <f>Tabela10[[#This Row],[M² Da chapa]]*Tabela10[[#This Row],[Qtde Chapas
Liberadas]]</f>
        <v/>
      </c>
      <c r="J987" s="59">
        <f>Tabela10[[#This Row],[ERP]]/Tabela10[[#This Row],[M² Da chapa]]</f>
        <v/>
      </c>
      <c r="K987" s="170">
        <f>Tabela10[[#This Row],[M² CHAPAS]]-Tabela10[[#This Row],[ERP]]</f>
        <v/>
      </c>
      <c r="L987" s="170">
        <f>Tabela10[[#This Row],[DIFERENÇA M²]]/Tabela10[[#This Row],[M² Da chapa]]</f>
        <v/>
      </c>
    </row>
    <row r="988">
      <c r="A988" s="6" t="n">
        <v>46213</v>
      </c>
      <c r="B988" s="8" t="inlineStr">
        <is>
          <t>N2607205</t>
        </is>
      </c>
      <c r="C988" s="168">
        <f>VLOOKUP(LEFT(B988,1),Tabela5[],2,0)</f>
        <v/>
      </c>
      <c r="D988" s="57" t="inlineStr">
        <is>
          <t>MDF - 15MM</t>
        </is>
      </c>
      <c r="E988" s="169">
        <f>VLOOKUP(Tabela10[[#This Row],[Tipo de Chapa]],Tabela11[],2,FALSE)</f>
        <v/>
      </c>
      <c r="F988" s="147">
        <f>98+25</f>
        <v/>
      </c>
      <c r="G988" s="152" t="n">
        <v>0.0513</v>
      </c>
      <c r="H988" s="170">
        <f>Tabela10[[#This Row],[M² Da chapa]]*Tabela10[[#This Row],[Qtde Chapas
Liberadas]]</f>
        <v/>
      </c>
      <c r="J988" s="59">
        <f>Tabela10[[#This Row],[ERP]]/Tabela10[[#This Row],[M² Da chapa]]</f>
        <v/>
      </c>
      <c r="K988" s="170">
        <f>Tabela10[[#This Row],[M² CHAPAS]]-Tabela10[[#This Row],[ERP]]</f>
        <v/>
      </c>
      <c r="L988" s="170">
        <f>Tabela10[[#This Row],[DIFERENÇA M²]]/Tabela10[[#This Row],[M² Da chapa]]</f>
        <v/>
      </c>
    </row>
    <row r="989" hidden="1">
      <c r="A989" s="6" t="n">
        <v>46213</v>
      </c>
      <c r="B989" s="8" t="inlineStr">
        <is>
          <t>M26034</t>
        </is>
      </c>
      <c r="C989" s="168">
        <f>VLOOKUP(LEFT(B989,1),Tabela5[],2,0)</f>
        <v/>
      </c>
      <c r="D989" s="57" t="inlineStr">
        <is>
          <t>MDF - 9MM</t>
        </is>
      </c>
      <c r="E989" s="169">
        <f>VLOOKUP(Tabela10[[#This Row],[Tipo de Chapa]],Tabela11[],2,FALSE)</f>
        <v/>
      </c>
      <c r="F989" s="151" t="n">
        <v>159</v>
      </c>
      <c r="G989" s="152" t="n">
        <v>0.043</v>
      </c>
      <c r="H989" s="170">
        <f>Tabela10[[#This Row],[M² Da chapa]]*Tabela10[[#This Row],[Qtde Chapas
Liberadas]]</f>
        <v/>
      </c>
      <c r="J989" s="59">
        <f>Tabela10[[#This Row],[ERP]]/Tabela10[[#This Row],[M² Da chapa]]</f>
        <v/>
      </c>
      <c r="K989" s="170">
        <f>Tabela10[[#This Row],[M² CHAPAS]]-Tabela10[[#This Row],[ERP]]</f>
        <v/>
      </c>
      <c r="L989" s="170">
        <f>Tabela10[[#This Row],[DIFERENÇA M²]]/Tabela10[[#This Row],[M² Da chapa]]</f>
        <v/>
      </c>
    </row>
    <row r="990">
      <c r="A990" s="6" t="n">
        <v>46216</v>
      </c>
      <c r="B990" s="8" t="inlineStr">
        <is>
          <t>NR1438</t>
        </is>
      </c>
      <c r="C990" s="168">
        <f>VLOOKUP(LEFT(B990,1),Tabela5[],2,0)</f>
        <v/>
      </c>
      <c r="D990" s="57" t="inlineStr">
        <is>
          <t>MDF - 15MM</t>
        </is>
      </c>
      <c r="E990" s="169">
        <f>VLOOKUP(Tabela10[[#This Row],[Tipo de Chapa]],Tabela11[],2,FALSE)</f>
        <v/>
      </c>
      <c r="F990" s="151" t="n">
        <v>18</v>
      </c>
      <c r="G990" s="152" t="n">
        <v>0.06510000000000001</v>
      </c>
      <c r="H990" s="170">
        <f>Tabela10[[#This Row],[M² Da chapa]]*Tabela10[[#This Row],[Qtde Chapas
Liberadas]]</f>
        <v/>
      </c>
      <c r="J990" s="59">
        <f>Tabela10[[#This Row],[ERP]]/Tabela10[[#This Row],[M² Da chapa]]</f>
        <v/>
      </c>
      <c r="K990" s="170">
        <f>Tabela10[[#This Row],[M² CHAPAS]]-Tabela10[[#This Row],[ERP]]</f>
        <v/>
      </c>
      <c r="L990" s="170">
        <f>Tabela10[[#This Row],[DIFERENÇA M²]]/Tabela10[[#This Row],[M² Da chapa]]</f>
        <v/>
      </c>
    </row>
    <row r="991">
      <c r="A991" s="6" t="n">
        <v>46216</v>
      </c>
      <c r="B991" s="8" t="inlineStr">
        <is>
          <t>N2607401</t>
        </is>
      </c>
      <c r="C991" s="168">
        <f>VLOOKUP(LEFT(B991,1),Tabela5[],2,0)</f>
        <v/>
      </c>
      <c r="D991" s="57" t="inlineStr">
        <is>
          <t>MDF - 15MM</t>
        </is>
      </c>
      <c r="E991" s="169">
        <f>VLOOKUP(Tabela10[[#This Row],[Tipo de Chapa]],Tabela11[],2,FALSE)</f>
        <v/>
      </c>
      <c r="F991" s="151" t="n">
        <v>118</v>
      </c>
      <c r="G991" s="152" t="n">
        <v>0.0586</v>
      </c>
      <c r="H991" s="170">
        <f>Tabela10[[#This Row],[M² Da chapa]]*Tabela10[[#This Row],[Qtde Chapas
Liberadas]]</f>
        <v/>
      </c>
      <c r="J991" s="59">
        <f>Tabela10[[#This Row],[ERP]]/Tabela10[[#This Row],[M² Da chapa]]</f>
        <v/>
      </c>
      <c r="K991" s="170">
        <f>Tabela10[[#This Row],[M² CHAPAS]]-Tabela10[[#This Row],[ERP]]</f>
        <v/>
      </c>
      <c r="L991" s="170">
        <f>Tabela10[[#This Row],[DIFERENÇA M²]]/Tabela10[[#This Row],[M² Da chapa]]</f>
        <v/>
      </c>
    </row>
    <row r="992" hidden="1">
      <c r="A992" s="6" t="n">
        <v>46216</v>
      </c>
      <c r="B992" s="8" t="inlineStr">
        <is>
          <t>M26035</t>
        </is>
      </c>
      <c r="C992" s="168">
        <f>VLOOKUP(LEFT(B992,1),Tabela5[],2,0)</f>
        <v/>
      </c>
      <c r="D992" s="57" t="inlineStr">
        <is>
          <t>EUCADUR FRJ - 2,5MM</t>
        </is>
      </c>
      <c r="E992" s="169">
        <f>VLOOKUP(Tabela10[[#This Row],[Tipo de Chapa]],Tabela11[],2,FALSE)</f>
        <v/>
      </c>
      <c r="F992" s="147">
        <f>261+13</f>
        <v/>
      </c>
      <c r="G992" s="152" t="n">
        <v>0.0689</v>
      </c>
      <c r="H992" s="170">
        <f>Tabela10[[#This Row],[M² Da chapa]]*Tabela10[[#This Row],[Qtde Chapas
Liberadas]]</f>
        <v/>
      </c>
      <c r="J992" s="59">
        <f>Tabela10[[#This Row],[ERP]]/Tabela10[[#This Row],[M² Da chapa]]</f>
        <v/>
      </c>
      <c r="K992" s="170">
        <f>Tabela10[[#This Row],[M² CHAPAS]]-Tabela10[[#This Row],[ERP]]</f>
        <v/>
      </c>
      <c r="L992" s="170">
        <f>Tabela10[[#This Row],[DIFERENÇA M²]]/Tabela10[[#This Row],[M² Da chapa]]</f>
        <v/>
      </c>
    </row>
    <row r="993" hidden="1">
      <c r="A993" s="6" t="n">
        <v>46216</v>
      </c>
      <c r="B993" s="8" t="inlineStr">
        <is>
          <t>M26035</t>
        </is>
      </c>
      <c r="C993" s="168">
        <f>VLOOKUP(LEFT(B993,1),Tabela5[],2,0)</f>
        <v/>
      </c>
      <c r="D993" s="57" t="inlineStr">
        <is>
          <t>EUCADUR NT - 2,5MM</t>
        </is>
      </c>
      <c r="E993" s="169">
        <f>VLOOKUP(Tabela10[[#This Row],[Tipo de Chapa]],Tabela11[],2,FALSE)</f>
        <v/>
      </c>
      <c r="F993" s="151" t="n">
        <v>115</v>
      </c>
      <c r="G993" s="152" t="n">
        <v>0.0683</v>
      </c>
      <c r="H993" s="170">
        <f>Tabela10[[#This Row],[M² Da chapa]]*Tabela10[[#This Row],[Qtde Chapas
Liberadas]]</f>
        <v/>
      </c>
      <c r="J993" s="59">
        <f>Tabela10[[#This Row],[ERP]]/Tabela10[[#This Row],[M² Da chapa]]</f>
        <v/>
      </c>
      <c r="K993" s="170">
        <f>Tabela10[[#This Row],[M² CHAPAS]]-Tabela10[[#This Row],[ERP]]</f>
        <v/>
      </c>
      <c r="L993" s="170">
        <f>Tabela10[[#This Row],[DIFERENÇA M²]]/Tabela10[[#This Row],[M² Da chapa]]</f>
        <v/>
      </c>
    </row>
    <row r="994">
      <c r="A994" s="6" t="n">
        <v>46216</v>
      </c>
      <c r="B994" s="8" t="inlineStr">
        <is>
          <t>N2607402</t>
        </is>
      </c>
      <c r="C994" s="168">
        <f>VLOOKUP(LEFT(B994,1),Tabela5[],2,0)</f>
        <v/>
      </c>
      <c r="D994" s="57" t="inlineStr">
        <is>
          <t>MDF - 15MM</t>
        </is>
      </c>
      <c r="E994" s="169">
        <f>VLOOKUP(Tabela10[[#This Row],[Tipo de Chapa]],Tabela11[],2,FALSE)</f>
        <v/>
      </c>
      <c r="F994" s="151" t="n">
        <v>179</v>
      </c>
      <c r="G994" s="152" t="n">
        <v>0.0596</v>
      </c>
      <c r="H994" s="170">
        <f>Tabela10[[#This Row],[M² Da chapa]]*Tabela10[[#This Row],[Qtde Chapas
Liberadas]]</f>
        <v/>
      </c>
      <c r="J994" s="59">
        <f>Tabela10[[#This Row],[ERP]]/Tabela10[[#This Row],[M² Da chapa]]</f>
        <v/>
      </c>
      <c r="K994" s="170">
        <f>Tabela10[[#This Row],[M² CHAPAS]]-Tabela10[[#This Row],[ERP]]</f>
        <v/>
      </c>
      <c r="L994" s="170">
        <f>Tabela10[[#This Row],[DIFERENÇA M²]]/Tabela10[[#This Row],[M² Da chapa]]</f>
        <v/>
      </c>
    </row>
    <row r="995">
      <c r="A995" s="6" t="n">
        <v>46216</v>
      </c>
      <c r="B995" s="8" t="inlineStr">
        <is>
          <t>N2607802</t>
        </is>
      </c>
      <c r="C995" s="168">
        <f>VLOOKUP(LEFT(B995,1),Tabela5[],2,0)</f>
        <v/>
      </c>
      <c r="D995" s="57" t="inlineStr">
        <is>
          <t>MDF - 15MM</t>
        </is>
      </c>
      <c r="E995" s="169">
        <f>VLOOKUP(Tabela10[[#This Row],[Tipo de Chapa]],Tabela11[],2,FALSE)</f>
        <v/>
      </c>
      <c r="F995" s="147">
        <f>47-5</f>
        <v/>
      </c>
      <c r="G995" s="152" t="n">
        <v>0.042</v>
      </c>
      <c r="H995" s="170">
        <f>Tabela10[[#This Row],[M² Da chapa]]*Tabela10[[#This Row],[Qtde Chapas
Liberadas]]</f>
        <v/>
      </c>
      <c r="J995" s="59">
        <f>Tabela10[[#This Row],[ERP]]/Tabela10[[#This Row],[M² Da chapa]]</f>
        <v/>
      </c>
      <c r="K995" s="170">
        <f>Tabela10[[#This Row],[M² CHAPAS]]-Tabela10[[#This Row],[ERP]]</f>
        <v/>
      </c>
      <c r="L995" s="170">
        <f>Tabela10[[#This Row],[DIFERENÇA M²]]/Tabela10[[#This Row],[M² Da chapa]]</f>
        <v/>
      </c>
    </row>
    <row r="996">
      <c r="A996" s="6" t="n">
        <v>46216</v>
      </c>
      <c r="B996" s="8" t="inlineStr">
        <is>
          <t>N2607302</t>
        </is>
      </c>
      <c r="C996" s="168">
        <f>VLOOKUP(LEFT(B996,1),Tabela5[],2,0)</f>
        <v/>
      </c>
      <c r="D996" s="57" t="inlineStr">
        <is>
          <t>MDF - 15MM</t>
        </is>
      </c>
      <c r="E996" s="169">
        <f>VLOOKUP(Tabela10[[#This Row],[Tipo de Chapa]],Tabela11[],2,FALSE)</f>
        <v/>
      </c>
      <c r="F996" s="151" t="n">
        <v>100</v>
      </c>
      <c r="G996" s="152" t="n">
        <v>0.06759999999999999</v>
      </c>
      <c r="H996" s="170">
        <f>Tabela10[[#This Row],[M² Da chapa]]*Tabela10[[#This Row],[Qtde Chapas
Liberadas]]</f>
        <v/>
      </c>
      <c r="J996" s="59">
        <f>Tabela10[[#This Row],[ERP]]/Tabela10[[#This Row],[M² Da chapa]]</f>
        <v/>
      </c>
      <c r="K996" s="170">
        <f>Tabela10[[#This Row],[M² CHAPAS]]-Tabela10[[#This Row],[ERP]]</f>
        <v/>
      </c>
      <c r="L996" s="170">
        <f>Tabela10[[#This Row],[DIFERENÇA M²]]/Tabela10[[#This Row],[M² Da chapa]]</f>
        <v/>
      </c>
    </row>
    <row r="997">
      <c r="A997" s="6" t="n">
        <v>46217</v>
      </c>
      <c r="B997" s="8" t="inlineStr">
        <is>
          <t>N26072</t>
        </is>
      </c>
      <c r="C997" s="168">
        <f>VLOOKUP(LEFT(B997,1),Tabela5[],2,0)</f>
        <v/>
      </c>
      <c r="D997" s="57" t="inlineStr">
        <is>
          <t>EUCADUR FRJ - 2,5MM</t>
        </is>
      </c>
      <c r="E997" s="169">
        <f>VLOOKUP(Tabela10[[#This Row],[Tipo de Chapa]],Tabela11[],2,FALSE)</f>
        <v/>
      </c>
      <c r="F997" s="151" t="n">
        <v>124</v>
      </c>
      <c r="G997" s="152" t="n">
        <v>0.06469999999999999</v>
      </c>
      <c r="H997" s="170">
        <f>Tabela10[[#This Row],[M² Da chapa]]*Tabela10[[#This Row],[Qtde Chapas
Liberadas]]</f>
        <v/>
      </c>
      <c r="J997" s="59">
        <f>Tabela10[[#This Row],[ERP]]/Tabela10[[#This Row],[M² Da chapa]]</f>
        <v/>
      </c>
      <c r="K997" s="170">
        <f>Tabela10[[#This Row],[M² CHAPAS]]-Tabela10[[#This Row],[ERP]]</f>
        <v/>
      </c>
      <c r="L997" s="170">
        <f>Tabela10[[#This Row],[DIFERENÇA M²]]/Tabela10[[#This Row],[M² Da chapa]]</f>
        <v/>
      </c>
    </row>
    <row r="998" hidden="1">
      <c r="A998" s="6" t="n">
        <v>46217</v>
      </c>
      <c r="B998" s="8" t="inlineStr">
        <is>
          <t>M2603304</t>
        </is>
      </c>
      <c r="C998" s="168">
        <f>VLOOKUP(LEFT(B998,1),Tabela5[],2,0)</f>
        <v/>
      </c>
      <c r="D998" s="57" t="inlineStr">
        <is>
          <t>MDF - 15MM</t>
        </is>
      </c>
      <c r="E998" s="169">
        <f>VLOOKUP(Tabela10[[#This Row],[Tipo de Chapa]],Tabela11[],2,FALSE)</f>
        <v/>
      </c>
      <c r="F998" s="147">
        <f>286+56</f>
        <v/>
      </c>
      <c r="G998" s="152" t="n">
        <v>0.0629</v>
      </c>
      <c r="H998" s="170">
        <f>Tabela10[[#This Row],[M² Da chapa]]*Tabela10[[#This Row],[Qtde Chapas
Liberadas]]</f>
        <v/>
      </c>
      <c r="J998" s="59">
        <f>Tabela10[[#This Row],[ERP]]/Tabela10[[#This Row],[M² Da chapa]]</f>
        <v/>
      </c>
      <c r="K998" s="170">
        <f>Tabela10[[#This Row],[M² CHAPAS]]-Tabela10[[#This Row],[ERP]]</f>
        <v/>
      </c>
      <c r="L998" s="170">
        <f>Tabela10[[#This Row],[DIFERENÇA M²]]/Tabela10[[#This Row],[M² Da chapa]]</f>
        <v/>
      </c>
    </row>
    <row r="999" hidden="1">
      <c r="A999" s="6" t="n">
        <v>46217</v>
      </c>
      <c r="B999" s="8" t="inlineStr">
        <is>
          <t>M26034</t>
        </is>
      </c>
      <c r="C999" s="168">
        <f>VLOOKUP(LEFT(B999,1),Tabela5[],2,0)</f>
        <v/>
      </c>
      <c r="D999" s="57" t="inlineStr">
        <is>
          <t>EUCADUR NT - 2,5MM</t>
        </is>
      </c>
      <c r="E999" s="169">
        <f>VLOOKUP(Tabela10[[#This Row],[Tipo de Chapa]],Tabela11[],2,FALSE)</f>
        <v/>
      </c>
      <c r="F999" s="151" t="n">
        <v>342</v>
      </c>
      <c r="G999" s="152" t="n">
        <v>0.0712</v>
      </c>
      <c r="H999" s="170">
        <f>Tabela10[[#This Row],[M² Da chapa]]*Tabela10[[#This Row],[Qtde Chapas
Liberadas]]</f>
        <v/>
      </c>
      <c r="J999" s="59">
        <f>Tabela10[[#This Row],[ERP]]/Tabela10[[#This Row],[M² Da chapa]]</f>
        <v/>
      </c>
      <c r="K999" s="170">
        <f>Tabela10[[#This Row],[M² CHAPAS]]-Tabela10[[#This Row],[ERP]]</f>
        <v/>
      </c>
      <c r="L999" s="170">
        <f>Tabela10[[#This Row],[DIFERENÇA M²]]/Tabela10[[#This Row],[M² Da chapa]]</f>
        <v/>
      </c>
    </row>
    <row r="1000">
      <c r="A1000" s="6" t="n">
        <v>46218</v>
      </c>
      <c r="B1000" s="8" t="inlineStr">
        <is>
          <t>N2607403 | N2607404</t>
        </is>
      </c>
      <c r="C1000" s="168">
        <f>VLOOKUP(LEFT(B1000,1),Tabela5[],2,0)</f>
        <v/>
      </c>
      <c r="D1000" s="57" t="inlineStr">
        <is>
          <t>MDF - 15MM</t>
        </is>
      </c>
      <c r="E1000" s="169">
        <f>VLOOKUP(Tabela10[[#This Row],[Tipo de Chapa]],Tabela11[],2,FALSE)</f>
        <v/>
      </c>
      <c r="F1000" s="151" t="n">
        <v>239</v>
      </c>
      <c r="G1000" s="152" t="n">
        <v>0.0508</v>
      </c>
      <c r="H1000" s="170">
        <f>Tabela10[[#This Row],[M² Da chapa]]*Tabela10[[#This Row],[Qtde Chapas
Liberadas]]</f>
        <v/>
      </c>
      <c r="J1000" s="59">
        <f>Tabela10[[#This Row],[ERP]]/Tabela10[[#This Row],[M² Da chapa]]</f>
        <v/>
      </c>
      <c r="K1000" s="170">
        <f>Tabela10[[#This Row],[M² CHAPAS]]-Tabela10[[#This Row],[ERP]]</f>
        <v/>
      </c>
      <c r="L1000" s="170">
        <f>Tabela10[[#This Row],[DIFERENÇA M²]]/Tabela10[[#This Row],[M² Da chapa]]</f>
        <v/>
      </c>
    </row>
    <row r="1001">
      <c r="A1001" s="6" t="n">
        <v>46218</v>
      </c>
      <c r="B1001" s="8" t="inlineStr">
        <is>
          <t>N26075</t>
        </is>
      </c>
      <c r="C1001" s="168">
        <f>VLOOKUP(LEFT(B1001,1),Tabela5[],2,0)</f>
        <v/>
      </c>
      <c r="D1001" s="57" t="inlineStr">
        <is>
          <t>MDF - 15MM</t>
        </is>
      </c>
      <c r="E1001" s="169">
        <f>VLOOKUP(Tabela10[[#This Row],[Tipo de Chapa]],Tabela11[],2,FALSE)</f>
        <v/>
      </c>
      <c r="F1001" s="151" t="n">
        <v>385</v>
      </c>
      <c r="G1001" s="152" t="n">
        <v>0.0538</v>
      </c>
      <c r="H1001" s="170">
        <f>Tabela10[[#This Row],[M² Da chapa]]*Tabela10[[#This Row],[Qtde Chapas
Liberadas]]</f>
        <v/>
      </c>
      <c r="J1001" s="59">
        <f>Tabela10[[#This Row],[ERP]]/Tabela10[[#This Row],[M² Da chapa]]</f>
        <v/>
      </c>
      <c r="K1001" s="170">
        <f>Tabela10[[#This Row],[M² CHAPAS]]-Tabela10[[#This Row],[ERP]]</f>
        <v/>
      </c>
      <c r="L1001" s="170">
        <f>Tabela10[[#This Row],[DIFERENÇA M²]]/Tabela10[[#This Row],[M² Da chapa]]</f>
        <v/>
      </c>
    </row>
    <row r="1002" hidden="1">
      <c r="A1002" s="6" t="n">
        <v>46218</v>
      </c>
      <c r="B1002" s="8" t="inlineStr">
        <is>
          <t>I26022</t>
        </is>
      </c>
      <c r="C1002" s="168">
        <f>VLOOKUP(LEFT(B1002,1),Tabela5[],2,0)</f>
        <v/>
      </c>
      <c r="D1002" s="57" t="inlineStr">
        <is>
          <t>MDF - 15MM</t>
        </is>
      </c>
      <c r="E1002" s="169">
        <f>VLOOKUP(Tabela10[[#This Row],[Tipo de Chapa]],Tabela11[],2,FALSE)</f>
        <v/>
      </c>
      <c r="F1002" s="151" t="n">
        <v>237</v>
      </c>
      <c r="G1002" s="152" t="n">
        <v>0.0663</v>
      </c>
      <c r="H1002" s="170">
        <f>Tabela10[[#This Row],[M² Da chapa]]*Tabela10[[#This Row],[Qtde Chapas
Liberadas]]</f>
        <v/>
      </c>
      <c r="J1002" s="59">
        <f>Tabela10[[#This Row],[ERP]]/Tabela10[[#This Row],[M² Da chapa]]</f>
        <v/>
      </c>
      <c r="K1002" s="170">
        <f>Tabela10[[#This Row],[M² CHAPAS]]-Tabela10[[#This Row],[ERP]]</f>
        <v/>
      </c>
      <c r="L1002" s="170">
        <f>Tabela10[[#This Row],[DIFERENÇA M²]]/Tabela10[[#This Row],[M² Da chapa]]</f>
        <v/>
      </c>
    </row>
    <row r="1003" hidden="1">
      <c r="A1003" s="6" t="n">
        <v>46218</v>
      </c>
      <c r="B1003" s="8" t="inlineStr">
        <is>
          <t>M2603304</t>
        </is>
      </c>
      <c r="C1003" s="168">
        <f>VLOOKUP(LEFT(B1003,1),Tabela5[],2,0)</f>
        <v/>
      </c>
      <c r="D1003" s="57" t="inlineStr">
        <is>
          <t>MDF - 9MM</t>
        </is>
      </c>
      <c r="E1003" s="169">
        <f>VLOOKUP(Tabela10[[#This Row],[Tipo de Chapa]],Tabela11[],2,FALSE)</f>
        <v/>
      </c>
      <c r="F1003" s="151" t="n">
        <v>60</v>
      </c>
      <c r="G1003" s="152" t="n">
        <v>0.08119999999999999</v>
      </c>
      <c r="H1003" s="170">
        <f>Tabela10[[#This Row],[M² Da chapa]]*Tabela10[[#This Row],[Qtde Chapas
Liberadas]]</f>
        <v/>
      </c>
      <c r="J1003" s="59">
        <f>Tabela10[[#This Row],[ERP]]/Tabela10[[#This Row],[M² Da chapa]]</f>
        <v/>
      </c>
      <c r="K1003" s="170">
        <f>Tabela10[[#This Row],[M² CHAPAS]]-Tabela10[[#This Row],[ERP]]</f>
        <v/>
      </c>
      <c r="L1003" s="170">
        <f>Tabela10[[#This Row],[DIFERENÇA M²]]/Tabela10[[#This Row],[M² Da chapa]]</f>
        <v/>
      </c>
    </row>
    <row r="1004">
      <c r="A1004" s="6" t="n">
        <v>46219</v>
      </c>
      <c r="B1004" s="8" t="inlineStr">
        <is>
          <t>N2607403</t>
        </is>
      </c>
      <c r="C1004" s="168">
        <f>VLOOKUP(LEFT(B1004,1),Tabela5[],2,0)</f>
        <v/>
      </c>
      <c r="D1004" s="57" t="inlineStr">
        <is>
          <t>MDF - 9MM</t>
        </is>
      </c>
      <c r="E1004" s="169">
        <f>VLOOKUP(Tabela10[[#This Row],[Tipo de Chapa]],Tabela11[],2,FALSE)</f>
        <v/>
      </c>
      <c r="F1004" s="151" t="n">
        <v>22</v>
      </c>
      <c r="G1004" s="152" t="n">
        <v>0.0659</v>
      </c>
      <c r="H1004" s="170">
        <f>Tabela10[[#This Row],[M² Da chapa]]*Tabela10[[#This Row],[Qtde Chapas
Liberadas]]</f>
        <v/>
      </c>
      <c r="J1004" s="59">
        <f>Tabela10[[#This Row],[ERP]]/Tabela10[[#This Row],[M² Da chapa]]</f>
        <v/>
      </c>
      <c r="K1004" s="170">
        <f>Tabela10[[#This Row],[M² CHAPAS]]-Tabela10[[#This Row],[ERP]]</f>
        <v/>
      </c>
      <c r="L1004" s="170">
        <f>Tabela10[[#This Row],[DIFERENÇA M²]]/Tabela10[[#This Row],[M² Da chapa]]</f>
        <v/>
      </c>
    </row>
    <row r="1005">
      <c r="A1005" s="6" t="n">
        <v>46219</v>
      </c>
      <c r="B1005" s="8" t="inlineStr">
        <is>
          <t>N2607601</t>
        </is>
      </c>
      <c r="C1005" s="168">
        <f>VLOOKUP(LEFT(B1005,1),Tabela5[],2,0)</f>
        <v/>
      </c>
      <c r="D1005" s="57" t="inlineStr">
        <is>
          <t>MDF - 9MM</t>
        </is>
      </c>
      <c r="E1005" s="169">
        <f>VLOOKUP(Tabela10[[#This Row],[Tipo de Chapa]],Tabela11[],2,FALSE)</f>
        <v/>
      </c>
      <c r="F1005" s="151" t="n">
        <v>0</v>
      </c>
      <c r="G1005" s="152" t="n">
        <v>0</v>
      </c>
      <c r="H1005" s="170">
        <f>Tabela10[[#This Row],[M² Da chapa]]*Tabela10[[#This Row],[Qtde Chapas
Liberadas]]</f>
        <v/>
      </c>
      <c r="J1005" s="59">
        <f>Tabela10[[#This Row],[ERP]]/Tabela10[[#This Row],[M² Da chapa]]</f>
        <v/>
      </c>
      <c r="K1005" s="170">
        <f>Tabela10[[#This Row],[M² CHAPAS]]-Tabela10[[#This Row],[ERP]]</f>
        <v/>
      </c>
      <c r="L1005" s="170">
        <f>Tabela10[[#This Row],[DIFERENÇA M²]]/Tabela10[[#This Row],[M² Da chapa]]</f>
        <v/>
      </c>
    </row>
    <row r="1006">
      <c r="A1006" s="6" t="n">
        <v>46219</v>
      </c>
      <c r="B1006" s="8" t="inlineStr">
        <is>
          <t>N2607404</t>
        </is>
      </c>
      <c r="C1006" s="168">
        <f>VLOOKUP(LEFT(B1006,1),Tabela5[],2,0)</f>
        <v/>
      </c>
      <c r="D1006" s="57" t="inlineStr">
        <is>
          <t>MDF - 25MM 2750X450 - SOBRAS</t>
        </is>
      </c>
      <c r="E1006" s="169">
        <f>VLOOKUP(Tabela10[[#This Row],[Tipo de Chapa]],Tabela11[],2,FALSE)</f>
        <v/>
      </c>
      <c r="F1006" s="151">
        <f>160+59</f>
        <v/>
      </c>
      <c r="G1006" s="152" t="n">
        <v>0.0309</v>
      </c>
      <c r="H1006" s="170">
        <f>Tabela10[[#This Row],[M² Da chapa]]*Tabela10[[#This Row],[Qtde Chapas
Liberadas]]</f>
        <v/>
      </c>
      <c r="J1006" s="59">
        <f>Tabela10[[#This Row],[ERP]]/Tabela10[[#This Row],[M² Da chapa]]</f>
        <v/>
      </c>
      <c r="K1006" s="170">
        <f>Tabela10[[#This Row],[M² CHAPAS]]-Tabela10[[#This Row],[ERP]]</f>
        <v/>
      </c>
      <c r="L1006" s="170">
        <f>Tabela10[[#This Row],[DIFERENÇA M²]]/Tabela10[[#This Row],[M² Da chapa]]</f>
        <v/>
      </c>
    </row>
    <row r="1007">
      <c r="A1007" s="6" t="n">
        <v>46219</v>
      </c>
      <c r="B1007" s="8" t="inlineStr">
        <is>
          <t>N2607404</t>
        </is>
      </c>
      <c r="C1007" s="168">
        <f>VLOOKUP(LEFT(B1007,1),Tabela5[],2,0)</f>
        <v/>
      </c>
      <c r="D1007" s="57" t="inlineStr">
        <is>
          <t>MDF - 25MM 2750x2200</t>
        </is>
      </c>
      <c r="E1007" s="169">
        <f>VLOOKUP(Tabela10[[#This Row],[Tipo de Chapa]],Tabela11[],2,FALSE)</f>
        <v/>
      </c>
      <c r="F1007" s="147" t="n">
        <v>24</v>
      </c>
      <c r="G1007" s="152" t="n">
        <v>0.056</v>
      </c>
      <c r="H1007" s="170">
        <f>Tabela10[[#This Row],[M² Da chapa]]*Tabela10[[#This Row],[Qtde Chapas
Liberadas]]</f>
        <v/>
      </c>
      <c r="J1007" s="59">
        <f>Tabela10[[#This Row],[ERP]]/Tabela10[[#This Row],[M² Da chapa]]</f>
        <v/>
      </c>
      <c r="K1007" s="170">
        <f>Tabela10[[#This Row],[M² CHAPAS]]-Tabela10[[#This Row],[ERP]]</f>
        <v/>
      </c>
      <c r="L1007" s="170">
        <f>Tabela10[[#This Row],[DIFERENÇA M²]]/Tabela10[[#This Row],[M² Da chapa]]</f>
        <v/>
      </c>
    </row>
    <row r="1008">
      <c r="A1008" s="6" t="n">
        <v>46219</v>
      </c>
      <c r="B1008" s="8" t="inlineStr">
        <is>
          <t>N2607601</t>
        </is>
      </c>
      <c r="C1008" s="168">
        <f>VLOOKUP(LEFT(B1008,1),Tabela5[],2,0)</f>
        <v/>
      </c>
      <c r="D1008" s="57" t="inlineStr">
        <is>
          <t>MDF - 25MM 2750X450 - SOBRAS</t>
        </is>
      </c>
      <c r="E1008" s="169">
        <f>VLOOKUP(Tabela10[[#This Row],[Tipo de Chapa]],Tabela11[],2,FALSE)</f>
        <v/>
      </c>
      <c r="F1008" s="151" t="n">
        <v>0</v>
      </c>
      <c r="G1008" s="152" t="n">
        <v>0</v>
      </c>
      <c r="H1008" s="170">
        <f>Tabela10[[#This Row],[M² Da chapa]]*Tabela10[[#This Row],[Qtde Chapas
Liberadas]]</f>
        <v/>
      </c>
      <c r="J1008" s="59">
        <f>Tabela10[[#This Row],[ERP]]/Tabela10[[#This Row],[M² Da chapa]]</f>
        <v/>
      </c>
      <c r="K1008" s="170">
        <f>Tabela10[[#This Row],[M² CHAPAS]]-Tabela10[[#This Row],[ERP]]</f>
        <v/>
      </c>
      <c r="L1008" s="170">
        <f>Tabela10[[#This Row],[DIFERENÇA M²]]/Tabela10[[#This Row],[M² Da chapa]]</f>
        <v/>
      </c>
    </row>
    <row r="1009">
      <c r="A1009" s="6" t="n">
        <v>46219</v>
      </c>
      <c r="B1009" s="8" t="inlineStr">
        <is>
          <t>N2607801</t>
        </is>
      </c>
      <c r="C1009" s="168">
        <f>VLOOKUP(LEFT(B1009,1),Tabela5[],2,0)</f>
        <v/>
      </c>
      <c r="D1009" s="57" t="inlineStr">
        <is>
          <t>MDF - 25MM 2750X450 - SOBRAS</t>
        </is>
      </c>
      <c r="E1009" s="169">
        <f>VLOOKUP(Tabela10[[#This Row],[Tipo de Chapa]],Tabela11[],2,FALSE)</f>
        <v/>
      </c>
      <c r="F1009" s="151" t="n">
        <v>0</v>
      </c>
      <c r="G1009" s="152" t="n">
        <v>0</v>
      </c>
      <c r="H1009" s="170">
        <f>Tabela10[[#This Row],[M² Da chapa]]*Tabela10[[#This Row],[Qtde Chapas
Liberadas]]</f>
        <v/>
      </c>
      <c r="J1009" s="59">
        <f>Tabela10[[#This Row],[ERP]]/Tabela10[[#This Row],[M² Da chapa]]</f>
        <v/>
      </c>
      <c r="K1009" s="170">
        <f>Tabela10[[#This Row],[M² CHAPAS]]-Tabela10[[#This Row],[ERP]]</f>
        <v/>
      </c>
      <c r="L1009" s="170">
        <f>Tabela10[[#This Row],[DIFERENÇA M²]]/Tabela10[[#This Row],[M² Da chapa]]</f>
        <v/>
      </c>
    </row>
    <row r="1010">
      <c r="A1010" s="6">
        <f>TODAY()</f>
        <v/>
      </c>
      <c r="B1010" s="8" t="inlineStr">
        <is>
          <t>N2607603</t>
        </is>
      </c>
      <c r="C1010" s="168">
        <f>VLOOKUP(LEFT(B1010,1),Tabela5[],2,0)</f>
        <v/>
      </c>
      <c r="D1010" s="57" t="inlineStr">
        <is>
          <t>MDF - 15MM</t>
        </is>
      </c>
      <c r="E1010" s="169">
        <f>VLOOKUP(Tabela10[[#This Row],[Tipo de Chapa]],Tabela11[],2,FALSE)</f>
        <v/>
      </c>
      <c r="F1010" s="151" t="n">
        <v>105</v>
      </c>
      <c r="G1010" s="152" t="n">
        <v>0.0559</v>
      </c>
      <c r="H1010" s="170">
        <f>Tabela10[[#This Row],[M² Da chapa]]*Tabela10[[#This Row],[Qtde Chapas
Liberadas]]</f>
        <v/>
      </c>
      <c r="J1010" s="59">
        <f>Tabela10[[#This Row],[ERP]]/Tabela10[[#This Row],[M² Da chapa]]</f>
        <v/>
      </c>
      <c r="K1010" s="170">
        <f>Tabela10[[#This Row],[M² CHAPAS]]-Tabela10[[#This Row],[ERP]]</f>
        <v/>
      </c>
      <c r="L1010" s="170">
        <f>Tabela10[[#This Row],[DIFERENÇA M²]]/Tabela10[[#This Row],[M² Da chapa]]</f>
        <v/>
      </c>
    </row>
    <row r="1011">
      <c r="A1011" s="6" t="n">
        <v>46219</v>
      </c>
      <c r="B1011" s="8" t="inlineStr">
        <is>
          <t>N2607601 | N2607602</t>
        </is>
      </c>
      <c r="C1011" s="168">
        <f>VLOOKUP(LEFT(B1011,1),Tabela5[],2,0)</f>
        <v/>
      </c>
      <c r="D1011" s="57" t="inlineStr">
        <is>
          <t>MDF - 15MM</t>
        </is>
      </c>
      <c r="E1011" s="169">
        <f>VLOOKUP(Tabela10[[#This Row],[Tipo de Chapa]],Tabela11[],2,FALSE)</f>
        <v/>
      </c>
      <c r="F1011" s="151" t="n">
        <v>342</v>
      </c>
      <c r="G1011" s="152" t="n">
        <v>0.0561</v>
      </c>
      <c r="H1011" s="170">
        <f>Tabela10[[#This Row],[M² Da chapa]]*Tabela10[[#This Row],[Qtde Chapas
Liberadas]]</f>
        <v/>
      </c>
      <c r="J1011" s="59">
        <f>Tabela10[[#This Row],[ERP]]/Tabela10[[#This Row],[M² Da chapa]]</f>
        <v/>
      </c>
      <c r="K1011" s="170">
        <f>Tabela10[[#This Row],[M² CHAPAS]]-Tabela10[[#This Row],[ERP]]</f>
        <v/>
      </c>
      <c r="L1011" s="170">
        <f>Tabela10[[#This Row],[DIFERENÇA M²]]/Tabela10[[#This Row],[M² Da chapa]]</f>
        <v/>
      </c>
    </row>
    <row r="1012" hidden="1">
      <c r="A1012" s="6" t="n">
        <v>46219</v>
      </c>
      <c r="B1012" s="8" t="inlineStr">
        <is>
          <t>I2602401 | I2602402 | I2602403 | I2602405</t>
        </is>
      </c>
      <c r="C1012" s="168">
        <f>VLOOKUP(LEFT(B1012,1),Tabela5[],2,0)</f>
        <v/>
      </c>
      <c r="D1012" s="57" t="inlineStr">
        <is>
          <t>MDF - 15MM</t>
        </is>
      </c>
      <c r="E1012" s="169">
        <f>VLOOKUP(Tabela10[[#This Row],[Tipo de Chapa]],Tabela11[],2,FALSE)</f>
        <v/>
      </c>
      <c r="F1012" s="151" t="n">
        <v>1059</v>
      </c>
      <c r="G1012" s="152" t="n">
        <v>0.0688</v>
      </c>
      <c r="H1012" s="170">
        <f>Tabela10[[#This Row],[M² Da chapa]]*Tabela10[[#This Row],[Qtde Chapas
Liberadas]]</f>
        <v/>
      </c>
      <c r="J1012" s="59">
        <f>Tabela10[[#This Row],[ERP]]/Tabela10[[#This Row],[M² Da chapa]]</f>
        <v/>
      </c>
      <c r="K1012" s="170">
        <f>Tabela10[[#This Row],[M² CHAPAS]]-Tabela10[[#This Row],[ERP]]</f>
        <v/>
      </c>
      <c r="L1012" s="170">
        <f>Tabela10[[#This Row],[DIFERENÇA M²]]/Tabela10[[#This Row],[M² Da chapa]]</f>
        <v/>
      </c>
    </row>
    <row r="1013">
      <c r="A1013" s="6" t="n">
        <v>46220</v>
      </c>
      <c r="B1013" s="8" t="inlineStr">
        <is>
          <t>N26074</t>
        </is>
      </c>
      <c r="C1013" s="168">
        <f>VLOOKUP(LEFT(B1013,1),Tabela5[],2,0)</f>
        <v/>
      </c>
      <c r="D1013" s="57" t="inlineStr">
        <is>
          <t>EUCADUR NT - 2,5MM</t>
        </is>
      </c>
      <c r="E1013" s="169">
        <f>VLOOKUP(Tabela10[[#This Row],[Tipo de Chapa]],Tabela11[],2,FALSE)</f>
        <v/>
      </c>
      <c r="F1013" s="151" t="n">
        <v>225</v>
      </c>
      <c r="G1013" s="152" t="n">
        <v>0.0639</v>
      </c>
      <c r="H1013" s="170">
        <f>Tabela10[[#This Row],[M² Da chapa]]*Tabela10[[#This Row],[Qtde Chapas
Liberadas]]</f>
        <v/>
      </c>
      <c r="J1013" s="59">
        <f>Tabela10[[#This Row],[ERP]]/Tabela10[[#This Row],[M² Da chapa]]</f>
        <v/>
      </c>
      <c r="K1013" s="170">
        <f>Tabela10[[#This Row],[M² CHAPAS]]-Tabela10[[#This Row],[ERP]]</f>
        <v/>
      </c>
      <c r="L1013" s="170">
        <f>Tabela10[[#This Row],[DIFERENÇA M²]]/Tabela10[[#This Row],[M² Da chapa]]</f>
        <v/>
      </c>
    </row>
    <row r="1014">
      <c r="A1014" s="6" t="n">
        <v>46220</v>
      </c>
      <c r="B1014" s="8" t="inlineStr">
        <is>
          <t>N2607602</t>
        </is>
      </c>
      <c r="C1014" s="168">
        <f>VLOOKUP(LEFT(B1014,1),Tabela5[],2,0)</f>
        <v/>
      </c>
      <c r="D1014" s="57" t="inlineStr">
        <is>
          <t>MDF - 9MM</t>
        </is>
      </c>
      <c r="E1014" s="169">
        <f>VLOOKUP(Tabela10[[#This Row],[Tipo de Chapa]],Tabela11[],2,FALSE)</f>
        <v/>
      </c>
      <c r="F1014" s="151" t="n">
        <v>0</v>
      </c>
      <c r="G1014" s="152" t="n">
        <v>0</v>
      </c>
      <c r="H1014" s="170">
        <f>Tabela10[[#This Row],[M² Da chapa]]*Tabela10[[#This Row],[Qtde Chapas
Liberadas]]</f>
        <v/>
      </c>
      <c r="J1014" s="59">
        <f>Tabela10[[#This Row],[ERP]]/Tabela10[[#This Row],[M² Da chapa]]</f>
        <v/>
      </c>
      <c r="K1014" s="170">
        <f>Tabela10[[#This Row],[M² CHAPAS]]-Tabela10[[#This Row],[ERP]]</f>
        <v/>
      </c>
      <c r="L1014" s="170">
        <f>Tabela10[[#This Row],[DIFERENÇA M²]]/Tabela10[[#This Row],[M² Da chapa]]</f>
        <v/>
      </c>
    </row>
    <row r="1015">
      <c r="A1015" s="6" t="n">
        <v>46220</v>
      </c>
      <c r="B1015" s="8" t="inlineStr">
        <is>
          <t>N26070</t>
        </is>
      </c>
      <c r="C1015" s="168">
        <f>VLOOKUP(LEFT(B1015,1),Tabela5[],2,0)</f>
        <v/>
      </c>
      <c r="D1015" s="57" t="inlineStr">
        <is>
          <t>MDF - 15MM</t>
        </is>
      </c>
      <c r="E1015" s="169">
        <f>VLOOKUP(Tabela10[[#This Row],[Tipo de Chapa]],Tabela11[],2,FALSE)</f>
        <v/>
      </c>
      <c r="F1015" s="151" t="n">
        <v>552</v>
      </c>
      <c r="G1015" s="152" t="n">
        <v>0.0505</v>
      </c>
      <c r="H1015" s="170">
        <f>Tabela10[[#This Row],[M² Da chapa]]*Tabela10[[#This Row],[Qtde Chapas
Liberadas]]</f>
        <v/>
      </c>
      <c r="J1015" s="59">
        <f>Tabela10[[#This Row],[ERP]]/Tabela10[[#This Row],[M² Da chapa]]</f>
        <v/>
      </c>
      <c r="K1015" s="170">
        <f>Tabela10[[#This Row],[M² CHAPAS]]-Tabela10[[#This Row],[ERP]]</f>
        <v/>
      </c>
      <c r="L1015" s="170">
        <f>Tabela10[[#This Row],[DIFERENÇA M²]]/Tabela10[[#This Row],[M² Da chapa]]</f>
        <v/>
      </c>
    </row>
    <row r="1016">
      <c r="A1016" s="6" t="n">
        <v>46220</v>
      </c>
      <c r="B1016" s="8" t="inlineStr">
        <is>
          <t>N2607501</t>
        </is>
      </c>
      <c r="C1016" s="168">
        <f>VLOOKUP(LEFT(B1016,1),Tabela5[],2,0)</f>
        <v/>
      </c>
      <c r="D1016" s="57" t="inlineStr">
        <is>
          <t>MDF - 25MM 2750x2200</t>
        </is>
      </c>
      <c r="E1016" s="169">
        <f>VLOOKUP(Tabela10[[#This Row],[Tipo de Chapa]],Tabela11[],2,FALSE)</f>
        <v/>
      </c>
      <c r="F1016" s="151" t="n">
        <v>59</v>
      </c>
      <c r="G1016" s="152" t="n">
        <v>0.0868</v>
      </c>
      <c r="H1016" s="170">
        <f>Tabela10[[#This Row],[M² Da chapa]]*Tabela10[[#This Row],[Qtde Chapas
Liberadas]]</f>
        <v/>
      </c>
      <c r="J1016" s="59">
        <f>Tabela10[[#This Row],[ERP]]/Tabela10[[#This Row],[M² Da chapa]]</f>
        <v/>
      </c>
      <c r="K1016" s="170">
        <f>Tabela10[[#This Row],[M² CHAPAS]]-Tabela10[[#This Row],[ERP]]</f>
        <v/>
      </c>
      <c r="L1016" s="170">
        <f>Tabela10[[#This Row],[DIFERENÇA M²]]/Tabela10[[#This Row],[M² Da chapa]]</f>
        <v/>
      </c>
    </row>
    <row r="1017">
      <c r="A1017" s="6" t="n">
        <v>46220</v>
      </c>
      <c r="B1017" s="8" t="inlineStr">
        <is>
          <t>N26075</t>
        </is>
      </c>
      <c r="C1017" s="168">
        <f>VLOOKUP(LEFT(B1017,1),Tabela5[],2,0)</f>
        <v/>
      </c>
      <c r="D1017" s="57" t="inlineStr">
        <is>
          <t>EUCADUR NT - 2,5MM</t>
        </is>
      </c>
      <c r="E1017" s="169">
        <f>VLOOKUP(Tabela10[[#This Row],[Tipo de Chapa]],Tabela11[],2,FALSE)</f>
        <v/>
      </c>
      <c r="F1017" s="151" t="n">
        <v>271</v>
      </c>
      <c r="G1017" s="152" t="n">
        <v>0.06619999999999999</v>
      </c>
      <c r="H1017" s="170">
        <f>Tabela10[[#This Row],[M² Da chapa]]*Tabela10[[#This Row],[Qtde Chapas
Liberadas]]</f>
        <v/>
      </c>
      <c r="J1017" s="59">
        <f>Tabela10[[#This Row],[ERP]]/Tabela10[[#This Row],[M² Da chapa]]</f>
        <v/>
      </c>
      <c r="K1017" s="170">
        <f>Tabela10[[#This Row],[M² CHAPAS]]-Tabela10[[#This Row],[ERP]]</f>
        <v/>
      </c>
      <c r="L1017" s="170">
        <f>Tabela10[[#This Row],[DIFERENÇA M²]]/Tabela10[[#This Row],[M² Da chapa]]</f>
        <v/>
      </c>
    </row>
    <row r="1018" hidden="1">
      <c r="A1018" s="6" t="n">
        <v>46220</v>
      </c>
      <c r="B1018" s="8" t="inlineStr">
        <is>
          <t>I26024</t>
        </is>
      </c>
      <c r="C1018" s="168">
        <f>VLOOKUP(LEFT(B1018,1),Tabela5[],2,0)</f>
        <v/>
      </c>
      <c r="D1018" s="57" t="inlineStr">
        <is>
          <t>MDF - 9MM</t>
        </is>
      </c>
      <c r="E1018" s="169">
        <f>VLOOKUP(Tabela10[[#This Row],[Tipo de Chapa]],Tabela11[],2,FALSE)</f>
        <v/>
      </c>
      <c r="F1018" s="151" t="n">
        <v>93</v>
      </c>
      <c r="G1018" s="152" t="n">
        <v>0.0427</v>
      </c>
      <c r="H1018" s="170">
        <f>Tabela10[[#This Row],[M² Da chapa]]*Tabela10[[#This Row],[Qtde Chapas
Liberadas]]</f>
        <v/>
      </c>
      <c r="J1018" s="59">
        <f>Tabela10[[#This Row],[ERP]]/Tabela10[[#This Row],[M² Da chapa]]</f>
        <v/>
      </c>
      <c r="K1018" s="170">
        <f>Tabela10[[#This Row],[M² CHAPAS]]-Tabela10[[#This Row],[ERP]]</f>
        <v/>
      </c>
      <c r="L1018" s="170">
        <f>Tabela10[[#This Row],[DIFERENÇA M²]]/Tabela10[[#This Row],[M² Da chapa]]</f>
        <v/>
      </c>
    </row>
    <row r="1019" hidden="1">
      <c r="A1019" s="6" t="n">
        <v>46220</v>
      </c>
      <c r="B1019" s="8" t="inlineStr">
        <is>
          <t>I26025</t>
        </is>
      </c>
      <c r="C1019" s="168">
        <f>VLOOKUP(LEFT(B1019,1),Tabela5[],2,0)</f>
        <v/>
      </c>
      <c r="D1019" s="57" t="inlineStr">
        <is>
          <t>MDF - 9MM</t>
        </is>
      </c>
      <c r="E1019" s="169">
        <f>VLOOKUP(Tabela10[[#This Row],[Tipo de Chapa]],Tabela11[],2,FALSE)</f>
        <v/>
      </c>
      <c r="F1019" s="151" t="n">
        <v>19</v>
      </c>
      <c r="G1019" s="152" t="n">
        <v>0.0318</v>
      </c>
      <c r="H1019" s="170">
        <f>Tabela10[[#This Row],[M² Da chapa]]*Tabela10[[#This Row],[Qtde Chapas
Liberadas]]</f>
        <v/>
      </c>
      <c r="J1019" s="59">
        <f>Tabela10[[#This Row],[ERP]]/Tabela10[[#This Row],[M² Da chapa]]</f>
        <v/>
      </c>
      <c r="K1019" s="170">
        <f>Tabela10[[#This Row],[M² CHAPAS]]-Tabela10[[#This Row],[ERP]]</f>
        <v/>
      </c>
      <c r="L1019" s="170">
        <f>Tabela10[[#This Row],[DIFERENÇA M²]]/Tabela10[[#This Row],[M² Da chapa]]</f>
        <v/>
      </c>
    </row>
    <row r="1020">
      <c r="A1020" s="6" t="n">
        <v>46223</v>
      </c>
      <c r="B1020" s="8" t="inlineStr">
        <is>
          <t>N26076</t>
        </is>
      </c>
      <c r="C1020" s="168">
        <f>VLOOKUP(LEFT(B1020,1),Tabela5[],2,0)</f>
        <v/>
      </c>
      <c r="D1020" s="57" t="inlineStr">
        <is>
          <t>EUCADUR NT - 2,5MM</t>
        </is>
      </c>
      <c r="E1020" s="169">
        <f>VLOOKUP(Tabela10[[#This Row],[Tipo de Chapa]],Tabela11[],2,FALSE)</f>
        <v/>
      </c>
      <c r="F1020" s="151" t="n">
        <v>227</v>
      </c>
      <c r="G1020" s="152" t="n">
        <v>0.0645</v>
      </c>
      <c r="H1020" s="170">
        <f>Tabela10[[#This Row],[M² Da chapa]]*Tabela10[[#This Row],[Qtde Chapas
Liberadas]]</f>
        <v/>
      </c>
      <c r="J1020" s="59">
        <f>Tabela10[[#This Row],[ERP]]/Tabela10[[#This Row],[M² Da chapa]]</f>
        <v/>
      </c>
      <c r="K1020" s="170">
        <f>Tabela10[[#This Row],[M² CHAPAS]]-Tabela10[[#This Row],[ERP]]</f>
        <v/>
      </c>
      <c r="L1020" s="170">
        <f>Tabela10[[#This Row],[DIFERENÇA M²]]/Tabela10[[#This Row],[M² Da chapa]]</f>
        <v/>
      </c>
    </row>
    <row r="1021" hidden="1">
      <c r="A1021" s="6" t="n">
        <v>46223</v>
      </c>
      <c r="B1021" s="8" t="inlineStr">
        <is>
          <t>I26022</t>
        </is>
      </c>
      <c r="C1021" s="168">
        <f>VLOOKUP(LEFT(B1021,1),Tabela5[],2,0)</f>
        <v/>
      </c>
      <c r="D1021" s="57" t="inlineStr">
        <is>
          <t>EUCADUR FRJ - 2,5MM</t>
        </is>
      </c>
      <c r="E1021" s="169">
        <f>VLOOKUP(Tabela10[[#This Row],[Tipo de Chapa]],Tabela11[],2,FALSE)</f>
        <v/>
      </c>
      <c r="F1021" s="151" t="n">
        <v>98</v>
      </c>
      <c r="G1021" s="152" t="n">
        <v>0.06619999999999999</v>
      </c>
      <c r="H1021" s="170">
        <f>Tabela10[[#This Row],[M² Da chapa]]*Tabela10[[#This Row],[Qtde Chapas
Liberadas]]</f>
        <v/>
      </c>
      <c r="J1021" s="59">
        <f>Tabela10[[#This Row],[ERP]]/Tabela10[[#This Row],[M² Da chapa]]</f>
        <v/>
      </c>
      <c r="K1021" s="170">
        <f>Tabela10[[#This Row],[M² CHAPAS]]-Tabela10[[#This Row],[ERP]]</f>
        <v/>
      </c>
      <c r="L1021" s="170">
        <f>Tabela10[[#This Row],[DIFERENÇA M²]]/Tabela10[[#This Row],[M² Da chapa]]</f>
        <v/>
      </c>
    </row>
    <row r="1022" hidden="1">
      <c r="A1022" s="6" t="n">
        <v>46223</v>
      </c>
      <c r="B1022" s="8" t="inlineStr">
        <is>
          <t>M26034</t>
        </is>
      </c>
      <c r="C1022" s="168">
        <f>VLOOKUP(LEFT(B1022,1),Tabela5[],2,0)</f>
        <v/>
      </c>
      <c r="D1022" s="57" t="inlineStr">
        <is>
          <t>CAPA MDF - 15MM</t>
        </is>
      </c>
      <c r="E1022" s="169">
        <f>VLOOKUP(Tabela10[[#This Row],[Tipo de Chapa]],Tabela11[],2,FALSE)</f>
        <v/>
      </c>
      <c r="F1022" s="151" t="n">
        <v>24</v>
      </c>
      <c r="G1022" s="152" t="n">
        <v>0.1001</v>
      </c>
      <c r="H1022" s="170">
        <f>Tabela10[[#This Row],[M² Da chapa]]*Tabela10[[#This Row],[Qtde Chapas
Liberadas]]</f>
        <v/>
      </c>
      <c r="J1022" s="59">
        <f>Tabela10[[#This Row],[ERP]]/Tabela10[[#This Row],[M² Da chapa]]</f>
        <v/>
      </c>
      <c r="K1022" s="170">
        <f>Tabela10[[#This Row],[M² CHAPAS]]-Tabela10[[#This Row],[ERP]]</f>
        <v/>
      </c>
      <c r="L1022" s="170">
        <f>Tabela10[[#This Row],[DIFERENÇA M²]]/Tabela10[[#This Row],[M² Da chapa]]</f>
        <v/>
      </c>
    </row>
    <row r="1023" hidden="1">
      <c r="A1023" s="6" t="n">
        <v>46223</v>
      </c>
      <c r="B1023" s="8" t="inlineStr">
        <is>
          <t>I2602404 | I2602406 | I2602407 | I2602408</t>
        </is>
      </c>
      <c r="C1023" s="168">
        <f>VLOOKUP(LEFT(B1023,1),Tabela5[],2,0)</f>
        <v/>
      </c>
      <c r="D1023" s="57" t="inlineStr">
        <is>
          <t>MDF - 15MM</t>
        </is>
      </c>
      <c r="E1023" s="169">
        <f>VLOOKUP(Tabela10[[#This Row],[Tipo de Chapa]],Tabela11[],2,FALSE)</f>
        <v/>
      </c>
      <c r="F1023" s="151" t="n">
        <v>324</v>
      </c>
      <c r="G1023" s="152" t="n">
        <v>0.0619</v>
      </c>
      <c r="H1023" s="170">
        <f>Tabela10[[#This Row],[M² Da chapa]]*Tabela10[[#This Row],[Qtde Chapas
Liberadas]]</f>
        <v/>
      </c>
      <c r="J1023" s="59">
        <f>Tabela10[[#This Row],[ERP]]/Tabela10[[#This Row],[M² Da chapa]]</f>
        <v/>
      </c>
      <c r="K1023" s="170">
        <f>Tabela10[[#This Row],[M² CHAPAS]]-Tabela10[[#This Row],[ERP]]</f>
        <v/>
      </c>
      <c r="L1023" s="170">
        <f>Tabela10[[#This Row],[DIFERENÇA M²]]/Tabela10[[#This Row],[M² Da chapa]]</f>
        <v/>
      </c>
    </row>
    <row r="1024" hidden="1">
      <c r="A1024" s="6" t="n">
        <v>46223</v>
      </c>
      <c r="B1024" s="8" t="inlineStr">
        <is>
          <t>I2602501</t>
        </is>
      </c>
      <c r="C1024" s="168">
        <f>VLOOKUP(LEFT(B1024,1),Tabela5[],2,0)</f>
        <v/>
      </c>
      <c r="D1024" s="57" t="inlineStr">
        <is>
          <t>MDF - 15MM</t>
        </is>
      </c>
      <c r="E1024" s="169">
        <f>VLOOKUP(Tabela10[[#This Row],[Tipo de Chapa]],Tabela11[],2,FALSE)</f>
        <v/>
      </c>
      <c r="F1024" s="151" t="n">
        <v>43</v>
      </c>
      <c r="G1024" s="152" t="n">
        <v>0.0673</v>
      </c>
      <c r="H1024" s="170">
        <f>Tabela10[[#This Row],[M² Da chapa]]*Tabela10[[#This Row],[Qtde Chapas
Liberadas]]</f>
        <v/>
      </c>
      <c r="J1024" s="59">
        <f>Tabela10[[#This Row],[ERP]]/Tabela10[[#This Row],[M² Da chapa]]</f>
        <v/>
      </c>
      <c r="K1024" s="170">
        <f>Tabela10[[#This Row],[M² CHAPAS]]-Tabela10[[#This Row],[ERP]]</f>
        <v/>
      </c>
      <c r="L1024" s="170">
        <f>Tabela10[[#This Row],[DIFERENÇA M²]]/Tabela10[[#This Row],[M² Da chapa]]</f>
        <v/>
      </c>
    </row>
    <row r="1025">
      <c r="A1025" s="6" t="n">
        <v>46223</v>
      </c>
      <c r="B1025" s="8" t="inlineStr">
        <is>
          <t>N2607802 | N2607801</t>
        </is>
      </c>
      <c r="C1025" s="168">
        <f>VLOOKUP(LEFT(B1025,1),Tabela5[],2,0)</f>
        <v/>
      </c>
      <c r="D1025" s="57" t="inlineStr">
        <is>
          <t>MDF - 15MM</t>
        </is>
      </c>
      <c r="E1025" s="169">
        <f>VLOOKUP(Tabela10[[#This Row],[Tipo de Chapa]],Tabela11[],2,FALSE)</f>
        <v/>
      </c>
      <c r="F1025" s="147">
        <f>247-6</f>
        <v/>
      </c>
      <c r="G1025" s="152" t="n">
        <v>0.0537</v>
      </c>
      <c r="H1025" s="170">
        <f>Tabela10[[#This Row],[M² Da chapa]]*Tabela10[[#This Row],[Qtde Chapas
Liberadas]]</f>
        <v/>
      </c>
      <c r="J1025" s="59">
        <f>Tabela10[[#This Row],[ERP]]/Tabela10[[#This Row],[M² Da chapa]]</f>
        <v/>
      </c>
      <c r="K1025" s="170">
        <f>Tabela10[[#This Row],[M² CHAPAS]]-Tabela10[[#This Row],[ERP]]</f>
        <v/>
      </c>
      <c r="L1025" s="170">
        <f>Tabela10[[#This Row],[DIFERENÇA M²]]/Tabela10[[#This Row],[M² Da chapa]]</f>
        <v/>
      </c>
    </row>
    <row r="1026">
      <c r="A1026" s="6" t="n">
        <v>46224</v>
      </c>
      <c r="B1026" s="8" t="inlineStr">
        <is>
          <t>N26070</t>
        </is>
      </c>
      <c r="C1026" s="168">
        <f>VLOOKUP(LEFT(B1026,1),Tabela5[],2,0)</f>
        <v/>
      </c>
      <c r="D1026" s="57" t="inlineStr">
        <is>
          <t>EUCADUR NT - 2,5MM</t>
        </is>
      </c>
      <c r="E1026" s="169">
        <f>VLOOKUP(Tabela10[[#This Row],[Tipo de Chapa]],Tabela11[],2,FALSE)</f>
        <v/>
      </c>
      <c r="F1026" s="151" t="n">
        <v>320</v>
      </c>
      <c r="G1026" s="152" t="n">
        <v>0.0615</v>
      </c>
      <c r="H1026" s="170">
        <f>Tabela10[[#This Row],[M² Da chapa]]*Tabela10[[#This Row],[Qtde Chapas
Liberadas]]</f>
        <v/>
      </c>
      <c r="J1026" s="59">
        <f>Tabela10[[#This Row],[ERP]]/Tabela10[[#This Row],[M² Da chapa]]</f>
        <v/>
      </c>
      <c r="K1026" s="170">
        <f>Tabela10[[#This Row],[M² CHAPAS]]-Tabela10[[#This Row],[ERP]]</f>
        <v/>
      </c>
      <c r="L1026" s="170">
        <f>Tabela10[[#This Row],[DIFERENÇA M²]]/Tabela10[[#This Row],[M² Da chapa]]</f>
        <v/>
      </c>
    </row>
    <row r="1027">
      <c r="A1027" s="6" t="n">
        <v>46224</v>
      </c>
      <c r="B1027" s="8" t="inlineStr">
        <is>
          <t>N26070</t>
        </is>
      </c>
      <c r="C1027" s="168">
        <f>VLOOKUP(LEFT(B1027,1),Tabela5[],2,0)</f>
        <v/>
      </c>
      <c r="D1027" s="57" t="inlineStr">
        <is>
          <t>MDF - 25MM 2750x2200</t>
        </is>
      </c>
      <c r="E1027" s="169">
        <f>VLOOKUP(Tabela10[[#This Row],[Tipo de Chapa]],Tabela11[],2,FALSE)</f>
        <v/>
      </c>
      <c r="F1027" s="151" t="n">
        <v>59</v>
      </c>
      <c r="G1027" s="152" t="n">
        <v>0.0182</v>
      </c>
      <c r="H1027" s="170">
        <f>Tabela10[[#This Row],[M² Da chapa]]*Tabela10[[#This Row],[Qtde Chapas
Liberadas]]</f>
        <v/>
      </c>
      <c r="J1027" s="59">
        <f>Tabela10[[#This Row],[ERP]]/Tabela10[[#This Row],[M² Da chapa]]</f>
        <v/>
      </c>
      <c r="K1027" s="170">
        <f>Tabela10[[#This Row],[M² CHAPAS]]-Tabela10[[#This Row],[ERP]]</f>
        <v/>
      </c>
      <c r="L1027" s="170">
        <f>Tabela10[[#This Row],[DIFERENÇA M²]]/Tabela10[[#This Row],[M² Da chapa]]</f>
        <v/>
      </c>
    </row>
    <row r="1028" hidden="1">
      <c r="A1028" s="6" t="n">
        <v>46224</v>
      </c>
      <c r="B1028" s="8" t="inlineStr">
        <is>
          <t>I26023</t>
        </is>
      </c>
      <c r="C1028" s="168">
        <f>VLOOKUP(LEFT(B1028,1),Tabela5[],2,0)</f>
        <v/>
      </c>
      <c r="D1028" s="57" t="inlineStr">
        <is>
          <t>MDF - 15MM</t>
        </is>
      </c>
      <c r="E1028" s="169">
        <f>VLOOKUP(Tabela10[[#This Row],[Tipo de Chapa]],Tabela11[],2,FALSE)</f>
        <v/>
      </c>
      <c r="F1028" s="151" t="n">
        <v>2046</v>
      </c>
      <c r="G1028" s="152" t="n">
        <v>0.0594</v>
      </c>
      <c r="H1028" s="170">
        <f>Tabela10[[#This Row],[M² Da chapa]]*Tabela10[[#This Row],[Qtde Chapas
Liberadas]]</f>
        <v/>
      </c>
      <c r="J1028" s="59">
        <f>Tabela10[[#This Row],[ERP]]/Tabela10[[#This Row],[M² Da chapa]]</f>
        <v/>
      </c>
      <c r="K1028" s="170">
        <f>Tabela10[[#This Row],[M² CHAPAS]]-Tabela10[[#This Row],[ERP]]</f>
        <v/>
      </c>
      <c r="L1028" s="170">
        <f>Tabela10[[#This Row],[DIFERENÇA M²]]/Tabela10[[#This Row],[M² Da chapa]]</f>
        <v/>
      </c>
    </row>
    <row r="1029" hidden="1">
      <c r="A1029" s="6" t="n">
        <v>46224</v>
      </c>
      <c r="B1029" s="8" t="inlineStr">
        <is>
          <t>I26024</t>
        </is>
      </c>
      <c r="C1029" s="168">
        <f>VLOOKUP(LEFT(B1029,1),Tabela5[],2,0)</f>
        <v/>
      </c>
      <c r="D1029" s="57" t="inlineStr">
        <is>
          <t>EUCADUR NT - 2,5MM</t>
        </is>
      </c>
      <c r="E1029" s="169">
        <f>VLOOKUP(Tabela10[[#This Row],[Tipo de Chapa]],Tabela11[],2,FALSE)</f>
        <v/>
      </c>
      <c r="F1029" s="151" t="n">
        <v>491</v>
      </c>
      <c r="G1029" s="152" t="n">
        <v>0.06419999999999999</v>
      </c>
      <c r="H1029" s="170">
        <f>Tabela10[[#This Row],[M² Da chapa]]*Tabela10[[#This Row],[Qtde Chapas
Liberadas]]</f>
        <v/>
      </c>
      <c r="J1029" s="59">
        <f>Tabela10[[#This Row],[ERP]]/Tabela10[[#This Row],[M² Da chapa]]</f>
        <v/>
      </c>
      <c r="K1029" s="170">
        <f>Tabela10[[#This Row],[M² CHAPAS]]-Tabela10[[#This Row],[ERP]]</f>
        <v/>
      </c>
      <c r="L1029" s="170">
        <f>Tabela10[[#This Row],[DIFERENÇA M²]]/Tabela10[[#This Row],[M² Da chapa]]</f>
        <v/>
      </c>
    </row>
    <row r="1030" hidden="1">
      <c r="A1030" s="6" t="n">
        <v>46224</v>
      </c>
      <c r="B1030" s="8" t="inlineStr">
        <is>
          <t>I2602501</t>
        </is>
      </c>
      <c r="C1030" s="168">
        <f>VLOOKUP(LEFT(B1030,1),Tabela5[],2,0)</f>
        <v/>
      </c>
      <c r="D1030" s="57" t="inlineStr">
        <is>
          <t>EUCADUR NT - 2,5MM</t>
        </is>
      </c>
      <c r="E1030" s="169">
        <f>VLOOKUP(Tabela10[[#This Row],[Tipo de Chapa]],Tabela11[],2,FALSE)</f>
        <v/>
      </c>
      <c r="F1030" s="151" t="n">
        <v>0</v>
      </c>
      <c r="G1030" s="152" t="n">
        <v>0</v>
      </c>
      <c r="H1030" s="170">
        <f>Tabela10[[#This Row],[M² Da chapa]]*Tabela10[[#This Row],[Qtde Chapas
Liberadas]]</f>
        <v/>
      </c>
      <c r="J1030" s="59">
        <f>Tabela10[[#This Row],[ERP]]/Tabela10[[#This Row],[M² Da chapa]]</f>
        <v/>
      </c>
      <c r="K1030" s="170">
        <f>Tabela10[[#This Row],[M² CHAPAS]]-Tabela10[[#This Row],[ERP]]</f>
        <v/>
      </c>
      <c r="L1030" s="170">
        <f>Tabela10[[#This Row],[DIFERENÇA M²]]/Tabela10[[#This Row],[M² Da chapa]]</f>
        <v/>
      </c>
    </row>
    <row r="1031" hidden="1">
      <c r="A1031" s="6" t="n">
        <v>46224</v>
      </c>
      <c r="B1031" s="8" t="inlineStr">
        <is>
          <t>I26024</t>
        </is>
      </c>
      <c r="C1031" s="168">
        <f>VLOOKUP(LEFT(B1031,1),Tabela5[],2,0)</f>
        <v/>
      </c>
      <c r="D1031" s="57" t="inlineStr">
        <is>
          <t>EUCADUR BR - 2,5MM</t>
        </is>
      </c>
      <c r="E1031" s="169">
        <f>VLOOKUP(Tabela10[[#This Row],[Tipo de Chapa]],Tabela11[],2,FALSE)</f>
        <v/>
      </c>
      <c r="F1031" s="151" t="n">
        <v>40</v>
      </c>
      <c r="G1031" s="152" t="n">
        <v>0.06950000000000001</v>
      </c>
      <c r="H1031" s="170">
        <f>Tabela10[[#This Row],[M² Da chapa]]*Tabela10[[#This Row],[Qtde Chapas
Liberadas]]</f>
        <v/>
      </c>
      <c r="J1031" s="59">
        <f>Tabela10[[#This Row],[ERP]]/Tabela10[[#This Row],[M² Da chapa]]</f>
        <v/>
      </c>
      <c r="K1031" s="170">
        <f>Tabela10[[#This Row],[M² CHAPAS]]-Tabela10[[#This Row],[ERP]]</f>
        <v/>
      </c>
      <c r="L1031" s="170">
        <f>Tabela10[[#This Row],[DIFERENÇA M²]]/Tabela10[[#This Row],[M² Da chapa]]</f>
        <v/>
      </c>
    </row>
    <row r="1032">
      <c r="A1032" s="6" t="n">
        <v>46225</v>
      </c>
      <c r="B1032" s="8" t="inlineStr">
        <is>
          <t>N2608501</t>
        </is>
      </c>
      <c r="C1032" s="168">
        <f>VLOOKUP(LEFT(B1032,1),Tabela5[],2,0)</f>
        <v/>
      </c>
      <c r="D1032" s="57" t="inlineStr">
        <is>
          <t>MDF - 15MM</t>
        </is>
      </c>
      <c r="E1032" s="169">
        <f>VLOOKUP(Tabela10[[#This Row],[Tipo de Chapa]],Tabela11[],2,FALSE)</f>
        <v/>
      </c>
      <c r="F1032" s="151" t="n">
        <v>98</v>
      </c>
      <c r="G1032" s="152" t="n">
        <v>0.0535</v>
      </c>
      <c r="H1032" s="170">
        <f>Tabela10[[#This Row],[M² Da chapa]]*Tabela10[[#This Row],[Qtde Chapas
Liberadas]]</f>
        <v/>
      </c>
      <c r="J1032" s="59">
        <f>Tabela10[[#This Row],[ERP]]/Tabela10[[#This Row],[M² Da chapa]]</f>
        <v/>
      </c>
      <c r="K1032" s="170">
        <f>Tabela10[[#This Row],[M² CHAPAS]]-Tabela10[[#This Row],[ERP]]</f>
        <v/>
      </c>
      <c r="L1032" s="170">
        <f>Tabela10[[#This Row],[DIFERENÇA M²]]/Tabela10[[#This Row],[M² Da chapa]]</f>
        <v/>
      </c>
    </row>
    <row r="1033">
      <c r="A1033" s="6" t="n">
        <v>46225</v>
      </c>
      <c r="B1033" s="8" t="inlineStr">
        <is>
          <t>N2608002 | N2608003</t>
        </is>
      </c>
      <c r="C1033" s="168">
        <f>VLOOKUP(LEFT(B1033,1),Tabela5[],2,0)</f>
        <v/>
      </c>
      <c r="D1033" s="57" t="inlineStr">
        <is>
          <t>MDF - 15MM</t>
        </is>
      </c>
      <c r="E1033" s="169">
        <f>VLOOKUP(Tabela10[[#This Row],[Tipo de Chapa]],Tabela11[],2,FALSE)</f>
        <v/>
      </c>
      <c r="F1033" s="151" t="n">
        <v>444</v>
      </c>
      <c r="G1033" s="152" t="n">
        <v>0.0465</v>
      </c>
      <c r="H1033" s="170">
        <f>Tabela10[[#This Row],[M² Da chapa]]*Tabela10[[#This Row],[Qtde Chapas
Liberadas]]</f>
        <v/>
      </c>
      <c r="J1033" s="59">
        <f>Tabela10[[#This Row],[ERP]]/Tabela10[[#This Row],[M² Da chapa]]</f>
        <v/>
      </c>
      <c r="K1033" s="170">
        <f>Tabela10[[#This Row],[M² CHAPAS]]-Tabela10[[#This Row],[ERP]]</f>
        <v/>
      </c>
      <c r="L1033" s="170">
        <f>Tabela10[[#This Row],[DIFERENÇA M²]]/Tabela10[[#This Row],[M² Da chapa]]</f>
        <v/>
      </c>
    </row>
    <row r="1034">
      <c r="A1034" s="6" t="n">
        <v>46225</v>
      </c>
      <c r="B1034" s="8" t="inlineStr">
        <is>
          <t>N2608003</t>
        </is>
      </c>
      <c r="C1034" s="168">
        <f>VLOOKUP(LEFT(B1034,1),Tabela5[],2,0)</f>
        <v/>
      </c>
      <c r="D1034" s="57" t="inlineStr">
        <is>
          <t>TIRA 9MM - 1850X165X9</t>
        </is>
      </c>
      <c r="E1034" s="169">
        <f>VLOOKUP(Tabela10[[#This Row],[Tipo de Chapa]],Tabela11[],2,FALSE)</f>
        <v/>
      </c>
      <c r="F1034" s="151" t="n">
        <v>530</v>
      </c>
      <c r="G1034" s="152" t="n">
        <v>0.1351</v>
      </c>
      <c r="H1034" s="170">
        <f>Tabela10[[#This Row],[M² Da chapa]]*Tabela10[[#This Row],[Qtde Chapas
Liberadas]]</f>
        <v/>
      </c>
      <c r="J1034" s="59">
        <f>Tabela10[[#This Row],[ERP]]/Tabela10[[#This Row],[M² Da chapa]]</f>
        <v/>
      </c>
      <c r="K1034" s="170">
        <f>Tabela10[[#This Row],[M² CHAPAS]]-Tabela10[[#This Row],[ERP]]</f>
        <v/>
      </c>
      <c r="L1034" s="170">
        <f>Tabela10[[#This Row],[DIFERENÇA M²]]/Tabela10[[#This Row],[M² Da chapa]]</f>
        <v/>
      </c>
    </row>
    <row r="1035">
      <c r="A1035" s="6" t="n">
        <v>46225</v>
      </c>
      <c r="B1035" s="8" t="inlineStr">
        <is>
          <t>N2607002</t>
        </is>
      </c>
      <c r="C1035" s="168">
        <f>VLOOKUP(LEFT(B1035,1),Tabela5[],2,0)</f>
        <v/>
      </c>
      <c r="D1035" s="57" t="inlineStr">
        <is>
          <t>MDF - 9MM</t>
        </is>
      </c>
      <c r="E1035" s="169">
        <f>VLOOKUP(Tabela10[[#This Row],[Tipo de Chapa]],Tabela11[],2,FALSE)</f>
        <v/>
      </c>
      <c r="F1035" s="151" t="n">
        <v>15</v>
      </c>
      <c r="G1035" s="152" t="n">
        <v>0.0799</v>
      </c>
      <c r="H1035" s="170">
        <f>Tabela10[[#This Row],[M² Da chapa]]*Tabela10[[#This Row],[Qtde Chapas
Liberadas]]</f>
        <v/>
      </c>
      <c r="J1035" s="59">
        <f>Tabela10[[#This Row],[ERP]]/Tabela10[[#This Row],[M² Da chapa]]</f>
        <v/>
      </c>
      <c r="K1035" s="170">
        <f>Tabela10[[#This Row],[M² CHAPAS]]-Tabela10[[#This Row],[ERP]]</f>
        <v/>
      </c>
      <c r="L1035" s="170">
        <f>Tabela10[[#This Row],[DIFERENÇA M²]]/Tabela10[[#This Row],[M² Da chapa]]</f>
        <v/>
      </c>
    </row>
    <row r="1036">
      <c r="A1036" s="6" t="n">
        <v>46225</v>
      </c>
      <c r="B1036" s="8" t="inlineStr">
        <is>
          <t>N2608002</t>
        </is>
      </c>
      <c r="C1036" s="168">
        <f>VLOOKUP(LEFT(B1036,1),Tabela5[],2,0)</f>
        <v/>
      </c>
      <c r="D1036" s="57" t="inlineStr">
        <is>
          <t>MDF - 25MM 2750x2200</t>
        </is>
      </c>
      <c r="E1036" s="169">
        <f>VLOOKUP(Tabela10[[#This Row],[Tipo de Chapa]],Tabela11[],2,FALSE)</f>
        <v/>
      </c>
      <c r="F1036" s="151" t="n">
        <v>67</v>
      </c>
      <c r="G1036" s="152" t="n">
        <v>0.0182</v>
      </c>
      <c r="H1036" s="170">
        <f>Tabela10[[#This Row],[M² Da chapa]]*Tabela10[[#This Row],[Qtde Chapas
Liberadas]]</f>
        <v/>
      </c>
      <c r="J1036" s="59">
        <f>Tabela10[[#This Row],[ERP]]/Tabela10[[#This Row],[M² Da chapa]]</f>
        <v/>
      </c>
      <c r="K1036" s="170">
        <f>Tabela10[[#This Row],[M² CHAPAS]]-Tabela10[[#This Row],[ERP]]</f>
        <v/>
      </c>
      <c r="L1036" s="170">
        <f>Tabela10[[#This Row],[DIFERENÇA M²]]/Tabela10[[#This Row],[M² Da chapa]]</f>
        <v/>
      </c>
    </row>
    <row r="1037">
      <c r="A1037" s="6" t="n">
        <v>46225</v>
      </c>
      <c r="B1037" s="8" t="inlineStr">
        <is>
          <t>N2608001</t>
        </is>
      </c>
      <c r="C1037" s="168">
        <f>VLOOKUP(LEFT(B1037,1),Tabela5[],2,0)</f>
        <v/>
      </c>
      <c r="D1037" s="57" t="inlineStr">
        <is>
          <t>MDF - 15MM</t>
        </is>
      </c>
      <c r="E1037" s="169">
        <f>VLOOKUP(Tabela10[[#This Row],[Tipo de Chapa]],Tabela11[],2,FALSE)</f>
        <v/>
      </c>
      <c r="F1037" s="151" t="n">
        <v>89</v>
      </c>
      <c r="G1037" s="152" t="n">
        <v>0.0549</v>
      </c>
      <c r="H1037" s="170">
        <f>Tabela10[[#This Row],[M² Da chapa]]*Tabela10[[#This Row],[Qtde Chapas
Liberadas]]</f>
        <v/>
      </c>
      <c r="J1037" s="59">
        <f>Tabela10[[#This Row],[ERP]]/Tabela10[[#This Row],[M² Da chapa]]</f>
        <v/>
      </c>
      <c r="K1037" s="170">
        <f>Tabela10[[#This Row],[M² CHAPAS]]-Tabela10[[#This Row],[ERP]]</f>
        <v/>
      </c>
      <c r="L1037" s="170">
        <f>Tabela10[[#This Row],[DIFERENÇA M²]]/Tabela10[[#This Row],[M² Da chapa]]</f>
        <v/>
      </c>
    </row>
    <row r="1038">
      <c r="A1038" s="6" t="n">
        <v>46225</v>
      </c>
      <c r="B1038" s="8" t="inlineStr">
        <is>
          <t>N2607301 | N2607302</t>
        </is>
      </c>
      <c r="C1038" s="168">
        <f>VLOOKUP(LEFT(B1038,1),Tabela5[],2,0)</f>
        <v/>
      </c>
      <c r="D1038" s="57" t="inlineStr">
        <is>
          <t>MDF - 15MM</t>
        </is>
      </c>
      <c r="E1038" s="169">
        <f>VLOOKUP(Tabela10[[#This Row],[Tipo de Chapa]],Tabela11[],2,FALSE)</f>
        <v/>
      </c>
      <c r="F1038" s="151" t="n">
        <v>549</v>
      </c>
      <c r="G1038" s="152" t="n">
        <v>0.054</v>
      </c>
      <c r="H1038" s="170">
        <f>Tabela10[[#This Row],[M² Da chapa]]*Tabela10[[#This Row],[Qtde Chapas
Liberadas]]</f>
        <v/>
      </c>
      <c r="J1038" s="59">
        <f>Tabela10[[#This Row],[ERP]]/Tabela10[[#This Row],[M² Da chapa]]</f>
        <v/>
      </c>
      <c r="K1038" s="170">
        <f>Tabela10[[#This Row],[M² CHAPAS]]-Tabela10[[#This Row],[ERP]]</f>
        <v/>
      </c>
      <c r="L1038" s="170">
        <f>Tabela10[[#This Row],[DIFERENÇA M²]]/Tabela10[[#This Row],[M² Da chapa]]</f>
        <v/>
      </c>
    </row>
    <row r="1039">
      <c r="A1039" s="6" t="n">
        <v>46225</v>
      </c>
      <c r="B1039" s="8" t="inlineStr">
        <is>
          <t>N2608201</t>
        </is>
      </c>
      <c r="C1039" s="168">
        <f>VLOOKUP(LEFT(B1039,1),Tabela5[],2,0)</f>
        <v/>
      </c>
      <c r="D1039" s="57" t="inlineStr">
        <is>
          <t>MDF - 15MM</t>
        </is>
      </c>
      <c r="E1039" s="169">
        <f>VLOOKUP(Tabela10[[#This Row],[Tipo de Chapa]],Tabela11[],2,FALSE)</f>
        <v/>
      </c>
      <c r="F1039" s="151" t="n">
        <v>340</v>
      </c>
      <c r="G1039" s="152" t="n">
        <v>0.0473</v>
      </c>
      <c r="H1039" s="170">
        <f>Tabela10[[#This Row],[M² Da chapa]]*Tabela10[[#This Row],[Qtde Chapas
Liberadas]]</f>
        <v/>
      </c>
      <c r="J1039" s="59">
        <f>Tabela10[[#This Row],[ERP]]/Tabela10[[#This Row],[M² Da chapa]]</f>
        <v/>
      </c>
      <c r="K1039" s="170">
        <f>Tabela10[[#This Row],[M² CHAPAS]]-Tabela10[[#This Row],[ERP]]</f>
        <v/>
      </c>
      <c r="L1039" s="170">
        <f>Tabela10[[#This Row],[DIFERENÇA M²]]/Tabela10[[#This Row],[M² Da chapa]]</f>
        <v/>
      </c>
    </row>
    <row r="1040">
      <c r="A1040" s="6" t="n">
        <v>46225</v>
      </c>
      <c r="B1040" s="8" t="inlineStr">
        <is>
          <t>N2609201</t>
        </is>
      </c>
      <c r="C1040" s="168">
        <f>VLOOKUP(LEFT(B1040,1),Tabela5[],2,0)</f>
        <v/>
      </c>
      <c r="D1040" s="57" t="inlineStr">
        <is>
          <t>MDF - 15MM</t>
        </is>
      </c>
      <c r="E1040" s="169">
        <f>VLOOKUP(Tabela10[[#This Row],[Tipo de Chapa]],Tabela11[],2,FALSE)</f>
        <v/>
      </c>
      <c r="F1040" s="151" t="n">
        <v>0</v>
      </c>
      <c r="G1040" s="152" t="n">
        <v>0</v>
      </c>
      <c r="H1040" s="170">
        <f>Tabela10[[#This Row],[M² Da chapa]]*Tabela10[[#This Row],[Qtde Chapas
Liberadas]]</f>
        <v/>
      </c>
      <c r="J1040" s="59">
        <f>Tabela10[[#This Row],[ERP]]/Tabela10[[#This Row],[M² Da chapa]]</f>
        <v/>
      </c>
      <c r="K1040" s="170">
        <f>Tabela10[[#This Row],[M² CHAPAS]]-Tabela10[[#This Row],[ERP]]</f>
        <v/>
      </c>
      <c r="L1040" s="170">
        <f>Tabela10[[#This Row],[DIFERENÇA M²]]/Tabela10[[#This Row],[M² Da chapa]]</f>
        <v/>
      </c>
    </row>
    <row r="1041">
      <c r="A1041" s="6" t="n">
        <v>46226</v>
      </c>
      <c r="B1041" s="8" t="inlineStr">
        <is>
          <t>N26078</t>
        </is>
      </c>
      <c r="C1041" s="168">
        <f>VLOOKUP(LEFT(B1041,1),Tabela5[],2,0)</f>
        <v/>
      </c>
      <c r="D1041" s="57" t="inlineStr">
        <is>
          <t>EUCADUR NT - 2,5MM</t>
        </is>
      </c>
      <c r="E1041" s="169">
        <f>VLOOKUP(Tabela10[[#This Row],[Tipo de Chapa]],Tabela11[],2,FALSE)</f>
        <v/>
      </c>
      <c r="F1041" s="151" t="n">
        <v>132</v>
      </c>
      <c r="G1041" s="152" t="n">
        <v>0.05021</v>
      </c>
      <c r="H1041" s="170">
        <f>Tabela10[[#This Row],[M² Da chapa]]*Tabela10[[#This Row],[Qtde Chapas
Liberadas]]</f>
        <v/>
      </c>
      <c r="J1041" s="59">
        <f>Tabela10[[#This Row],[ERP]]/Tabela10[[#This Row],[M² Da chapa]]</f>
        <v/>
      </c>
      <c r="K1041" s="170">
        <f>Tabela10[[#This Row],[M² CHAPAS]]-Tabela10[[#This Row],[ERP]]</f>
        <v/>
      </c>
      <c r="L1041" s="170">
        <f>Tabela10[[#This Row],[DIFERENÇA M²]]/Tabela10[[#This Row],[M² Da chapa]]</f>
        <v/>
      </c>
    </row>
    <row r="1042">
      <c r="A1042" s="6" t="n">
        <v>46226</v>
      </c>
      <c r="B1042" s="8" t="inlineStr">
        <is>
          <t>N2608501</t>
        </is>
      </c>
      <c r="C1042" s="168">
        <f>VLOOKUP(LEFT(B1042,1),Tabela5[],2,0)</f>
        <v/>
      </c>
      <c r="D1042" s="57" t="inlineStr">
        <is>
          <t>EUCADUR NT - 2,5MM</t>
        </is>
      </c>
      <c r="E1042" s="169">
        <f>VLOOKUP(Tabela10[[#This Row],[Tipo de Chapa]],Tabela11[],2,FALSE)</f>
        <v/>
      </c>
      <c r="F1042" s="151" t="n">
        <v>78</v>
      </c>
      <c r="G1042" s="152" t="n">
        <v>0.0592</v>
      </c>
      <c r="H1042" s="170">
        <f>Tabela10[[#This Row],[M² Da chapa]]*Tabela10[[#This Row],[Qtde Chapas
Liberadas]]</f>
        <v/>
      </c>
      <c r="J1042" s="59">
        <f>Tabela10[[#This Row],[ERP]]/Tabela10[[#This Row],[M² Da chapa]]</f>
        <v/>
      </c>
      <c r="K1042" s="170">
        <f>Tabela10[[#This Row],[M² CHAPAS]]-Tabela10[[#This Row],[ERP]]</f>
        <v/>
      </c>
      <c r="L1042" s="170">
        <f>Tabela10[[#This Row],[DIFERENÇA M²]]/Tabela10[[#This Row],[M² Da chapa]]</f>
        <v/>
      </c>
    </row>
    <row r="1043">
      <c r="A1043" s="6" t="n">
        <v>46226</v>
      </c>
      <c r="B1043" s="8" t="inlineStr">
        <is>
          <t>N26080</t>
        </is>
      </c>
      <c r="C1043" s="168">
        <f>VLOOKUP(LEFT(B1043,1),Tabela5[],2,0)</f>
        <v/>
      </c>
      <c r="D1043" s="57" t="inlineStr">
        <is>
          <t>EUCADUR NT - 2,5MM</t>
        </is>
      </c>
      <c r="E1043" s="169">
        <f>VLOOKUP(Tabela10[[#This Row],[Tipo de Chapa]],Tabela11[],2,FALSE)</f>
        <v/>
      </c>
      <c r="F1043" s="151" t="n">
        <v>172</v>
      </c>
      <c r="G1043" s="152" t="n">
        <v>0.0641</v>
      </c>
      <c r="H1043" s="170">
        <f>Tabela10[[#This Row],[M² Da chapa]]*Tabela10[[#This Row],[Qtde Chapas
Liberadas]]</f>
        <v/>
      </c>
      <c r="J1043" s="59">
        <f>Tabela10[[#This Row],[ERP]]/Tabela10[[#This Row],[M² Da chapa]]</f>
        <v/>
      </c>
      <c r="K1043" s="170">
        <f>Tabela10[[#This Row],[M² CHAPAS]]-Tabela10[[#This Row],[ERP]]</f>
        <v/>
      </c>
      <c r="L1043" s="170">
        <f>Tabela10[[#This Row],[DIFERENÇA M²]]/Tabela10[[#This Row],[M² Da chapa]]</f>
        <v/>
      </c>
    </row>
    <row r="1044">
      <c r="A1044" s="6" t="n">
        <v>46227</v>
      </c>
      <c r="B1044" s="8" t="inlineStr">
        <is>
          <t>N26073</t>
        </is>
      </c>
      <c r="C1044" s="168">
        <f>VLOOKUP(LEFT(B1044,1),Tabela5[],2,0)</f>
        <v/>
      </c>
      <c r="D1044" s="57" t="inlineStr">
        <is>
          <t>EUCADUR NT - 2,5MM</t>
        </is>
      </c>
      <c r="E1044" s="169">
        <f>VLOOKUP(Tabela10[[#This Row],[Tipo de Chapa]],Tabela11[],2,FALSE)</f>
        <v/>
      </c>
      <c r="F1044" s="151" t="n">
        <v>48</v>
      </c>
      <c r="G1044" s="152" t="n">
        <v>0.0532</v>
      </c>
      <c r="H1044" s="170">
        <f>Tabela10[[#This Row],[M² Da chapa]]*Tabela10[[#This Row],[Qtde Chapas
Liberadas]]</f>
        <v/>
      </c>
      <c r="J1044" s="59">
        <f>Tabela10[[#This Row],[ERP]]/Tabela10[[#This Row],[M² Da chapa]]</f>
        <v/>
      </c>
      <c r="K1044" s="170">
        <f>Tabela10[[#This Row],[M² CHAPAS]]-Tabela10[[#This Row],[ERP]]</f>
        <v/>
      </c>
      <c r="L1044" s="170">
        <f>Tabela10[[#This Row],[DIFERENÇA M²]]/Tabela10[[#This Row],[M² Da chapa]]</f>
        <v/>
      </c>
    </row>
    <row r="1045">
      <c r="A1045" s="6" t="n">
        <v>46227</v>
      </c>
      <c r="B1045" s="8" t="inlineStr">
        <is>
          <t>N2608201</t>
        </is>
      </c>
      <c r="C1045" s="168">
        <f>VLOOKUP(LEFT(B1045,1),Tabela5[],2,0)</f>
        <v/>
      </c>
      <c r="D1045" s="57" t="inlineStr">
        <is>
          <t>EUCADUR NT - 2,5MM</t>
        </is>
      </c>
      <c r="E1045" s="169">
        <f>VLOOKUP(Tabela10[[#This Row],[Tipo de Chapa]],Tabela11[],2,FALSE)</f>
        <v/>
      </c>
      <c r="F1045" s="151" t="n">
        <v>75</v>
      </c>
      <c r="G1045" s="152" t="n">
        <v>0.06610000000000001</v>
      </c>
      <c r="H1045" s="170">
        <f>Tabela10[[#This Row],[M² Da chapa]]*Tabela10[[#This Row],[Qtde Chapas
Liberadas]]</f>
        <v/>
      </c>
      <c r="J1045" s="59">
        <f>Tabela10[[#This Row],[ERP]]/Tabela10[[#This Row],[M² Da chapa]]</f>
        <v/>
      </c>
      <c r="K1045" s="170">
        <f>Tabela10[[#This Row],[M² CHAPAS]]-Tabela10[[#This Row],[ERP]]</f>
        <v/>
      </c>
      <c r="L1045" s="170">
        <f>Tabela10[[#This Row],[DIFERENÇA M²]]/Tabela10[[#This Row],[M² Da chapa]]</f>
        <v/>
      </c>
    </row>
    <row r="1046">
      <c r="A1046" s="6" t="n">
        <v>46227</v>
      </c>
      <c r="B1046" s="8" t="inlineStr">
        <is>
          <t>N2609201</t>
        </is>
      </c>
      <c r="C1046" s="168">
        <f>VLOOKUP(LEFT(B1046,1),Tabela5[],2,0)</f>
        <v/>
      </c>
      <c r="D1046" s="57" t="inlineStr">
        <is>
          <t>EUCADUR NT - 2,5MM</t>
        </is>
      </c>
      <c r="E1046" s="169">
        <f>VLOOKUP(Tabela10[[#This Row],[Tipo de Chapa]],Tabela11[],2,FALSE)</f>
        <v/>
      </c>
      <c r="F1046" s="151" t="n">
        <v>0</v>
      </c>
      <c r="G1046" s="152" t="n">
        <v>0</v>
      </c>
      <c r="H1046" s="170">
        <f>Tabela10[[#This Row],[M² Da chapa]]*Tabela10[[#This Row],[Qtde Chapas
Liberadas]]</f>
        <v/>
      </c>
      <c r="J1046" s="59">
        <f>Tabela10[[#This Row],[ERP]]/Tabela10[[#This Row],[M² Da chapa]]</f>
        <v/>
      </c>
      <c r="K1046" s="170">
        <f>Tabela10[[#This Row],[M² CHAPAS]]-Tabela10[[#This Row],[ERP]]</f>
        <v/>
      </c>
      <c r="L1046" s="170">
        <f>Tabela10[[#This Row],[DIFERENÇA M²]]/Tabela10[[#This Row],[M² Da chapa]]</f>
        <v/>
      </c>
    </row>
    <row r="1047">
      <c r="A1047" s="6" t="n">
        <v>46227</v>
      </c>
      <c r="B1047" s="8" t="inlineStr">
        <is>
          <t>N26081</t>
        </is>
      </c>
      <c r="C1047" s="168">
        <f>VLOOKUP(LEFT(B1047,1),Tabela5[],2,0)</f>
        <v/>
      </c>
      <c r="D1047" s="57" t="inlineStr">
        <is>
          <t>EUCADUR NT - 2,5MM</t>
        </is>
      </c>
      <c r="E1047" s="169">
        <f>VLOOKUP(Tabela10[[#This Row],[Tipo de Chapa]],Tabela11[],2,FALSE)</f>
        <v/>
      </c>
      <c r="F1047" s="151" t="n">
        <v>244</v>
      </c>
      <c r="G1047" s="152" t="n">
        <v>0.0611</v>
      </c>
      <c r="H1047" s="170">
        <f>Tabela10[[#This Row],[M² Da chapa]]*Tabela10[[#This Row],[Qtde Chapas
Liberadas]]</f>
        <v/>
      </c>
      <c r="J1047" s="59">
        <f>Tabela10[[#This Row],[ERP]]/Tabela10[[#This Row],[M² Da chapa]]</f>
        <v/>
      </c>
      <c r="K1047" s="170">
        <f>Tabela10[[#This Row],[M² CHAPAS]]-Tabela10[[#This Row],[ERP]]</f>
        <v/>
      </c>
      <c r="L1047" s="170">
        <f>Tabela10[[#This Row],[DIFERENÇA M²]]/Tabela10[[#This Row],[M² Da chapa]]</f>
        <v/>
      </c>
    </row>
    <row r="1048">
      <c r="A1048" s="6" t="n">
        <v>46227</v>
      </c>
      <c r="B1048" s="8" t="inlineStr">
        <is>
          <t>N2608103</t>
        </is>
      </c>
      <c r="C1048" s="168">
        <f>VLOOKUP(LEFT(B1048,1),Tabela5[],2,0)</f>
        <v/>
      </c>
      <c r="D1048" s="57" t="inlineStr">
        <is>
          <t>MDF - 15MM</t>
        </is>
      </c>
      <c r="E1048" s="169">
        <f>VLOOKUP(Tabela10[[#This Row],[Tipo de Chapa]],Tabela11[],2,FALSE)</f>
        <v/>
      </c>
      <c r="F1048" s="151" t="n">
        <v>96</v>
      </c>
      <c r="G1048" s="152" t="n">
        <v>0.0529</v>
      </c>
      <c r="H1048" s="170">
        <f>Tabela10[[#This Row],[M² Da chapa]]*Tabela10[[#This Row],[Qtde Chapas
Liberadas]]</f>
        <v/>
      </c>
      <c r="J1048" s="59">
        <f>Tabela10[[#This Row],[ERP]]/Tabela10[[#This Row],[M² Da chapa]]</f>
        <v/>
      </c>
      <c r="K1048" s="170">
        <f>Tabela10[[#This Row],[M² CHAPAS]]-Tabela10[[#This Row],[ERP]]</f>
        <v/>
      </c>
      <c r="L1048" s="170">
        <f>Tabela10[[#This Row],[DIFERENÇA M²]]/Tabela10[[#This Row],[M² Da chapa]]</f>
        <v/>
      </c>
    </row>
    <row r="1049">
      <c r="A1049" s="6" t="n">
        <v>46227</v>
      </c>
      <c r="B1049" s="8" t="inlineStr">
        <is>
          <t>N26084</t>
        </is>
      </c>
      <c r="C1049" s="168">
        <f>VLOOKUP(LEFT(B1049,1),Tabela5[],2,0)</f>
        <v/>
      </c>
      <c r="D1049" s="57" t="inlineStr">
        <is>
          <t>MDF - 15MM</t>
        </is>
      </c>
      <c r="E1049" s="169">
        <f>VLOOKUP(Tabela10[[#This Row],[Tipo de Chapa]],Tabela11[],2,FALSE)</f>
        <v/>
      </c>
      <c r="F1049" s="151" t="n">
        <v>574</v>
      </c>
      <c r="G1049" s="152" t="n">
        <v>0.0444</v>
      </c>
      <c r="H1049" s="170">
        <f>Tabela10[[#This Row],[M² Da chapa]]*Tabela10[[#This Row],[Qtde Chapas
Liberadas]]</f>
        <v/>
      </c>
      <c r="J1049" s="59">
        <f>Tabela10[[#This Row],[ERP]]/Tabela10[[#This Row],[M² Da chapa]]</f>
        <v/>
      </c>
      <c r="K1049" s="170">
        <f>Tabela10[[#This Row],[M² CHAPAS]]-Tabela10[[#This Row],[ERP]]</f>
        <v/>
      </c>
      <c r="L1049" s="170">
        <f>Tabela10[[#This Row],[DIFERENÇA M²]]/Tabela10[[#This Row],[M² Da chapa]]</f>
        <v/>
      </c>
    </row>
    <row r="1050" hidden="1">
      <c r="A1050" s="6" t="n">
        <v>46230</v>
      </c>
      <c r="B1050" s="8" t="inlineStr">
        <is>
          <t>I26023</t>
        </is>
      </c>
      <c r="C1050" s="168">
        <f>VLOOKUP(LEFT(B1050,1),Tabela5[],2,0)</f>
        <v/>
      </c>
      <c r="D1050" s="57" t="inlineStr">
        <is>
          <t>EUCADUR FRJ - 2,5MM</t>
        </is>
      </c>
      <c r="E1050" s="169">
        <f>VLOOKUP(Tabela10[[#This Row],[Tipo de Chapa]],Tabela11[],2,FALSE)</f>
        <v/>
      </c>
      <c r="F1050" s="151" t="n">
        <v>535</v>
      </c>
      <c r="G1050" s="152" t="n">
        <v>0.0558</v>
      </c>
      <c r="H1050" s="170">
        <f>Tabela10[[#This Row],[M² Da chapa]]*Tabela10[[#This Row],[Qtde Chapas
Liberadas]]</f>
        <v/>
      </c>
      <c r="J1050" s="59">
        <f>Tabela10[[#This Row],[ERP]]/Tabela10[[#This Row],[M² Da chapa]]</f>
        <v/>
      </c>
      <c r="K1050" s="170">
        <f>Tabela10[[#This Row],[M² CHAPAS]]-Tabela10[[#This Row],[ERP]]</f>
        <v/>
      </c>
      <c r="L1050" s="170">
        <f>Tabela10[[#This Row],[DIFERENÇA M²]]/Tabela10[[#This Row],[M² Da chapa]]</f>
        <v/>
      </c>
    </row>
    <row r="1051">
      <c r="A1051" s="6" t="n">
        <v>46230</v>
      </c>
      <c r="B1051" s="8" t="inlineStr">
        <is>
          <t>N2608303</t>
        </is>
      </c>
      <c r="C1051" s="168">
        <f>VLOOKUP(LEFT(B1051,1),Tabela5[],2,0)</f>
        <v/>
      </c>
      <c r="D1051" s="57" t="inlineStr">
        <is>
          <t>MDF - 15MM</t>
        </is>
      </c>
      <c r="E1051" s="169">
        <f>VLOOKUP(Tabela10[[#This Row],[Tipo de Chapa]],Tabela11[],2,FALSE)</f>
        <v/>
      </c>
      <c r="F1051" s="151" t="n">
        <v>100</v>
      </c>
      <c r="G1051" s="152" t="n">
        <v>0.0544</v>
      </c>
      <c r="H1051" s="170">
        <f>Tabela10[[#This Row],[M² Da chapa]]*Tabela10[[#This Row],[Qtde Chapas
Liberadas]]</f>
        <v/>
      </c>
      <c r="J1051" s="59">
        <f>Tabela10[[#This Row],[ERP]]/Tabela10[[#This Row],[M² Da chapa]]</f>
        <v/>
      </c>
      <c r="K1051" s="170">
        <f>Tabela10[[#This Row],[M² CHAPAS]]-Tabela10[[#This Row],[ERP]]</f>
        <v/>
      </c>
      <c r="L1051" s="170">
        <f>Tabela10[[#This Row],[DIFERENÇA M²]]/Tabela10[[#This Row],[M² Da chapa]]</f>
        <v/>
      </c>
    </row>
    <row r="1052" hidden="1">
      <c r="A1052" s="6" t="n">
        <v>46230</v>
      </c>
      <c r="B1052" s="8" t="inlineStr">
        <is>
          <t>I26024</t>
        </is>
      </c>
      <c r="C1052" s="168">
        <f>VLOOKUP(LEFT(B1052,1),Tabela5[],2,0)</f>
        <v/>
      </c>
      <c r="D1052" s="57" t="inlineStr">
        <is>
          <t>CAPA MDF - 15MM</t>
        </is>
      </c>
      <c r="E1052" s="169">
        <f>VLOOKUP(Tabela10[[#This Row],[Tipo de Chapa]],Tabela11[],2,FALSE)</f>
        <v/>
      </c>
      <c r="F1052" s="151" t="n">
        <v>12</v>
      </c>
      <c r="G1052" s="152" t="n">
        <v>0.08550000000000001</v>
      </c>
      <c r="H1052" s="170">
        <f>Tabela10[[#This Row],[M² Da chapa]]*Tabela10[[#This Row],[Qtde Chapas
Liberadas]]</f>
        <v/>
      </c>
      <c r="J1052" s="59">
        <f>Tabela10[[#This Row],[ERP]]/Tabela10[[#This Row],[M² Da chapa]]</f>
        <v/>
      </c>
      <c r="K1052" s="170">
        <f>Tabela10[[#This Row],[M² CHAPAS]]-Tabela10[[#This Row],[ERP]]</f>
        <v/>
      </c>
      <c r="L1052" s="170">
        <f>Tabela10[[#This Row],[DIFERENÇA M²]]/Tabela10[[#This Row],[M² Da chapa]]</f>
        <v/>
      </c>
    </row>
    <row r="1053" hidden="1">
      <c r="A1053" s="6" t="n">
        <v>46231</v>
      </c>
      <c r="B1053" s="8" t="inlineStr">
        <is>
          <t>M2603601</t>
        </is>
      </c>
      <c r="C1053" s="168">
        <f>VLOOKUP(LEFT(B1053,1),Tabela5[],2,0)</f>
        <v/>
      </c>
      <c r="D1053" s="57" t="inlineStr">
        <is>
          <t>MDF - 15MM</t>
        </is>
      </c>
      <c r="E1053" s="169">
        <f>VLOOKUP(Tabela10[[#This Row],[Tipo de Chapa]],Tabela11[],2,FALSE)</f>
        <v/>
      </c>
      <c r="F1053" s="151" t="n">
        <v>57</v>
      </c>
      <c r="G1053" s="152" t="n">
        <v>0.0733</v>
      </c>
      <c r="H1053" s="170">
        <f>Tabela10[[#This Row],[M² Da chapa]]*Tabela10[[#This Row],[Qtde Chapas
Liberadas]]</f>
        <v/>
      </c>
      <c r="J1053" s="59">
        <f>Tabela10[[#This Row],[ERP]]/Tabela10[[#This Row],[M² Da chapa]]</f>
        <v/>
      </c>
      <c r="K1053" s="170">
        <f>Tabela10[[#This Row],[M² CHAPAS]]-Tabela10[[#This Row],[ERP]]</f>
        <v/>
      </c>
      <c r="L1053" s="170">
        <f>Tabela10[[#This Row],[DIFERENÇA M²]]/Tabela10[[#This Row],[M² Da chapa]]</f>
        <v/>
      </c>
    </row>
    <row r="1054" hidden="1">
      <c r="A1054" s="6" t="n">
        <v>46231</v>
      </c>
      <c r="B1054" s="8" t="inlineStr">
        <is>
          <t>M26037</t>
        </is>
      </c>
      <c r="C1054" s="168">
        <f>VLOOKUP(LEFT(B1054,1),Tabela5[],2,0)</f>
        <v/>
      </c>
      <c r="D1054" s="57" t="inlineStr">
        <is>
          <t>MDF - 15MM</t>
        </is>
      </c>
      <c r="E1054" s="169">
        <f>VLOOKUP(Tabela10[[#This Row],[Tipo de Chapa]],Tabela11[],2,FALSE)</f>
        <v/>
      </c>
      <c r="F1054" s="151" t="n">
        <v>471</v>
      </c>
      <c r="G1054" s="152" t="n">
        <v>0.0521</v>
      </c>
      <c r="H1054" s="170">
        <f>Tabela10[[#This Row],[M² Da chapa]]*Tabela10[[#This Row],[Qtde Chapas
Liberadas]]</f>
        <v/>
      </c>
      <c r="J1054" s="59">
        <f>Tabela10[[#This Row],[ERP]]/Tabela10[[#This Row],[M² Da chapa]]</f>
        <v/>
      </c>
      <c r="K1054" s="170">
        <f>Tabela10[[#This Row],[M² CHAPAS]]-Tabela10[[#This Row],[ERP]]</f>
        <v/>
      </c>
      <c r="L1054" s="170">
        <f>Tabela10[[#This Row],[DIFERENÇA M²]]/Tabela10[[#This Row],[M² Da chapa]]</f>
        <v/>
      </c>
    </row>
    <row r="1055">
      <c r="A1055" s="6" t="n">
        <v>46231</v>
      </c>
      <c r="B1055" s="8" t="inlineStr">
        <is>
          <t>N2608202</t>
        </is>
      </c>
      <c r="C1055" s="168">
        <f>VLOOKUP(LEFT(B1055,1),Tabela5[],2,0)</f>
        <v/>
      </c>
      <c r="D1055" s="57" t="inlineStr">
        <is>
          <t>MDF - 15MM</t>
        </is>
      </c>
      <c r="E1055" s="169">
        <f>VLOOKUP(Tabela10[[#This Row],[Tipo de Chapa]],Tabela11[],2,FALSE)</f>
        <v/>
      </c>
      <c r="F1055" s="151" t="n">
        <v>27</v>
      </c>
      <c r="G1055" s="152" t="n">
        <v>0.0574</v>
      </c>
      <c r="H1055" s="170">
        <f>Tabela10[[#This Row],[M² Da chapa]]*Tabela10[[#This Row],[Qtde Chapas
Liberadas]]</f>
        <v/>
      </c>
      <c r="J1055" s="59">
        <f>Tabela10[[#This Row],[ERP]]/Tabela10[[#This Row],[M² Da chapa]]</f>
        <v/>
      </c>
      <c r="K1055" s="170">
        <f>Tabela10[[#This Row],[M² CHAPAS]]-Tabela10[[#This Row],[ERP]]</f>
        <v/>
      </c>
      <c r="L1055" s="170">
        <f>Tabela10[[#This Row],[DIFERENÇA M²]]/Tabela10[[#This Row],[M² Da chapa]]</f>
        <v/>
      </c>
    </row>
    <row r="1056">
      <c r="A1056" s="6" t="n">
        <v>46231</v>
      </c>
      <c r="B1056" s="8" t="inlineStr">
        <is>
          <t>N2608101 | N2608102</t>
        </is>
      </c>
      <c r="C1056" s="168">
        <f>VLOOKUP(LEFT(B1056,1),Tabela5[],2,0)</f>
        <v/>
      </c>
      <c r="D1056" s="57" t="inlineStr">
        <is>
          <t>MDF - 15MM</t>
        </is>
      </c>
      <c r="E1056" s="169">
        <f>VLOOKUP(Tabela10[[#This Row],[Tipo de Chapa]],Tabela11[],2,FALSE)</f>
        <v/>
      </c>
      <c r="F1056" s="151" t="n">
        <v>428</v>
      </c>
      <c r="G1056" s="152" t="n">
        <v>0.0531</v>
      </c>
      <c r="H1056" s="170">
        <f>Tabela10[[#This Row],[M² Da chapa]]*Tabela10[[#This Row],[Qtde Chapas
Liberadas]]</f>
        <v/>
      </c>
      <c r="J1056" s="59">
        <f>Tabela10[[#This Row],[ERP]]/Tabela10[[#This Row],[M² Da chapa]]</f>
        <v/>
      </c>
      <c r="K1056" s="170">
        <f>Tabela10[[#This Row],[M² CHAPAS]]-Tabela10[[#This Row],[ERP]]</f>
        <v/>
      </c>
      <c r="L1056" s="170">
        <f>Tabela10[[#This Row],[DIFERENÇA M²]]/Tabela10[[#This Row],[M² Da chapa]]</f>
        <v/>
      </c>
    </row>
    <row r="1057">
      <c r="A1057" s="6" t="n">
        <v>46231</v>
      </c>
      <c r="B1057" s="8" t="inlineStr">
        <is>
          <t>N26084</t>
        </is>
      </c>
      <c r="C1057" s="168">
        <f>VLOOKUP(LEFT(B1057,1),Tabela5[],2,0)</f>
        <v/>
      </c>
      <c r="D1057" s="57" t="inlineStr">
        <is>
          <t>EUCADUR FRJ - 2,5MM</t>
        </is>
      </c>
      <c r="E1057" s="169">
        <f>VLOOKUP(Tabela10[[#This Row],[Tipo de Chapa]],Tabela11[],2,FALSE)</f>
        <v/>
      </c>
      <c r="F1057" s="151" t="n">
        <v>345</v>
      </c>
      <c r="G1057" s="152" t="n">
        <v>0.0595</v>
      </c>
      <c r="H1057" s="170">
        <f>Tabela10[[#This Row],[M² Da chapa]]*Tabela10[[#This Row],[Qtde Chapas
Liberadas]]</f>
        <v/>
      </c>
      <c r="J1057" s="59">
        <f>Tabela10[[#This Row],[ERP]]/Tabela10[[#This Row],[M² Da chapa]]</f>
        <v/>
      </c>
      <c r="K1057" s="170">
        <f>Tabela10[[#This Row],[M² CHAPAS]]-Tabela10[[#This Row],[ERP]]</f>
        <v/>
      </c>
      <c r="L1057" s="170">
        <f>Tabela10[[#This Row],[DIFERENÇA M²]]/Tabela10[[#This Row],[M² Da chapa]]</f>
        <v/>
      </c>
    </row>
    <row r="1058" hidden="1">
      <c r="A1058" s="6" t="n">
        <v>46233</v>
      </c>
      <c r="B1058" s="8" t="inlineStr">
        <is>
          <t>M36038</t>
        </is>
      </c>
      <c r="C1058" s="168">
        <f>VLOOKUP(LEFT(B1058,1),Tabela5[],2,0)</f>
        <v/>
      </c>
      <c r="D1058" s="57" t="inlineStr">
        <is>
          <t>MDF - 15MM</t>
        </is>
      </c>
      <c r="E1058" s="169">
        <f>VLOOKUP(Tabela10[[#This Row],[Tipo de Chapa]],Tabela11[],2,FALSE)</f>
        <v/>
      </c>
      <c r="F1058" s="151" t="n">
        <v>541</v>
      </c>
      <c r="G1058" s="152" t="n">
        <v>0.06560000000000001</v>
      </c>
      <c r="H1058" s="170">
        <f>Tabela10[[#This Row],[M² Da chapa]]*Tabela10[[#This Row],[Qtde Chapas
Liberadas]]</f>
        <v/>
      </c>
      <c r="J1058" s="59">
        <f>Tabela10[[#This Row],[ERP]]/Tabela10[[#This Row],[M² Da chapa]]</f>
        <v/>
      </c>
      <c r="K1058" s="170">
        <f>Tabela10[[#This Row],[M² CHAPAS]]-Tabela10[[#This Row],[ERP]]</f>
        <v/>
      </c>
      <c r="L1058" s="170">
        <f>Tabela10[[#This Row],[DIFERENÇA M²]]/Tabela10[[#This Row],[M² Da chapa]]</f>
        <v/>
      </c>
    </row>
    <row r="1059" hidden="1">
      <c r="A1059" s="6" t="n">
        <v>46233</v>
      </c>
      <c r="B1059" s="8" t="inlineStr">
        <is>
          <t>M26037</t>
        </is>
      </c>
      <c r="C1059" s="168">
        <f>VLOOKUP(LEFT(B1059,1),Tabela5[],2,0)</f>
        <v/>
      </c>
      <c r="D1059" s="57" t="inlineStr">
        <is>
          <t>MDF - 9MM</t>
        </is>
      </c>
      <c r="E1059" s="169">
        <f>VLOOKUP(Tabela10[[#This Row],[Tipo de Chapa]],Tabela11[],2,FALSE)</f>
        <v/>
      </c>
      <c r="F1059" s="151" t="n">
        <v>46</v>
      </c>
      <c r="G1059" s="152" t="n">
        <v>0.0318</v>
      </c>
      <c r="H1059" s="170">
        <f>Tabela10[[#This Row],[M² Da chapa]]*Tabela10[[#This Row],[Qtde Chapas
Liberadas]]</f>
        <v/>
      </c>
      <c r="J1059" s="59">
        <f>Tabela10[[#This Row],[ERP]]/Tabela10[[#This Row],[M² Da chapa]]</f>
        <v/>
      </c>
      <c r="K1059" s="170">
        <f>Tabela10[[#This Row],[M² CHAPAS]]-Tabela10[[#This Row],[ERP]]</f>
        <v/>
      </c>
      <c r="L1059" s="170">
        <f>Tabela10[[#This Row],[DIFERENÇA M²]]/Tabela10[[#This Row],[M² Da chapa]]</f>
        <v/>
      </c>
    </row>
    <row r="1060" hidden="1">
      <c r="A1060" s="6" t="n">
        <v>46233</v>
      </c>
      <c r="B1060" s="8" t="inlineStr">
        <is>
          <t>M26039</t>
        </is>
      </c>
      <c r="C1060" s="168">
        <f>VLOOKUP(LEFT(B1060,1),Tabela5[],2,0)</f>
        <v/>
      </c>
      <c r="D1060" s="57" t="inlineStr">
        <is>
          <t>MDF - 9MM</t>
        </is>
      </c>
      <c r="E1060" s="169">
        <f>VLOOKUP(Tabela10[[#This Row],[Tipo de Chapa]],Tabela11[],2,FALSE)</f>
        <v/>
      </c>
      <c r="F1060" s="151">
        <f>108</f>
        <v/>
      </c>
      <c r="G1060" s="152" t="n">
        <v>0.0435</v>
      </c>
      <c r="H1060" s="170">
        <f>Tabela10[[#This Row],[M² Da chapa]]*Tabela10[[#This Row],[Qtde Chapas
Liberadas]]</f>
        <v/>
      </c>
      <c r="J1060" s="59">
        <f>Tabela10[[#This Row],[ERP]]/Tabela10[[#This Row],[M² Da chapa]]</f>
        <v/>
      </c>
      <c r="K1060" s="170">
        <f>Tabela10[[#This Row],[M² CHAPAS]]-Tabela10[[#This Row],[ERP]]</f>
        <v/>
      </c>
      <c r="L1060" s="170">
        <f>Tabela10[[#This Row],[DIFERENÇA M²]]/Tabela10[[#This Row],[M² Da chapa]]</f>
        <v/>
      </c>
    </row>
    <row r="1061">
      <c r="A1061" s="6" t="n">
        <v>46233</v>
      </c>
      <c r="B1061" s="8" t="inlineStr">
        <is>
          <t>N2608101</t>
        </is>
      </c>
      <c r="C1061" s="168">
        <f>VLOOKUP(LEFT(B1061,1),Tabela5[],2,0)</f>
        <v/>
      </c>
      <c r="D1061" s="57" t="inlineStr">
        <is>
          <t>MDF - 25MM 2750x2200</t>
        </is>
      </c>
      <c r="E1061" s="169">
        <f>VLOOKUP(Tabela10[[#This Row],[Tipo de Chapa]],Tabela11[],2,FALSE)</f>
        <v/>
      </c>
      <c r="F1061" s="151" t="n">
        <v>67</v>
      </c>
      <c r="G1061" s="152" t="n">
        <v>0.06279999999999999</v>
      </c>
      <c r="H1061" s="170">
        <f>Tabela10[[#This Row],[M² Da chapa]]*Tabela10[[#This Row],[Qtde Chapas
Liberadas]]</f>
        <v/>
      </c>
      <c r="J1061" s="59">
        <f>Tabela10[[#This Row],[ERP]]/Tabela10[[#This Row],[M² Da chapa]]</f>
        <v/>
      </c>
      <c r="K1061" s="170">
        <f>Tabela10[[#This Row],[M² CHAPAS]]-Tabela10[[#This Row],[ERP]]</f>
        <v/>
      </c>
      <c r="L1061" s="170">
        <f>Tabela10[[#This Row],[DIFERENÇA M²]]/Tabela10[[#This Row],[M² Da chapa]]</f>
        <v/>
      </c>
    </row>
    <row r="1062">
      <c r="A1062" s="6" t="n">
        <v>46233</v>
      </c>
      <c r="B1062" s="8" t="inlineStr">
        <is>
          <t>N2609301</t>
        </is>
      </c>
      <c r="C1062" s="168">
        <f>VLOOKUP(LEFT(B1062,1),Tabela5[],2,0)</f>
        <v/>
      </c>
      <c r="D1062" s="57" t="inlineStr">
        <is>
          <t>MDF - 15MM</t>
        </is>
      </c>
      <c r="E1062" s="169">
        <f>VLOOKUP(Tabela10[[#This Row],[Tipo de Chapa]],Tabela11[],2,FALSE)</f>
        <v/>
      </c>
      <c r="F1062" s="151" t="n">
        <v>10</v>
      </c>
      <c r="G1062" s="152" t="n">
        <v>0.0463</v>
      </c>
      <c r="H1062" s="170">
        <f>Tabela10[[#This Row],[M² Da chapa]]*Tabela10[[#This Row],[Qtde Chapas
Liberadas]]</f>
        <v/>
      </c>
      <c r="J1062" s="59">
        <f>Tabela10[[#This Row],[ERP]]/Tabela10[[#This Row],[M² Da chapa]]</f>
        <v/>
      </c>
      <c r="K1062" s="170">
        <f>Tabela10[[#This Row],[M² CHAPAS]]-Tabela10[[#This Row],[ERP]]</f>
        <v/>
      </c>
      <c r="L1062" s="170">
        <f>Tabela10[[#This Row],[DIFERENÇA M²]]/Tabela10[[#This Row],[M² Da chapa]]</f>
        <v/>
      </c>
    </row>
    <row r="1063">
      <c r="A1063" s="6" t="n">
        <v>46233</v>
      </c>
      <c r="B1063" s="8" t="inlineStr">
        <is>
          <t>N2608601</t>
        </is>
      </c>
      <c r="C1063" s="168">
        <f>VLOOKUP(LEFT(B1063,1),Tabela5[],2,0)</f>
        <v/>
      </c>
      <c r="D1063" s="57" t="inlineStr">
        <is>
          <t>MDF - 15MM</t>
        </is>
      </c>
      <c r="E1063" s="169">
        <f>VLOOKUP(Tabela10[[#This Row],[Tipo de Chapa]],Tabela11[],2,FALSE)</f>
        <v/>
      </c>
      <c r="F1063" s="151" t="n">
        <v>13</v>
      </c>
      <c r="G1063" s="152" t="n">
        <v>0.0428</v>
      </c>
      <c r="H1063" s="170">
        <f>Tabela10[[#This Row],[M² Da chapa]]*Tabela10[[#This Row],[Qtde Chapas
Liberadas]]</f>
        <v/>
      </c>
      <c r="J1063" s="59">
        <f>Tabela10[[#This Row],[ERP]]/Tabela10[[#This Row],[M² Da chapa]]</f>
        <v/>
      </c>
      <c r="K1063" s="170">
        <f>Tabela10[[#This Row],[M² CHAPAS]]-Tabela10[[#This Row],[ERP]]</f>
        <v/>
      </c>
      <c r="L1063" s="170">
        <f>Tabela10[[#This Row],[DIFERENÇA M²]]/Tabela10[[#This Row],[M² Da chapa]]</f>
        <v/>
      </c>
    </row>
    <row r="1064">
      <c r="A1064" s="6" t="n">
        <v>46233</v>
      </c>
      <c r="B1064" s="8" t="inlineStr">
        <is>
          <t>N2608701</t>
        </is>
      </c>
      <c r="C1064" s="168">
        <f>VLOOKUP(LEFT(B1064,1),Tabela5[],2,0)</f>
        <v/>
      </c>
      <c r="D1064" s="57" t="inlineStr">
        <is>
          <t>MDF - 15MM</t>
        </is>
      </c>
      <c r="E1064" s="169">
        <f>VLOOKUP(Tabela10[[#This Row],[Tipo de Chapa]],Tabela11[],2,FALSE)</f>
        <v/>
      </c>
      <c r="F1064" s="151" t="n">
        <v>50</v>
      </c>
      <c r="G1064" s="152" t="n">
        <v>0.0433</v>
      </c>
      <c r="H1064" s="170">
        <f>Tabela10[[#This Row],[M² Da chapa]]*Tabela10[[#This Row],[Qtde Chapas
Liberadas]]</f>
        <v/>
      </c>
      <c r="J1064" s="59">
        <f>Tabela10[[#This Row],[ERP]]/Tabela10[[#This Row],[M² Da chapa]]</f>
        <v/>
      </c>
      <c r="K1064" s="170">
        <f>Tabela10[[#This Row],[M² CHAPAS]]-Tabela10[[#This Row],[ERP]]</f>
        <v/>
      </c>
      <c r="L1064" s="170">
        <f>Tabela10[[#This Row],[DIFERENÇA M²]]/Tabela10[[#This Row],[M² Da chapa]]</f>
        <v/>
      </c>
    </row>
    <row r="1065">
      <c r="A1065" s="6" t="n">
        <v>46233</v>
      </c>
      <c r="B1065" s="8" t="inlineStr">
        <is>
          <t>N2608803</t>
        </is>
      </c>
      <c r="C1065" s="168">
        <f>VLOOKUP(LEFT(B1065,1),Tabela5[],2,0)</f>
        <v/>
      </c>
      <c r="D1065" s="57" t="inlineStr">
        <is>
          <t>MDF - 15MM</t>
        </is>
      </c>
      <c r="E1065" s="169">
        <f>VLOOKUP(Tabela10[[#This Row],[Tipo de Chapa]],Tabela11[],2,FALSE)</f>
        <v/>
      </c>
      <c r="F1065" s="151" t="n">
        <v>114</v>
      </c>
      <c r="G1065" s="152" t="n">
        <v>0.0576</v>
      </c>
      <c r="H1065" s="170">
        <f>Tabela10[[#This Row],[M² Da chapa]]*Tabela10[[#This Row],[Qtde Chapas
Liberadas]]</f>
        <v/>
      </c>
      <c r="J1065" s="59">
        <f>Tabela10[[#This Row],[ERP]]/Tabela10[[#This Row],[M² Da chapa]]</f>
        <v/>
      </c>
      <c r="K1065" s="170">
        <f>Tabela10[[#This Row],[M² CHAPAS]]-Tabela10[[#This Row],[ERP]]</f>
        <v/>
      </c>
      <c r="L1065" s="170">
        <f>Tabela10[[#This Row],[DIFERENÇA M²]]/Tabela10[[#This Row],[M² Da chapa]]</f>
        <v/>
      </c>
    </row>
    <row r="1066">
      <c r="A1066" s="6" t="n">
        <v>46233</v>
      </c>
      <c r="B1066" s="8" t="inlineStr">
        <is>
          <t>N2608301 | N2608303</t>
        </is>
      </c>
      <c r="C1066" s="168">
        <f>VLOOKUP(LEFT(B1066,1),Tabela5[],2,0)</f>
        <v/>
      </c>
      <c r="D1066" s="57" t="inlineStr">
        <is>
          <t>MDF - 15MM</t>
        </is>
      </c>
      <c r="E1066" s="169">
        <f>VLOOKUP(Tabela10[[#This Row],[Tipo de Chapa]],Tabela11[],2,FALSE)</f>
        <v/>
      </c>
      <c r="F1066" s="151" t="n">
        <v>339</v>
      </c>
      <c r="G1066" s="152" t="n">
        <v>0.0504</v>
      </c>
      <c r="H1066" s="170">
        <f>Tabela10[[#This Row],[M² Da chapa]]*Tabela10[[#This Row],[Qtde Chapas
Liberadas]]</f>
        <v/>
      </c>
      <c r="J1066" s="59">
        <f>Tabela10[[#This Row],[ERP]]/Tabela10[[#This Row],[M² Da chapa]]</f>
        <v/>
      </c>
      <c r="K1066" s="170">
        <f>Tabela10[[#This Row],[M² CHAPAS]]-Tabela10[[#This Row],[ERP]]</f>
        <v/>
      </c>
      <c r="L1066" s="170">
        <f>Tabela10[[#This Row],[DIFERENÇA M²]]/Tabela10[[#This Row],[M² Da chapa]]</f>
        <v/>
      </c>
    </row>
    <row r="1067">
      <c r="A1067" s="6" t="n">
        <v>46233</v>
      </c>
      <c r="B1067" s="8" t="inlineStr">
        <is>
          <t>N2608301</t>
        </is>
      </c>
      <c r="C1067" s="168">
        <f>VLOOKUP(LEFT(B1067,1),Tabela5[],2,0)</f>
        <v/>
      </c>
      <c r="D1067" s="57" t="inlineStr">
        <is>
          <t>EUCADUR FRJ - 2,5MM</t>
        </is>
      </c>
      <c r="E1067" s="169">
        <f>VLOOKUP(Tabela10[[#This Row],[Tipo de Chapa]],Tabela11[],2,FALSE)</f>
        <v/>
      </c>
      <c r="F1067" s="151" t="n">
        <v>40</v>
      </c>
      <c r="G1067" s="152" t="n">
        <v>0.0597</v>
      </c>
      <c r="H1067" s="170">
        <f>Tabela10[[#This Row],[M² Da chapa]]*Tabela10[[#This Row],[Qtde Chapas
Liberadas]]</f>
        <v/>
      </c>
      <c r="J1067" s="59">
        <f>Tabela10[[#This Row],[ERP]]/Tabela10[[#This Row],[M² Da chapa]]</f>
        <v/>
      </c>
      <c r="K1067" s="170">
        <f>Tabela10[[#This Row],[M² CHAPAS]]-Tabela10[[#This Row],[ERP]]</f>
        <v/>
      </c>
      <c r="L1067" s="170">
        <f>Tabela10[[#This Row],[DIFERENÇA M²]]/Tabela10[[#This Row],[M² Da chapa]]</f>
        <v/>
      </c>
    </row>
    <row r="1068">
      <c r="A1068" s="6" t="n">
        <v>46233</v>
      </c>
      <c r="B1068" s="8" t="inlineStr">
        <is>
          <t>N2608303</t>
        </is>
      </c>
      <c r="C1068" s="168">
        <f>VLOOKUP(LEFT(B1068,1),Tabela5[],2,0)</f>
        <v/>
      </c>
      <c r="D1068" s="57" t="inlineStr">
        <is>
          <t>EUCADUR NT - 2,5MM</t>
        </is>
      </c>
      <c r="E1068" s="169">
        <f>VLOOKUP(Tabela10[[#This Row],[Tipo de Chapa]],Tabela11[],2,FALSE)</f>
        <v/>
      </c>
      <c r="F1068" s="151" t="n">
        <v>113</v>
      </c>
      <c r="G1068" s="152" t="n">
        <v>0.0588</v>
      </c>
      <c r="H1068" s="170">
        <f>Tabela10[[#This Row],[M² Da chapa]]*Tabela10[[#This Row],[Qtde Chapas
Liberadas]]</f>
        <v/>
      </c>
      <c r="J1068" s="59">
        <f>Tabela10[[#This Row],[ERP]]/Tabela10[[#This Row],[M² Da chapa]]</f>
        <v/>
      </c>
      <c r="K1068" s="170">
        <f>Tabela10[[#This Row],[M² CHAPAS]]-Tabela10[[#This Row],[ERP]]</f>
        <v/>
      </c>
      <c r="L1068" s="170">
        <f>Tabela10[[#This Row],[DIFERENÇA M²]]/Tabela10[[#This Row],[M² Da chapa]]</f>
        <v/>
      </c>
    </row>
    <row r="1069" hidden="1">
      <c r="A1069" s="6" t="n">
        <v>46234</v>
      </c>
      <c r="B1069" s="8" t="inlineStr">
        <is>
          <t>M26039</t>
        </is>
      </c>
      <c r="C1069" s="168">
        <f>VLOOKUP(LEFT(B1069,1),Tabela5[],2,0)</f>
        <v/>
      </c>
      <c r="D1069" s="57" t="inlineStr">
        <is>
          <t>MDF - 15MM</t>
        </is>
      </c>
      <c r="E1069" s="169">
        <f>VLOOKUP(Tabela10[[#This Row],[Tipo de Chapa]],Tabela11[],2,FALSE)</f>
        <v/>
      </c>
      <c r="F1069" s="151" t="n">
        <v>643</v>
      </c>
      <c r="G1069" s="152" t="n">
        <v>0.068</v>
      </c>
      <c r="H1069" s="170">
        <f>Tabela10[[#This Row],[M² Da chapa]]*Tabela10[[#This Row],[Qtde Chapas
Liberadas]]</f>
        <v/>
      </c>
      <c r="J1069" s="59">
        <f>Tabela10[[#This Row],[ERP]]/Tabela10[[#This Row],[M² Da chapa]]</f>
        <v/>
      </c>
      <c r="K1069" s="170">
        <f>Tabela10[[#This Row],[M² CHAPAS]]-Tabela10[[#This Row],[ERP]]</f>
        <v/>
      </c>
      <c r="L1069" s="170">
        <f>Tabela10[[#This Row],[DIFERENÇA M²]]/Tabela10[[#This Row],[M² Da chapa]]</f>
        <v/>
      </c>
    </row>
    <row r="1070" hidden="1">
      <c r="A1070" s="6" t="n">
        <v>46237</v>
      </c>
      <c r="B1070" s="8" t="inlineStr">
        <is>
          <t>M26036</t>
        </is>
      </c>
      <c r="C1070" s="168">
        <f>VLOOKUP(LEFT(B1070,1),Tabela5[],2,0)</f>
        <v/>
      </c>
      <c r="D1070" s="57" t="inlineStr">
        <is>
          <t>EUCADUR NT - 2,5MM</t>
        </is>
      </c>
      <c r="E1070" s="169">
        <f>VLOOKUP(Tabela10[[#This Row],[Tipo de Chapa]],Tabela11[],2,FALSE)</f>
        <v/>
      </c>
      <c r="F1070" s="151" t="n">
        <v>34</v>
      </c>
      <c r="G1070" s="152" t="n">
        <v>0.0513</v>
      </c>
      <c r="H1070" s="170">
        <f>Tabela10[[#This Row],[M² Da chapa]]*Tabela10[[#This Row],[Qtde Chapas
Liberadas]]</f>
        <v/>
      </c>
      <c r="J1070" s="59">
        <f>Tabela10[[#This Row],[ERP]]/Tabela10[[#This Row],[M² Da chapa]]</f>
        <v/>
      </c>
      <c r="K1070" s="170">
        <f>Tabela10[[#This Row],[M² CHAPAS]]-Tabela10[[#This Row],[ERP]]</f>
        <v/>
      </c>
      <c r="L1070" s="170">
        <f>Tabela10[[#This Row],[DIFERENÇA M²]]/Tabela10[[#This Row],[M² Da chapa]]</f>
        <v/>
      </c>
    </row>
    <row r="1071" hidden="1">
      <c r="A1071" s="6" t="n">
        <v>46237</v>
      </c>
      <c r="B1071" s="8" t="inlineStr">
        <is>
          <t>M26037</t>
        </is>
      </c>
      <c r="C1071" s="168">
        <f>VLOOKUP(LEFT(B1071,1),Tabela5[],2,0)</f>
        <v/>
      </c>
      <c r="D1071" s="57" t="inlineStr">
        <is>
          <t>EUCADUR NT - 2,5MM</t>
        </is>
      </c>
      <c r="E1071" s="169">
        <f>VLOOKUP(Tabela10[[#This Row],[Tipo de Chapa]],Tabela11[],2,FALSE)</f>
        <v/>
      </c>
      <c r="F1071" s="151" t="n">
        <v>141</v>
      </c>
      <c r="G1071" s="152" t="n">
        <v>0.0553</v>
      </c>
      <c r="H1071" s="170">
        <f>Tabela10[[#This Row],[M² Da chapa]]*Tabela10[[#This Row],[Qtde Chapas
Liberadas]]</f>
        <v/>
      </c>
      <c r="J1071" s="59">
        <f>Tabela10[[#This Row],[ERP]]/Tabela10[[#This Row],[M² Da chapa]]</f>
        <v/>
      </c>
      <c r="K1071" s="170">
        <f>Tabela10[[#This Row],[M² CHAPAS]]-Tabela10[[#This Row],[ERP]]</f>
        <v/>
      </c>
      <c r="L1071" s="170">
        <f>Tabela10[[#This Row],[DIFERENÇA M²]]/Tabela10[[#This Row],[M² Da chapa]]</f>
        <v/>
      </c>
    </row>
    <row r="1072">
      <c r="A1072" s="6" t="n">
        <v>46237</v>
      </c>
      <c r="B1072" s="8" t="inlineStr">
        <is>
          <t>N2609301</t>
        </is>
      </c>
      <c r="C1072" s="168">
        <f>VLOOKUP(LEFT(B1072,1),Tabela5[],2,0)</f>
        <v/>
      </c>
      <c r="D1072" s="57" t="inlineStr">
        <is>
          <t>MDF - 15MM</t>
        </is>
      </c>
      <c r="E1072" s="169">
        <f>VLOOKUP(Tabela10[[#This Row],[Tipo de Chapa]],Tabela11[],2,FALSE)</f>
        <v/>
      </c>
      <c r="F1072" s="151" t="n">
        <v>42</v>
      </c>
      <c r="G1072" s="152" t="n">
        <v>0.0579</v>
      </c>
      <c r="H1072" s="170">
        <f>Tabela10[[#This Row],[M² Da chapa]]*Tabela10[[#This Row],[Qtde Chapas
Liberadas]]</f>
        <v/>
      </c>
      <c r="J1072" s="59">
        <f>Tabela10[[#This Row],[ERP]]/Tabela10[[#This Row],[M² Da chapa]]</f>
        <v/>
      </c>
      <c r="K1072" s="170">
        <f>Tabela10[[#This Row],[M² CHAPAS]]-Tabela10[[#This Row],[ERP]]</f>
        <v/>
      </c>
      <c r="L1072" s="170">
        <f>Tabela10[[#This Row],[DIFERENÇA M²]]/Tabela10[[#This Row],[M² Da chapa]]</f>
        <v/>
      </c>
    </row>
    <row r="1073">
      <c r="A1073" s="6" t="n">
        <v>46237</v>
      </c>
      <c r="B1073" s="8" t="inlineStr">
        <is>
          <t>N2608602</t>
        </is>
      </c>
      <c r="C1073" s="168">
        <f>VLOOKUP(LEFT(B1073,1),Tabela5[],2,0)</f>
        <v/>
      </c>
      <c r="D1073" s="57" t="inlineStr">
        <is>
          <t>MDF - 15MM</t>
        </is>
      </c>
      <c r="E1073" s="169">
        <f>VLOOKUP(Tabela10[[#This Row],[Tipo de Chapa]],Tabela11[],2,FALSE)</f>
        <v/>
      </c>
      <c r="F1073" s="151" t="n">
        <v>271</v>
      </c>
      <c r="G1073" s="152" t="n">
        <v>0.0542</v>
      </c>
      <c r="H1073" s="170">
        <f>Tabela10[[#This Row],[M² Da chapa]]*Tabela10[[#This Row],[Qtde Chapas
Liberadas]]</f>
        <v/>
      </c>
      <c r="J1073" s="59">
        <f>Tabela10[[#This Row],[ERP]]/Tabela10[[#This Row],[M² Da chapa]]</f>
        <v/>
      </c>
      <c r="K1073" s="170">
        <f>Tabela10[[#This Row],[M² CHAPAS]]-Tabela10[[#This Row],[ERP]]</f>
        <v/>
      </c>
      <c r="L1073" s="170">
        <f>Tabela10[[#This Row],[DIFERENÇA M²]]/Tabela10[[#This Row],[M² Da chapa]]</f>
        <v/>
      </c>
    </row>
    <row r="1074">
      <c r="A1074" s="6" t="n">
        <v>46238</v>
      </c>
      <c r="B1074" s="8" t="inlineStr">
        <is>
          <t>N2608601</t>
        </is>
      </c>
      <c r="C1074" s="168">
        <f>VLOOKUP(LEFT(B1074,1),Tabela5[],2,0)</f>
        <v/>
      </c>
      <c r="D1074" s="57" t="inlineStr">
        <is>
          <t>MDF - 15MM</t>
        </is>
      </c>
      <c r="E1074" s="169">
        <f>VLOOKUP(Tabela10[[#This Row],[Tipo de Chapa]],Tabela11[],2,FALSE)</f>
        <v/>
      </c>
      <c r="F1074" s="151" t="n">
        <v>60</v>
      </c>
      <c r="G1074" s="152" t="n">
        <v>0.0603</v>
      </c>
      <c r="H1074" s="170">
        <f>Tabela10[[#This Row],[M² Da chapa]]*Tabela10[[#This Row],[Qtde Chapas
Liberadas]]</f>
        <v/>
      </c>
      <c r="J1074" s="59">
        <f>Tabela10[[#This Row],[ERP]]/Tabela10[[#This Row],[M² Da chapa]]</f>
        <v/>
      </c>
      <c r="K1074" s="170">
        <f>Tabela10[[#This Row],[M² CHAPAS]]-Tabela10[[#This Row],[ERP]]</f>
        <v/>
      </c>
      <c r="L1074" s="170">
        <f>Tabela10[[#This Row],[DIFERENÇA M²]]/Tabela10[[#This Row],[M² Da chapa]]</f>
        <v/>
      </c>
    </row>
    <row r="1075">
      <c r="A1075" s="6" t="n">
        <v>46238</v>
      </c>
      <c r="B1075" s="8" t="inlineStr">
        <is>
          <t>N2609301</t>
        </is>
      </c>
      <c r="C1075" s="168">
        <f>VLOOKUP(LEFT(B1075,1),Tabela5[],2,0)</f>
        <v/>
      </c>
      <c r="D1075" s="57" t="inlineStr">
        <is>
          <t>EUCADUR NT - 2,5MM</t>
        </is>
      </c>
      <c r="E1075" s="169">
        <f>VLOOKUP(Tabela10[[#This Row],[Tipo de Chapa]],Tabela11[],2,FALSE)</f>
        <v/>
      </c>
      <c r="F1075" s="151" t="n">
        <v>7</v>
      </c>
      <c r="G1075" s="152" t="n">
        <v>0.08</v>
      </c>
      <c r="H1075" s="170">
        <f>Tabela10[[#This Row],[M² Da chapa]]*Tabela10[[#This Row],[Qtde Chapas
Liberadas]]</f>
        <v/>
      </c>
      <c r="J1075" s="59">
        <f>Tabela10[[#This Row],[ERP]]/Tabela10[[#This Row],[M² Da chapa]]</f>
        <v/>
      </c>
      <c r="K1075" s="170">
        <f>Tabela10[[#This Row],[M² CHAPAS]]-Tabela10[[#This Row],[ERP]]</f>
        <v/>
      </c>
      <c r="L1075" s="170">
        <f>Tabela10[[#This Row],[DIFERENÇA M²]]/Tabela10[[#This Row],[M² Da chapa]]</f>
        <v/>
      </c>
    </row>
    <row r="1076">
      <c r="A1076" s="6" t="n">
        <v>46238</v>
      </c>
      <c r="B1076" s="8" t="inlineStr">
        <is>
          <t>N2608602</t>
        </is>
      </c>
      <c r="C1076" s="168">
        <f>VLOOKUP(LEFT(B1076,1),Tabela5[],2,0)</f>
        <v/>
      </c>
      <c r="D1076" s="57" t="inlineStr">
        <is>
          <t>EUCADUR NT - 2,5MM</t>
        </is>
      </c>
      <c r="E1076" s="169">
        <f>VLOOKUP(Tabela10[[#This Row],[Tipo de Chapa]],Tabela11[],2,FALSE)</f>
        <v/>
      </c>
      <c r="F1076" s="147" t="n">
        <v>193</v>
      </c>
      <c r="G1076" s="152" t="n">
        <v>0.06710000000000001</v>
      </c>
      <c r="H1076" s="170">
        <f>Tabela10[[#This Row],[M² Da chapa]]*Tabela10[[#This Row],[Qtde Chapas
Liberadas]]</f>
        <v/>
      </c>
      <c r="J1076" s="59">
        <f>Tabela10[[#This Row],[ERP]]/Tabela10[[#This Row],[M² Da chapa]]</f>
        <v/>
      </c>
      <c r="K1076" s="170">
        <f>Tabela10[[#This Row],[M² CHAPAS]]-Tabela10[[#This Row],[ERP]]</f>
        <v/>
      </c>
      <c r="L1076" s="170">
        <f>Tabela10[[#This Row],[DIFERENÇA M²]]/Tabela10[[#This Row],[M² Da chapa]]</f>
        <v/>
      </c>
    </row>
    <row r="1077">
      <c r="A1077" s="6" t="n">
        <v>46238</v>
      </c>
      <c r="B1077" s="8" t="inlineStr">
        <is>
          <t>N2609401</t>
        </is>
      </c>
      <c r="C1077" s="168">
        <f>VLOOKUP(LEFT(B1077,1),Tabela5[],2,0)</f>
        <v/>
      </c>
      <c r="D1077" s="57" t="inlineStr">
        <is>
          <t>MDF - 15MM</t>
        </is>
      </c>
      <c r="E1077" s="169">
        <f>VLOOKUP(Tabela10[[#This Row],[Tipo de Chapa]],Tabela11[],2,FALSE)</f>
        <v/>
      </c>
      <c r="F1077" s="151" t="n">
        <v>77</v>
      </c>
      <c r="G1077" s="152" t="n">
        <v>0.057</v>
      </c>
      <c r="H1077" s="170">
        <f>Tabela10[[#This Row],[M² Da chapa]]*Tabela10[[#This Row],[Qtde Chapas
Liberadas]]</f>
        <v/>
      </c>
      <c r="J1077" s="59">
        <f>Tabela10[[#This Row],[ERP]]/Tabela10[[#This Row],[M² Da chapa]]</f>
        <v/>
      </c>
      <c r="K1077" s="170">
        <f>Tabela10[[#This Row],[M² CHAPAS]]-Tabela10[[#This Row],[ERP]]</f>
        <v/>
      </c>
      <c r="L1077" s="170">
        <f>Tabela10[[#This Row],[DIFERENÇA M²]]/Tabela10[[#This Row],[M² Da chapa]]</f>
        <v/>
      </c>
    </row>
    <row r="1078">
      <c r="A1078" s="6" t="n">
        <v>46238</v>
      </c>
      <c r="B1078" s="8" t="inlineStr">
        <is>
          <t>N2608602</t>
        </is>
      </c>
      <c r="C1078" s="168">
        <f>VLOOKUP(LEFT(B1078,1),Tabela5[],2,0)</f>
        <v/>
      </c>
      <c r="D1078" s="57" t="inlineStr">
        <is>
          <t>MDF - 25MM 2750x2200</t>
        </is>
      </c>
      <c r="E1078" s="169">
        <f>VLOOKUP(Tabela10[[#This Row],[Tipo de Chapa]],Tabela11[],2,FALSE)</f>
        <v/>
      </c>
      <c r="F1078" s="151" t="n">
        <v>63</v>
      </c>
      <c r="G1078" s="152" t="n">
        <v>0.0658</v>
      </c>
      <c r="H1078" s="170">
        <f>Tabela10[[#This Row],[M² Da chapa]]*Tabela10[[#This Row],[Qtde Chapas
Liberadas]]</f>
        <v/>
      </c>
      <c r="J1078" s="59">
        <f>Tabela10[[#This Row],[ERP]]/Tabela10[[#This Row],[M² Da chapa]]</f>
        <v/>
      </c>
      <c r="K1078" s="170">
        <f>Tabela10[[#This Row],[M² CHAPAS]]-Tabela10[[#This Row],[ERP]]</f>
        <v/>
      </c>
      <c r="L1078" s="170">
        <f>Tabela10[[#This Row],[DIFERENÇA M²]]/Tabela10[[#This Row],[M² Da chapa]]</f>
        <v/>
      </c>
    </row>
    <row r="1079">
      <c r="A1079" s="6" t="n">
        <v>46238</v>
      </c>
      <c r="B1079" s="8" t="inlineStr">
        <is>
          <t>N2608801</t>
        </is>
      </c>
      <c r="C1079" s="168">
        <f>VLOOKUP(LEFT(B1079,1),Tabela5[],2,0)</f>
        <v/>
      </c>
      <c r="D1079" s="57" t="inlineStr">
        <is>
          <t>EUCADUR NT - 2,5MM</t>
        </is>
      </c>
      <c r="E1079" s="169">
        <f>VLOOKUP(Tabela10[[#This Row],[Tipo de Chapa]],Tabela11[],2,FALSE)</f>
        <v/>
      </c>
      <c r="F1079" s="151" t="n">
        <v>0</v>
      </c>
      <c r="G1079" s="152" t="n">
        <v>0</v>
      </c>
      <c r="H1079" s="170">
        <f>Tabela10[[#This Row],[M² Da chapa]]*Tabela10[[#This Row],[Qtde Chapas
Liberadas]]</f>
        <v/>
      </c>
      <c r="J1079" s="59">
        <f>Tabela10[[#This Row],[ERP]]/Tabela10[[#This Row],[M² Da chapa]]</f>
        <v/>
      </c>
      <c r="K1079" s="170">
        <f>Tabela10[[#This Row],[M² CHAPAS]]-Tabela10[[#This Row],[ERP]]</f>
        <v/>
      </c>
      <c r="L1079" s="170">
        <f>Tabela10[[#This Row],[DIFERENÇA M²]]/Tabela10[[#This Row],[M² Da chapa]]</f>
        <v/>
      </c>
    </row>
    <row r="1080">
      <c r="A1080" s="6" t="n">
        <v>46238</v>
      </c>
      <c r="B1080" s="8" t="inlineStr">
        <is>
          <t>N2608701</t>
        </is>
      </c>
      <c r="C1080" s="168">
        <f>VLOOKUP(LEFT(B1080,1),Tabela5[],2,0)</f>
        <v/>
      </c>
      <c r="D1080" s="57" t="inlineStr">
        <is>
          <t>MDF - 15MM</t>
        </is>
      </c>
      <c r="E1080" s="169">
        <f>VLOOKUP(Tabela10[[#This Row],[Tipo de Chapa]],Tabela11[],2,FALSE)</f>
        <v/>
      </c>
      <c r="F1080" s="147">
        <f>390-9</f>
        <v/>
      </c>
      <c r="G1080" s="152" t="n">
        <v>0.0495</v>
      </c>
      <c r="H1080" s="170">
        <f>Tabela10[[#This Row],[M² Da chapa]]*Tabela10[[#This Row],[Qtde Chapas
Liberadas]]</f>
        <v/>
      </c>
      <c r="J1080" s="59">
        <f>Tabela10[[#This Row],[ERP]]/Tabela10[[#This Row],[M² Da chapa]]</f>
        <v/>
      </c>
      <c r="K1080" s="170">
        <f>Tabela10[[#This Row],[M² CHAPAS]]-Tabela10[[#This Row],[ERP]]</f>
        <v/>
      </c>
      <c r="L1080" s="170">
        <f>Tabela10[[#This Row],[DIFERENÇA M²]]/Tabela10[[#This Row],[M² Da chapa]]</f>
        <v/>
      </c>
    </row>
    <row r="1081" hidden="1">
      <c r="A1081" s="6" t="n">
        <v>46210</v>
      </c>
      <c r="B1081" s="8" t="inlineStr">
        <is>
          <t>M26035</t>
        </is>
      </c>
      <c r="C1081" s="168">
        <f>VLOOKUP(LEFT(B1081,1),Tabela5[],2,0)</f>
        <v/>
      </c>
      <c r="D1081" s="57" t="inlineStr">
        <is>
          <t>CAPA MDF - 15MM</t>
        </is>
      </c>
      <c r="E1081" s="169">
        <f>VLOOKUP(Tabela10[[#This Row],[Tipo de Chapa]],Tabela11[],2,FALSE)</f>
        <v/>
      </c>
      <c r="F1081" s="151" t="n">
        <v>10</v>
      </c>
      <c r="G1081" s="152" t="n">
        <v>0.1309</v>
      </c>
      <c r="H1081" s="170">
        <f>Tabela10[[#This Row],[M² Da chapa]]*Tabela10[[#This Row],[Qtde Chapas
Liberadas]]</f>
        <v/>
      </c>
      <c r="J1081" s="59">
        <f>Tabela10[[#This Row],[ERP]]/Tabela10[[#This Row],[M² Da chapa]]</f>
        <v/>
      </c>
      <c r="K1081" s="170">
        <f>Tabela10[[#This Row],[M² CHAPAS]]-Tabela10[[#This Row],[ERP]]</f>
        <v/>
      </c>
      <c r="L1081" s="170">
        <f>Tabela10[[#This Row],[DIFERENÇA M²]]/Tabela10[[#This Row],[M² Da chapa]]</f>
        <v/>
      </c>
    </row>
    <row r="1082" hidden="1">
      <c r="A1082" s="6" t="n">
        <v>46238</v>
      </c>
      <c r="B1082" s="8" t="inlineStr">
        <is>
          <t>I26026</t>
        </is>
      </c>
      <c r="C1082" s="168">
        <f>VLOOKUP(LEFT(B1082,1),Tabela5[],2,0)</f>
        <v/>
      </c>
      <c r="D1082" s="57" t="inlineStr">
        <is>
          <t>CAPA MDF - 15MM</t>
        </is>
      </c>
      <c r="E1082" s="169">
        <f>VLOOKUP(Tabela10[[#This Row],[Tipo de Chapa]],Tabela11[],2,FALSE)</f>
        <v/>
      </c>
      <c r="F1082" s="151" t="n">
        <v>0</v>
      </c>
      <c r="G1082" s="152" t="n">
        <v>0</v>
      </c>
      <c r="H1082" s="170">
        <f>Tabela10[[#This Row],[M² Da chapa]]*Tabela10[[#This Row],[Qtde Chapas
Liberadas]]</f>
        <v/>
      </c>
      <c r="J1082" s="59">
        <f>Tabela10[[#This Row],[ERP]]/Tabela10[[#This Row],[M² Da chapa]]</f>
        <v/>
      </c>
      <c r="K1082" s="170">
        <f>Tabela10[[#This Row],[M² CHAPAS]]-Tabela10[[#This Row],[ERP]]</f>
        <v/>
      </c>
      <c r="L1082" s="170">
        <f>Tabela10[[#This Row],[DIFERENÇA M²]]/Tabela10[[#This Row],[M² Da chapa]]</f>
        <v/>
      </c>
    </row>
    <row r="1083">
      <c r="A1083" s="6" t="n">
        <v>46238</v>
      </c>
      <c r="B1083" s="8" t="inlineStr">
        <is>
          <t>N2608701</t>
        </is>
      </c>
      <c r="C1083" s="168">
        <f>VLOOKUP(LEFT(B1083,1),Tabela5[],2,0)</f>
        <v/>
      </c>
      <c r="D1083" s="57" t="inlineStr">
        <is>
          <t>MDF - 15MM</t>
        </is>
      </c>
      <c r="E1083" s="169">
        <f>VLOOKUP(Tabela10[[#This Row],[Tipo de Chapa]],Tabela11[],2,FALSE)</f>
        <v/>
      </c>
      <c r="F1083" s="151" t="n">
        <v>60</v>
      </c>
      <c r="G1083" s="152" t="n">
        <v>0.0476</v>
      </c>
      <c r="H1083" s="170">
        <f>Tabela10[[#This Row],[M² Da chapa]]*Tabela10[[#This Row],[Qtde Chapas
Liberadas]]</f>
        <v/>
      </c>
      <c r="J1083" s="59">
        <f>Tabela10[[#This Row],[ERP]]/Tabela10[[#This Row],[M² Da chapa]]</f>
        <v/>
      </c>
      <c r="K1083" s="170">
        <f>Tabela10[[#This Row],[M² CHAPAS]]-Tabela10[[#This Row],[ERP]]</f>
        <v/>
      </c>
      <c r="L1083" s="170">
        <f>Tabela10[[#This Row],[DIFERENÇA M²]]/Tabela10[[#This Row],[M² Da chapa]]</f>
        <v/>
      </c>
    </row>
    <row r="1084" hidden="1">
      <c r="A1084" s="6" t="n">
        <v>46238</v>
      </c>
      <c r="B1084" s="8" t="inlineStr">
        <is>
          <t>M2603703</t>
        </is>
      </c>
      <c r="C1084" s="168">
        <f>VLOOKUP(LEFT(B1084,1),Tabela5[],2,0)</f>
        <v/>
      </c>
      <c r="D1084" s="57" t="inlineStr">
        <is>
          <t>EUCADUR NT - 2,5MM</t>
        </is>
      </c>
      <c r="E1084" s="169">
        <f>VLOOKUP(Tabela10[[#This Row],[Tipo de Chapa]],Tabela11[],2,FALSE)</f>
        <v/>
      </c>
      <c r="F1084" s="151" t="n">
        <v>21</v>
      </c>
      <c r="G1084" s="152" t="n">
        <v>0.06809999999999999</v>
      </c>
      <c r="H1084" s="170">
        <f>Tabela10[[#This Row],[M² Da chapa]]*Tabela10[[#This Row],[Qtde Chapas
Liberadas]]</f>
        <v/>
      </c>
      <c r="J1084" s="59">
        <f>Tabela10[[#This Row],[ERP]]/Tabela10[[#This Row],[M² Da chapa]]</f>
        <v/>
      </c>
      <c r="K1084" s="170">
        <f>Tabela10[[#This Row],[M² CHAPAS]]-Tabela10[[#This Row],[ERP]]</f>
        <v/>
      </c>
      <c r="L1084" s="170">
        <f>Tabela10[[#This Row],[DIFERENÇA M²]]/Tabela10[[#This Row],[M² Da chapa]]</f>
        <v/>
      </c>
    </row>
    <row r="1085">
      <c r="A1085" s="6" t="n">
        <v>46238</v>
      </c>
      <c r="B1085" s="8" t="inlineStr">
        <is>
          <t>N2608802</t>
        </is>
      </c>
      <c r="C1085" s="168">
        <f>VLOOKUP(LEFT(B1085,1),Tabela5[],2,0)</f>
        <v/>
      </c>
      <c r="D1085" s="57" t="inlineStr">
        <is>
          <t>MDF - 15MM</t>
        </is>
      </c>
      <c r="E1085" s="169">
        <f>VLOOKUP(Tabela10[[#This Row],[Tipo de Chapa]],Tabela11[],2,FALSE)</f>
        <v/>
      </c>
      <c r="F1085" s="151" t="n">
        <v>33</v>
      </c>
      <c r="G1085" s="152" t="n">
        <v>0.0494</v>
      </c>
      <c r="H1085" s="170">
        <f>Tabela10[[#This Row],[M² Da chapa]]*Tabela10[[#This Row],[Qtde Chapas
Liberadas]]</f>
        <v/>
      </c>
      <c r="J1085" s="59">
        <f>Tabela10[[#This Row],[ERP]]/Tabela10[[#This Row],[M² Da chapa]]</f>
        <v/>
      </c>
      <c r="K1085" s="170">
        <f>Tabela10[[#This Row],[M² CHAPAS]]-Tabela10[[#This Row],[ERP]]</f>
        <v/>
      </c>
      <c r="L1085" s="170">
        <f>Tabela10[[#This Row],[DIFERENÇA M²]]/Tabela10[[#This Row],[M² Da chapa]]</f>
        <v/>
      </c>
    </row>
    <row r="1086">
      <c r="A1086" s="6" t="n">
        <v>46238</v>
      </c>
      <c r="B1086" s="8" t="inlineStr">
        <is>
          <t>N2608801</t>
        </is>
      </c>
      <c r="C1086" s="168">
        <f>VLOOKUP(LEFT(B1086,1),Tabela5[],2,0)</f>
        <v/>
      </c>
      <c r="D1086" s="57" t="inlineStr">
        <is>
          <t>MDF - 15MM</t>
        </is>
      </c>
      <c r="E1086" s="169">
        <f>VLOOKUP(Tabela10[[#This Row],[Tipo de Chapa]],Tabela11[],2,FALSE)</f>
        <v/>
      </c>
      <c r="F1086" s="151" t="n">
        <v>90</v>
      </c>
      <c r="G1086" s="152" t="n">
        <v>0.0552</v>
      </c>
      <c r="H1086" s="170">
        <f>Tabela10[[#This Row],[M² Da chapa]]*Tabela10[[#This Row],[Qtde Chapas
Liberadas]]</f>
        <v/>
      </c>
      <c r="J1086" s="59">
        <f>Tabela10[[#This Row],[ERP]]/Tabela10[[#This Row],[M² Da chapa]]</f>
        <v/>
      </c>
      <c r="K1086" s="170">
        <f>Tabela10[[#This Row],[M² CHAPAS]]-Tabela10[[#This Row],[ERP]]</f>
        <v/>
      </c>
      <c r="L1086" s="170">
        <f>Tabela10[[#This Row],[DIFERENÇA M²]]/Tabela10[[#This Row],[M² Da chapa]]</f>
        <v/>
      </c>
    </row>
    <row r="1087">
      <c r="A1087" s="6" t="n">
        <v>46238</v>
      </c>
      <c r="B1087" s="8" t="inlineStr">
        <is>
          <t>N2608601</t>
        </is>
      </c>
      <c r="C1087" s="168">
        <f>VLOOKUP(LEFT(B1087,1),Tabela5[],2,0)</f>
        <v/>
      </c>
      <c r="D1087" s="57" t="inlineStr">
        <is>
          <t>EUCADUR NT - 2,5MM</t>
        </is>
      </c>
      <c r="E1087" s="169">
        <f>VLOOKUP(Tabela10[[#This Row],[Tipo de Chapa]],Tabela11[],2,FALSE)</f>
        <v/>
      </c>
      <c r="F1087" s="151" t="n">
        <v>15</v>
      </c>
      <c r="G1087" s="152" t="n">
        <v>0.0515</v>
      </c>
      <c r="H1087" s="170">
        <f>Tabela10[[#This Row],[M² Da chapa]]*Tabela10[[#This Row],[Qtde Chapas
Liberadas]]</f>
        <v/>
      </c>
      <c r="J1087" s="59">
        <f>Tabela10[[#This Row],[ERP]]/Tabela10[[#This Row],[M² Da chapa]]</f>
        <v/>
      </c>
      <c r="K1087" s="170">
        <f>Tabela10[[#This Row],[M² CHAPAS]]-Tabela10[[#This Row],[ERP]]</f>
        <v/>
      </c>
      <c r="L1087" s="170">
        <f>Tabela10[[#This Row],[DIFERENÇA M²]]/Tabela10[[#This Row],[M² Da chapa]]</f>
        <v/>
      </c>
    </row>
    <row r="1088">
      <c r="A1088" s="6" t="n">
        <v>46238</v>
      </c>
      <c r="B1088" s="8" t="inlineStr">
        <is>
          <t>N2608701</t>
        </is>
      </c>
      <c r="C1088" s="168">
        <f>VLOOKUP(LEFT(B1088,1),Tabela5[],2,0)</f>
        <v/>
      </c>
      <c r="D1088" s="57" t="inlineStr">
        <is>
          <t>EUCADUR FRJ - 2,5MM</t>
        </is>
      </c>
      <c r="E1088" s="169">
        <f>VLOOKUP(Tabela10[[#This Row],[Tipo de Chapa]],Tabela11[],2,FALSE)</f>
        <v/>
      </c>
      <c r="F1088" s="151" t="n">
        <v>128</v>
      </c>
      <c r="G1088" s="152" t="n">
        <v>0.0587</v>
      </c>
      <c r="H1088" s="170">
        <f>Tabela10[[#This Row],[M² Da chapa]]*Tabela10[[#This Row],[Qtde Chapas
Liberadas]]</f>
        <v/>
      </c>
      <c r="J1088" s="59">
        <f>Tabela10[[#This Row],[ERP]]/Tabela10[[#This Row],[M² Da chapa]]</f>
        <v/>
      </c>
      <c r="K1088" s="170">
        <f>Tabela10[[#This Row],[M² CHAPAS]]-Tabela10[[#This Row],[ERP]]</f>
        <v/>
      </c>
      <c r="L1088" s="170">
        <f>Tabela10[[#This Row],[DIFERENÇA M²]]/Tabela10[[#This Row],[M² Da chapa]]</f>
        <v/>
      </c>
    </row>
    <row r="1089" hidden="1">
      <c r="A1089" s="6" t="n">
        <v>46238</v>
      </c>
      <c r="B1089" s="8" t="inlineStr">
        <is>
          <t>M26040</t>
        </is>
      </c>
      <c r="C1089" s="168">
        <f>VLOOKUP(LEFT(B1089,1),Tabela5[],2,0)</f>
        <v/>
      </c>
      <c r="D1089" s="57" t="inlineStr">
        <is>
          <t>MDF - 15MM</t>
        </is>
      </c>
      <c r="E1089" s="169">
        <f>VLOOKUP(Tabela10[[#This Row],[Tipo de Chapa]],Tabela11[],2,FALSE)</f>
        <v/>
      </c>
      <c r="F1089" s="151" t="n">
        <v>791</v>
      </c>
      <c r="G1089" s="152" t="n">
        <v>0.0711</v>
      </c>
      <c r="H1089" s="170">
        <f>Tabela10[[#This Row],[M² Da chapa]]*Tabela10[[#This Row],[Qtde Chapas
Liberadas]]</f>
        <v/>
      </c>
      <c r="J1089" s="59">
        <f>Tabela10[[#This Row],[ERP]]/Tabela10[[#This Row],[M² Da chapa]]</f>
        <v/>
      </c>
      <c r="K1089" s="170">
        <f>Tabela10[[#This Row],[M² CHAPAS]]-Tabela10[[#This Row],[ERP]]</f>
        <v/>
      </c>
      <c r="L1089" s="170">
        <f>Tabela10[[#This Row],[DIFERENÇA M²]]/Tabela10[[#This Row],[M² Da chapa]]</f>
        <v/>
      </c>
    </row>
    <row r="1090" hidden="1">
      <c r="A1090" s="6" t="n">
        <v>46238</v>
      </c>
      <c r="B1090" s="8" t="inlineStr">
        <is>
          <t>M26038</t>
        </is>
      </c>
      <c r="C1090" s="168">
        <f>VLOOKUP(LEFT(B1090,1),Tabela5[],2,0)</f>
        <v/>
      </c>
      <c r="D1090" s="57" t="inlineStr">
        <is>
          <t>EUCADUR NT - 2,5MM</t>
        </is>
      </c>
      <c r="E1090" s="169">
        <f>VLOOKUP(Tabela10[[#This Row],[Tipo de Chapa]],Tabela11[],2,FALSE)</f>
        <v/>
      </c>
      <c r="F1090" s="151" t="n">
        <v>246</v>
      </c>
      <c r="G1090" s="152" t="n">
        <v>0.0552</v>
      </c>
      <c r="H1090" s="170">
        <f>Tabela10[[#This Row],[M² Da chapa]]*Tabela10[[#This Row],[Qtde Chapas
Liberadas]]</f>
        <v/>
      </c>
      <c r="J1090" s="59">
        <f>Tabela10[[#This Row],[ERP]]/Tabela10[[#This Row],[M² Da chapa]]</f>
        <v/>
      </c>
      <c r="K1090" s="170">
        <f>Tabela10[[#This Row],[M² CHAPAS]]-Tabela10[[#This Row],[ERP]]</f>
        <v/>
      </c>
      <c r="L1090" s="170">
        <f>Tabela10[[#This Row],[DIFERENÇA M²]]/Tabela10[[#This Row],[M² Da chapa]]</f>
        <v/>
      </c>
    </row>
    <row r="1091" hidden="1">
      <c r="A1091" s="6" t="n">
        <v>46239</v>
      </c>
      <c r="B1091" s="8" t="inlineStr">
        <is>
          <t>I2602703</t>
        </is>
      </c>
      <c r="C1091" s="168">
        <f>VLOOKUP(LEFT(B1091,1),Tabela5[],2,0)</f>
        <v/>
      </c>
      <c r="D1091" s="57" t="inlineStr">
        <is>
          <t>CAPA MDF - 15MM</t>
        </is>
      </c>
      <c r="E1091" s="169">
        <f>VLOOKUP(Tabela10[[#This Row],[Tipo de Chapa]],Tabela11[],2,FALSE)</f>
        <v/>
      </c>
      <c r="F1091" s="151" t="n">
        <v>0</v>
      </c>
      <c r="G1091" s="152" t="n">
        <v>0</v>
      </c>
      <c r="H1091" s="170">
        <f>Tabela10[[#This Row],[M² Da chapa]]*Tabela10[[#This Row],[Qtde Chapas
Liberadas]]</f>
        <v/>
      </c>
      <c r="J1091" s="59">
        <f>Tabela10[[#This Row],[ERP]]/Tabela10[[#This Row],[M² Da chapa]]</f>
        <v/>
      </c>
      <c r="K1091" s="170">
        <f>Tabela10[[#This Row],[M² CHAPAS]]-Tabela10[[#This Row],[ERP]]</f>
        <v/>
      </c>
      <c r="L1091" s="170">
        <f>Tabela10[[#This Row],[DIFERENÇA M²]]/Tabela10[[#This Row],[M² Da chapa]]</f>
        <v/>
      </c>
    </row>
    <row r="1092">
      <c r="A1092" s="6" t="n">
        <v>46239</v>
      </c>
      <c r="B1092" s="8" t="inlineStr">
        <is>
          <t>N26088</t>
        </is>
      </c>
      <c r="C1092" s="168">
        <f>VLOOKUP(LEFT(B1092,1),Tabela5[],2,0)</f>
        <v/>
      </c>
      <c r="D1092" s="57" t="inlineStr">
        <is>
          <t>EUCADUR NT - 2,5MM</t>
        </is>
      </c>
      <c r="E1092" s="169">
        <f>VLOOKUP(Tabela10[[#This Row],[Tipo de Chapa]],Tabela11[],2,FALSE)</f>
        <v/>
      </c>
      <c r="F1092" s="151" t="n">
        <v>80</v>
      </c>
      <c r="G1092" s="152" t="n">
        <v>0.0556</v>
      </c>
      <c r="H1092" s="170">
        <f>Tabela10[[#This Row],[M² Da chapa]]*Tabela10[[#This Row],[Qtde Chapas
Liberadas]]</f>
        <v/>
      </c>
      <c r="J1092" s="59">
        <f>Tabela10[[#This Row],[ERP]]/Tabela10[[#This Row],[M² Da chapa]]</f>
        <v/>
      </c>
      <c r="K1092" s="170">
        <f>Tabela10[[#This Row],[M² CHAPAS]]-Tabela10[[#This Row],[ERP]]</f>
        <v/>
      </c>
      <c r="L1092" s="170">
        <f>Tabela10[[#This Row],[DIFERENÇA M²]]/Tabela10[[#This Row],[M² Da chapa]]</f>
        <v/>
      </c>
    </row>
    <row r="1093">
      <c r="A1093" s="6" t="n">
        <v>46239</v>
      </c>
      <c r="B1093" s="8" t="inlineStr">
        <is>
          <t>N2608803</t>
        </is>
      </c>
      <c r="C1093" s="168">
        <f>VLOOKUP(LEFT(B1093,1),Tabela5[],2,0)</f>
        <v/>
      </c>
      <c r="D1093" s="57" t="inlineStr">
        <is>
          <t>MDF - 15MM</t>
        </is>
      </c>
      <c r="E1093" s="169">
        <f>VLOOKUP(Tabela10[[#This Row],[Tipo de Chapa]],Tabela11[],2,FALSE)</f>
        <v/>
      </c>
      <c r="F1093" s="151" t="n">
        <v>348</v>
      </c>
      <c r="G1093" s="152" t="n">
        <v>0.05</v>
      </c>
      <c r="H1093" s="170">
        <f>Tabela10[[#This Row],[M² Da chapa]]*Tabela10[[#This Row],[Qtde Chapas
Liberadas]]</f>
        <v/>
      </c>
      <c r="J1093" s="59">
        <f>Tabela10[[#This Row],[ERP]]/Tabela10[[#This Row],[M² Da chapa]]</f>
        <v/>
      </c>
      <c r="K1093" s="170">
        <f>Tabela10[[#This Row],[M² CHAPAS]]-Tabela10[[#This Row],[ERP]]</f>
        <v/>
      </c>
      <c r="L1093" s="170">
        <f>Tabela10[[#This Row],[DIFERENÇA M²]]/Tabela10[[#This Row],[M² Da chapa]]</f>
        <v/>
      </c>
    </row>
    <row r="1094" hidden="1">
      <c r="A1094" s="6" t="n">
        <v>46239</v>
      </c>
      <c r="B1094" s="8" t="inlineStr">
        <is>
          <t>M26039</t>
        </is>
      </c>
      <c r="C1094" s="168">
        <f>VLOOKUP(LEFT(B1094,1),Tabela5[],2,0)</f>
        <v/>
      </c>
      <c r="D1094" s="57" t="inlineStr">
        <is>
          <t>EUCADUR NT - 2,5MM</t>
        </is>
      </c>
      <c r="E1094" s="169">
        <f>VLOOKUP(Tabela10[[#This Row],[Tipo de Chapa]],Tabela11[],2,FALSE)</f>
        <v/>
      </c>
      <c r="F1094" s="151" t="n">
        <v>290</v>
      </c>
      <c r="G1094" s="152" t="n">
        <v>0.0663</v>
      </c>
      <c r="H1094" s="170">
        <f>Tabela10[[#This Row],[M² Da chapa]]*Tabela10[[#This Row],[Qtde Chapas
Liberadas]]</f>
        <v/>
      </c>
      <c r="J1094" s="59">
        <f>Tabela10[[#This Row],[ERP]]/Tabela10[[#This Row],[M² Da chapa]]</f>
        <v/>
      </c>
      <c r="K1094" s="170">
        <f>Tabela10[[#This Row],[M² CHAPAS]]-Tabela10[[#This Row],[ERP]]</f>
        <v/>
      </c>
      <c r="L1094" s="170">
        <f>Tabela10[[#This Row],[DIFERENÇA M²]]/Tabela10[[#This Row],[M² Da chapa]]</f>
        <v/>
      </c>
    </row>
    <row r="1095" hidden="1">
      <c r="A1095" s="6" t="n">
        <v>46239</v>
      </c>
      <c r="B1095" s="8" t="inlineStr">
        <is>
          <t>I26023</t>
        </is>
      </c>
      <c r="C1095" s="168">
        <f>VLOOKUP(LEFT(B1095,1),Tabela5[],2,0)</f>
        <v/>
      </c>
      <c r="D1095" s="57" t="inlineStr">
        <is>
          <t>CAPA MDF - 15MM</t>
        </is>
      </c>
      <c r="E1095" s="169">
        <f>VLOOKUP(Tabela10[[#This Row],[Tipo de Chapa]],Tabela11[],2,FALSE)</f>
        <v/>
      </c>
      <c r="F1095" s="151" t="n">
        <v>0</v>
      </c>
      <c r="G1095" s="152" t="n">
        <v>0</v>
      </c>
      <c r="H1095" s="170">
        <f>Tabela10[[#This Row],[M² Da chapa]]*Tabela10[[#This Row],[Qtde Chapas
Liberadas]]</f>
        <v/>
      </c>
      <c r="J1095" s="59">
        <f>Tabela10[[#This Row],[ERP]]/Tabela10[[#This Row],[M² Da chapa]]</f>
        <v/>
      </c>
      <c r="K1095" s="170">
        <f>Tabela10[[#This Row],[M² CHAPAS]]-Tabela10[[#This Row],[ERP]]</f>
        <v/>
      </c>
      <c r="L1095" s="170">
        <f>Tabela10[[#This Row],[DIFERENÇA M²]]/Tabela10[[#This Row],[M² Da chapa]]</f>
        <v/>
      </c>
    </row>
    <row r="1096" hidden="1">
      <c r="A1096" s="6" t="n">
        <v>46239</v>
      </c>
      <c r="B1096" s="8" t="inlineStr">
        <is>
          <t>M26041</t>
        </is>
      </c>
      <c r="C1096" s="168">
        <f>VLOOKUP(LEFT(B1096,1),Tabela5[],2,0)</f>
        <v/>
      </c>
      <c r="D1096" s="57" t="inlineStr">
        <is>
          <t>MDF - 15MM</t>
        </is>
      </c>
      <c r="E1096" s="169">
        <f>VLOOKUP(Tabela10[[#This Row],[Tipo de Chapa]],Tabela11[],2,FALSE)</f>
        <v/>
      </c>
      <c r="F1096" s="151" t="n">
        <v>316</v>
      </c>
      <c r="G1096" s="152" t="n">
        <v>0.065</v>
      </c>
      <c r="H1096" s="170">
        <f>Tabela10[[#This Row],[M² Da chapa]]*Tabela10[[#This Row],[Qtde Chapas
Liberadas]]</f>
        <v/>
      </c>
      <c r="J1096" s="59">
        <f>Tabela10[[#This Row],[ERP]]/Tabela10[[#This Row],[M² Da chapa]]</f>
        <v/>
      </c>
      <c r="K1096" s="170">
        <f>Tabela10[[#This Row],[M² CHAPAS]]-Tabela10[[#This Row],[ERP]]</f>
        <v/>
      </c>
      <c r="L1096" s="170">
        <f>Tabela10[[#This Row],[DIFERENÇA M²]]/Tabela10[[#This Row],[M² Da chapa]]</f>
        <v/>
      </c>
    </row>
    <row r="1097">
      <c r="A1097" s="6" t="n">
        <v>46240</v>
      </c>
      <c r="B1097" s="8" t="inlineStr">
        <is>
          <t>N26089</t>
        </is>
      </c>
      <c r="C1097" s="168">
        <f>VLOOKUP(LEFT(B1097,1),Tabela5[],2,0)</f>
        <v/>
      </c>
      <c r="D1097" s="57" t="inlineStr">
        <is>
          <t>EUCADUR FRJ - 2,5MM</t>
        </is>
      </c>
      <c r="E1097" s="169">
        <f>VLOOKUP(Tabela10[[#This Row],[Tipo de Chapa]],Tabela11[],2,FALSE)</f>
        <v/>
      </c>
      <c r="F1097" s="151" t="n">
        <v>101</v>
      </c>
      <c r="G1097" s="152" t="n">
        <v>0.063</v>
      </c>
      <c r="H1097" s="170">
        <f>Tabela10[[#This Row],[M² Da chapa]]*Tabela10[[#This Row],[Qtde Chapas
Liberadas]]</f>
        <v/>
      </c>
      <c r="J1097" s="59">
        <f>Tabela10[[#This Row],[ERP]]/Tabela10[[#This Row],[M² Da chapa]]</f>
        <v/>
      </c>
      <c r="K1097" s="170">
        <f>Tabela10[[#This Row],[M² CHAPAS]]-Tabela10[[#This Row],[ERP]]</f>
        <v/>
      </c>
      <c r="L1097" s="170">
        <f>Tabela10[[#This Row],[DIFERENÇA M²]]/Tabela10[[#This Row],[M² Da chapa]]</f>
        <v/>
      </c>
    </row>
    <row r="1098" hidden="1">
      <c r="A1098" s="6" t="n">
        <v>46240</v>
      </c>
      <c r="B1098" s="8" t="inlineStr">
        <is>
          <t>M26038</t>
        </is>
      </c>
      <c r="C1098" s="168">
        <f>VLOOKUP(LEFT(B1098,1),Tabela5[],2,0)</f>
        <v/>
      </c>
      <c r="D1098" s="57" t="inlineStr">
        <is>
          <t>CAPA MDF - 15MM</t>
        </is>
      </c>
      <c r="E1098" s="169">
        <f>VLOOKUP(Tabela10[[#This Row],[Tipo de Chapa]],Tabela11[],2,FALSE)</f>
        <v/>
      </c>
      <c r="F1098" s="151" t="n">
        <v>12</v>
      </c>
      <c r="G1098" s="152" t="n">
        <v>0.08550000000000001</v>
      </c>
      <c r="H1098" s="170">
        <f>Tabela10[[#This Row],[M² Da chapa]]*Tabela10[[#This Row],[Qtde Chapas
Liberadas]]</f>
        <v/>
      </c>
      <c r="J1098" s="59">
        <f>Tabela10[[#This Row],[ERP]]/Tabela10[[#This Row],[M² Da chapa]]</f>
        <v/>
      </c>
      <c r="K1098" s="170">
        <f>Tabela10[[#This Row],[M² CHAPAS]]-Tabela10[[#This Row],[ERP]]</f>
        <v/>
      </c>
      <c r="L1098" s="170">
        <f>Tabela10[[#This Row],[DIFERENÇA M²]]/Tabela10[[#This Row],[M² Da chapa]]</f>
        <v/>
      </c>
    </row>
    <row r="1099" hidden="1">
      <c r="A1099" s="6" t="n">
        <v>46240</v>
      </c>
      <c r="B1099" s="8" t="inlineStr">
        <is>
          <t>M26039</t>
        </is>
      </c>
      <c r="C1099" s="168">
        <f>VLOOKUP(LEFT(B1099,1),Tabela5[],2,0)</f>
        <v/>
      </c>
      <c r="D1099" s="57" t="inlineStr">
        <is>
          <t>CAPA MDF - 15MM</t>
        </is>
      </c>
      <c r="E1099" s="169">
        <f>VLOOKUP(Tabela10[[#This Row],[Tipo de Chapa]],Tabela11[],2,FALSE)</f>
        <v/>
      </c>
      <c r="F1099" s="151" t="n">
        <v>2</v>
      </c>
      <c r="G1099" s="152" t="n">
        <v>0.1027</v>
      </c>
      <c r="H1099" s="170">
        <f>Tabela10[[#This Row],[M² Da chapa]]*Tabela10[[#This Row],[Qtde Chapas
Liberadas]]</f>
        <v/>
      </c>
      <c r="J1099" s="59">
        <f>Tabela10[[#This Row],[ERP]]/Tabela10[[#This Row],[M² Da chapa]]</f>
        <v/>
      </c>
      <c r="K1099" s="170">
        <f>Tabela10[[#This Row],[M² CHAPAS]]-Tabela10[[#This Row],[ERP]]</f>
        <v/>
      </c>
      <c r="L1099" s="170">
        <f>Tabela10[[#This Row],[DIFERENÇA M²]]/Tabela10[[#This Row],[M² Da chapa]]</f>
        <v/>
      </c>
    </row>
    <row r="1100">
      <c r="A1100" s="6" t="n">
        <v>46240</v>
      </c>
      <c r="B1100" s="8" t="inlineStr">
        <is>
          <t>N2609001</t>
        </is>
      </c>
      <c r="C1100" s="168">
        <f>VLOOKUP(LEFT(B1100,1),Tabela5[],2,0)</f>
        <v/>
      </c>
      <c r="D1100" s="57" t="inlineStr">
        <is>
          <t>MDF - 9MM</t>
        </is>
      </c>
      <c r="E1100" s="169">
        <f>VLOOKUP(Tabela10[[#This Row],[Tipo de Chapa]],Tabela11[],2,FALSE)</f>
        <v/>
      </c>
      <c r="F1100" s="151" t="n">
        <v>64</v>
      </c>
      <c r="G1100" s="152" t="n">
        <v>0.0798</v>
      </c>
      <c r="H1100" s="170">
        <f>Tabela10[[#This Row],[M² Da chapa]]*Tabela10[[#This Row],[Qtde Chapas
Liberadas]]</f>
        <v/>
      </c>
      <c r="J1100" s="59">
        <f>Tabela10[[#This Row],[ERP]]/Tabela10[[#This Row],[M² Da chapa]]</f>
        <v/>
      </c>
      <c r="K1100" s="170">
        <f>Tabela10[[#This Row],[M² CHAPAS]]-Tabela10[[#This Row],[ERP]]</f>
        <v/>
      </c>
      <c r="L1100" s="170">
        <f>Tabela10[[#This Row],[DIFERENÇA M²]]/Tabela10[[#This Row],[M² Da chapa]]</f>
        <v/>
      </c>
    </row>
    <row r="1101" hidden="1" ht="28.8" customHeight="1">
      <c r="A1101" s="6" t="n">
        <v>46240</v>
      </c>
      <c r="B1101" s="8" t="inlineStr">
        <is>
          <t>M2604203 | M2604204 | M2604205 | M2604206 | M2604207</t>
        </is>
      </c>
      <c r="C1101" s="168">
        <f>VLOOKUP(LEFT(B1101,1),Tabela5[],2,0)</f>
        <v/>
      </c>
      <c r="D1101" s="57" t="inlineStr">
        <is>
          <t>MDF - 15MM</t>
        </is>
      </c>
      <c r="E1101" s="169">
        <f>VLOOKUP(Tabela10[[#This Row],[Tipo de Chapa]],Tabela11[],2,FALSE)</f>
        <v/>
      </c>
      <c r="F1101" s="151" t="n">
        <v>243</v>
      </c>
      <c r="G1101" s="152" t="n">
        <v>0.07149999999999999</v>
      </c>
      <c r="H1101" s="170">
        <f>Tabela10[[#This Row],[M² Da chapa]]*Tabela10[[#This Row],[Qtde Chapas
Liberadas]]</f>
        <v/>
      </c>
      <c r="J1101" s="59">
        <f>Tabela10[[#This Row],[ERP]]/Tabela10[[#This Row],[M² Da chapa]]</f>
        <v/>
      </c>
      <c r="K1101" s="170">
        <f>Tabela10[[#This Row],[M² CHAPAS]]-Tabela10[[#This Row],[ERP]]</f>
        <v/>
      </c>
      <c r="L1101" s="170">
        <f>Tabela10[[#This Row],[DIFERENÇA M²]]/Tabela10[[#This Row],[M² Da chapa]]</f>
        <v/>
      </c>
    </row>
    <row r="1102">
      <c r="A1102" s="6" t="n">
        <v>46240</v>
      </c>
      <c r="B1102" s="8" t="inlineStr">
        <is>
          <t>N2608903</t>
        </is>
      </c>
      <c r="C1102" s="168">
        <f>VLOOKUP(LEFT(B1102,1),Tabela5[],2,0)</f>
        <v/>
      </c>
      <c r="D1102" s="57" t="inlineStr">
        <is>
          <t>MDF - 15MM</t>
        </is>
      </c>
      <c r="E1102" s="169">
        <f>VLOOKUP(Tabela10[[#This Row],[Tipo de Chapa]],Tabela11[],2,FALSE)</f>
        <v/>
      </c>
      <c r="F1102" s="151" t="n">
        <v>259</v>
      </c>
      <c r="G1102" s="152" t="n">
        <v>0.0546</v>
      </c>
      <c r="H1102" s="170">
        <f>Tabela10[[#This Row],[M² Da chapa]]*Tabela10[[#This Row],[Qtde Chapas
Liberadas]]</f>
        <v/>
      </c>
      <c r="J1102" s="59">
        <f>Tabela10[[#This Row],[ERP]]/Tabela10[[#This Row],[M² Da chapa]]</f>
        <v/>
      </c>
      <c r="K1102" s="170">
        <f>Tabela10[[#This Row],[M² CHAPAS]]-Tabela10[[#This Row],[ERP]]</f>
        <v/>
      </c>
      <c r="L1102" s="170">
        <f>Tabela10[[#This Row],[DIFERENÇA M²]]/Tabela10[[#This Row],[M² Da chapa]]</f>
        <v/>
      </c>
    </row>
    <row r="1103">
      <c r="A1103" s="6" t="n">
        <v>46241</v>
      </c>
      <c r="B1103" s="8" t="inlineStr">
        <is>
          <t>N2608902</t>
        </is>
      </c>
      <c r="C1103" s="168">
        <f>VLOOKUP(LEFT(B1103,1),Tabela5[],2,0)</f>
        <v/>
      </c>
      <c r="D1103" s="57" t="inlineStr">
        <is>
          <t>MDF - 15MM</t>
        </is>
      </c>
      <c r="E1103" s="169">
        <f>VLOOKUP(Tabela10[[#This Row],[Tipo de Chapa]],Tabela11[],2,FALSE)</f>
        <v/>
      </c>
      <c r="F1103" s="151" t="n">
        <v>51</v>
      </c>
      <c r="G1103" s="152" t="n">
        <v>0.0655</v>
      </c>
      <c r="H1103" s="170">
        <f>Tabela10[[#This Row],[M² Da chapa]]*Tabela10[[#This Row],[Qtde Chapas
Liberadas]]</f>
        <v/>
      </c>
      <c r="J1103" s="59">
        <f>Tabela10[[#This Row],[ERP]]/Tabela10[[#This Row],[M² Da chapa]]</f>
        <v/>
      </c>
      <c r="K1103" s="170">
        <f>Tabela10[[#This Row],[M² CHAPAS]]-Tabela10[[#This Row],[ERP]]</f>
        <v/>
      </c>
      <c r="L1103" s="170">
        <f>Tabela10[[#This Row],[DIFERENÇA M²]]/Tabela10[[#This Row],[M² Da chapa]]</f>
        <v/>
      </c>
    </row>
    <row r="1104">
      <c r="A1104" s="6" t="n">
        <v>46241</v>
      </c>
      <c r="B1104" s="8" t="inlineStr">
        <is>
          <t>N2608901</t>
        </is>
      </c>
      <c r="C1104" s="168">
        <f>VLOOKUP(LEFT(B1104,1),Tabela5[],2,0)</f>
        <v/>
      </c>
      <c r="D1104" s="57" t="inlineStr">
        <is>
          <t>MDF - 15MM</t>
        </is>
      </c>
      <c r="E1104" s="169">
        <f>VLOOKUP(Tabela10[[#This Row],[Tipo de Chapa]],Tabela11[],2,FALSE)</f>
        <v/>
      </c>
      <c r="F1104" s="151" t="n">
        <v>47</v>
      </c>
      <c r="G1104" s="152" t="n">
        <v>0.0615</v>
      </c>
      <c r="H1104" s="170">
        <f>Tabela10[[#This Row],[M² Da chapa]]*Tabela10[[#This Row],[Qtde Chapas
Liberadas]]</f>
        <v/>
      </c>
      <c r="J1104" s="59">
        <f>Tabela10[[#This Row],[ERP]]/Tabela10[[#This Row],[M² Da chapa]]</f>
        <v/>
      </c>
      <c r="K1104" s="170">
        <f>Tabela10[[#This Row],[M² CHAPAS]]-Tabela10[[#This Row],[ERP]]</f>
        <v/>
      </c>
      <c r="L1104" s="170">
        <f>Tabela10[[#This Row],[DIFERENÇA M²]]/Tabela10[[#This Row],[M² Da chapa]]</f>
        <v/>
      </c>
    </row>
    <row r="1105">
      <c r="A1105" s="6" t="n">
        <v>46241</v>
      </c>
      <c r="B1105" s="8" t="inlineStr">
        <is>
          <t>N2608904</t>
        </is>
      </c>
      <c r="C1105" s="168">
        <f>VLOOKUP(LEFT(B1105,1),Tabela5[],2,0)</f>
        <v/>
      </c>
      <c r="D1105" s="57" t="inlineStr">
        <is>
          <t>MDF - 15MM</t>
        </is>
      </c>
      <c r="E1105" s="169">
        <f>VLOOKUP(Tabela10[[#This Row],[Tipo de Chapa]],Tabela11[],2,FALSE)</f>
        <v/>
      </c>
      <c r="F1105" s="151" t="n">
        <v>113</v>
      </c>
      <c r="G1105" s="152" t="n">
        <v>0.0593</v>
      </c>
      <c r="H1105" s="170">
        <f>Tabela10[[#This Row],[M² Da chapa]]*Tabela10[[#This Row],[Qtde Chapas
Liberadas]]</f>
        <v/>
      </c>
      <c r="J1105" s="59">
        <f>Tabela10[[#This Row],[ERP]]/Tabela10[[#This Row],[M² Da chapa]]</f>
        <v/>
      </c>
      <c r="K1105" s="170">
        <f>Tabela10[[#This Row],[M² CHAPAS]]-Tabela10[[#This Row],[ERP]]</f>
        <v/>
      </c>
      <c r="L1105" s="170">
        <f>Tabela10[[#This Row],[DIFERENÇA M²]]/Tabela10[[#This Row],[M² Da chapa]]</f>
        <v/>
      </c>
    </row>
    <row r="1106" hidden="1">
      <c r="A1106" s="6" t="n">
        <v>46241</v>
      </c>
      <c r="B1106" s="8" t="inlineStr">
        <is>
          <t>M2604308 | M2604307</t>
        </is>
      </c>
      <c r="C1106" s="168">
        <f>VLOOKUP(LEFT(B1106,1),Tabela5[],2,0)</f>
        <v/>
      </c>
      <c r="D1106" s="57" t="inlineStr">
        <is>
          <t>MDF - 15MM</t>
        </is>
      </c>
      <c r="E1106" s="169">
        <f>VLOOKUP(Tabela10[[#This Row],[Tipo de Chapa]],Tabela11[],2,FALSE)</f>
        <v/>
      </c>
      <c r="F1106" s="151" t="n">
        <v>154</v>
      </c>
      <c r="G1106" s="152" t="n">
        <v>0.0623</v>
      </c>
      <c r="H1106" s="170">
        <f>Tabela10[[#This Row],[M² Da chapa]]*Tabela10[[#This Row],[Qtde Chapas
Liberadas]]</f>
        <v/>
      </c>
      <c r="J1106" s="59">
        <f>Tabela10[[#This Row],[ERP]]/Tabela10[[#This Row],[M² Da chapa]]</f>
        <v/>
      </c>
      <c r="K1106" s="170">
        <f>Tabela10[[#This Row],[M² CHAPAS]]-Tabela10[[#This Row],[ERP]]</f>
        <v/>
      </c>
      <c r="L1106" s="170">
        <f>Tabela10[[#This Row],[DIFERENÇA M²]]/Tabela10[[#This Row],[M² Da chapa]]</f>
        <v/>
      </c>
    </row>
    <row r="1107" hidden="1">
      <c r="A1107" s="6" t="n">
        <v>46241</v>
      </c>
      <c r="B1107" s="8" t="inlineStr">
        <is>
          <t>M2604201 | M2604202</t>
        </is>
      </c>
      <c r="C1107" s="168">
        <f>VLOOKUP(LEFT(B1107,1),Tabela5[],2,0)</f>
        <v/>
      </c>
      <c r="D1107" s="57" t="inlineStr">
        <is>
          <t>MDF - 15MM</t>
        </is>
      </c>
      <c r="E1107" s="169">
        <f>VLOOKUP(Tabela10[[#This Row],[Tipo de Chapa]],Tabela11[],2,FALSE)</f>
        <v/>
      </c>
      <c r="F1107" s="151" t="n">
        <v>95</v>
      </c>
      <c r="G1107" s="152" t="n">
        <v>0.0692</v>
      </c>
      <c r="H1107" s="170">
        <f>Tabela10[[#This Row],[M² Da chapa]]*Tabela10[[#This Row],[Qtde Chapas
Liberadas]]</f>
        <v/>
      </c>
      <c r="J1107" s="59">
        <f>Tabela10[[#This Row],[ERP]]/Tabela10[[#This Row],[M² Da chapa]]</f>
        <v/>
      </c>
      <c r="K1107" s="170">
        <f>Tabela10[[#This Row],[M² CHAPAS]]-Tabela10[[#This Row],[ERP]]</f>
        <v/>
      </c>
      <c r="L1107" s="170">
        <f>Tabela10[[#This Row],[DIFERENÇA M²]]/Tabela10[[#This Row],[M² Da chapa]]</f>
        <v/>
      </c>
    </row>
    <row r="1108">
      <c r="A1108" s="6" t="n">
        <v>46240</v>
      </c>
      <c r="B1108" s="90" t="inlineStr">
        <is>
          <t>N2609001</t>
        </is>
      </c>
      <c r="C1108" s="168">
        <f>VLOOKUP(LEFT(B1108,1),Tabela5[],2,0)</f>
        <v/>
      </c>
      <c r="D1108" s="57" t="inlineStr">
        <is>
          <t>TIRA 9MM - 1850X165X9</t>
        </is>
      </c>
      <c r="E1108" s="169">
        <f>VLOOKUP(Tabela10[[#This Row],[Tipo de Chapa]],Tabela11[],2,FALSE)</f>
        <v/>
      </c>
      <c r="F1108" s="151" t="n">
        <v>50</v>
      </c>
      <c r="G1108" s="152" t="n">
        <v>0.0584</v>
      </c>
      <c r="H1108" s="170">
        <f>Tabela10[[#This Row],[M² Da chapa]]*Tabela10[[#This Row],[Qtde Chapas
Liberadas]]</f>
        <v/>
      </c>
      <c r="J1108" s="59">
        <f>Tabela10[[#This Row],[ERP]]/Tabela10[[#This Row],[M² Da chapa]]</f>
        <v/>
      </c>
      <c r="K1108" s="170">
        <f>Tabela10[[#This Row],[M² CHAPAS]]-Tabela10[[#This Row],[ERP]]</f>
        <v/>
      </c>
      <c r="L1108" s="170">
        <f>Tabela10[[#This Row],[DIFERENÇA M²]]/Tabela10[[#This Row],[M² Da chapa]]</f>
        <v/>
      </c>
    </row>
    <row r="1109">
      <c r="A1109" s="6" t="n">
        <v>46241</v>
      </c>
      <c r="B1109" s="8" t="inlineStr">
        <is>
          <t>N2609001</t>
        </is>
      </c>
      <c r="C1109" s="168">
        <f>VLOOKUP(LEFT(B1109,1),Tabela5[],2,0)</f>
        <v/>
      </c>
      <c r="D1109" s="57" t="inlineStr">
        <is>
          <t>MDF - 15MM</t>
        </is>
      </c>
      <c r="E1109" s="169">
        <f>VLOOKUP(Tabela10[[#This Row],[Tipo de Chapa]],Tabela11[],2,FALSE)</f>
        <v/>
      </c>
      <c r="F1109" s="151" t="n">
        <v>125</v>
      </c>
      <c r="G1109" s="152" t="n">
        <v>0.0608</v>
      </c>
      <c r="H1109" s="170">
        <f>Tabela10[[#This Row],[M² Da chapa]]*Tabela10[[#This Row],[Qtde Chapas
Liberadas]]</f>
        <v/>
      </c>
      <c r="J1109" s="59">
        <f>Tabela10[[#This Row],[ERP]]/Tabela10[[#This Row],[M² Da chapa]]</f>
        <v/>
      </c>
      <c r="K1109" s="170">
        <f>Tabela10[[#This Row],[M² CHAPAS]]-Tabela10[[#This Row],[ERP]]</f>
        <v/>
      </c>
      <c r="L1109" s="170">
        <f>Tabela10[[#This Row],[DIFERENÇA M²]]/Tabela10[[#This Row],[M² Da chapa]]</f>
        <v/>
      </c>
    </row>
    <row r="1110">
      <c r="A1110" s="6" t="n">
        <v>46241</v>
      </c>
      <c r="B1110" s="8" t="inlineStr">
        <is>
          <t>N2609605</t>
        </is>
      </c>
      <c r="C1110" s="168">
        <f>VLOOKUP(LEFT(B1110,1),Tabela5[],2,0)</f>
        <v/>
      </c>
      <c r="D1110" s="57" t="inlineStr">
        <is>
          <t>MDF - 15MM</t>
        </is>
      </c>
      <c r="E1110" s="169">
        <f>VLOOKUP(Tabela10[[#This Row],[Tipo de Chapa]],Tabela11[],2,FALSE)</f>
        <v/>
      </c>
      <c r="F1110" s="151" t="n">
        <v>28</v>
      </c>
      <c r="G1110" s="152" t="n">
        <v>0.0427</v>
      </c>
      <c r="H1110" s="170">
        <f>Tabela10[[#This Row],[M² Da chapa]]*Tabela10[[#This Row],[Qtde Chapas
Liberadas]]</f>
        <v/>
      </c>
      <c r="J1110" s="59">
        <f>Tabela10[[#This Row],[ERP]]/Tabela10[[#This Row],[M² Da chapa]]</f>
        <v/>
      </c>
      <c r="K1110" s="170">
        <f>Tabela10[[#This Row],[M² CHAPAS]]-Tabela10[[#This Row],[ERP]]</f>
        <v/>
      </c>
      <c r="L1110" s="170">
        <f>Tabela10[[#This Row],[DIFERENÇA M²]]/Tabela10[[#This Row],[M² Da chapa]]</f>
        <v/>
      </c>
    </row>
    <row r="1111">
      <c r="A1111" s="6" t="n">
        <v>46241</v>
      </c>
      <c r="B1111" s="8" t="inlineStr">
        <is>
          <t>N2610103</t>
        </is>
      </c>
      <c r="C1111" s="168">
        <f>VLOOKUP(LEFT(B1111,1),Tabela5[],2,0)</f>
        <v/>
      </c>
      <c r="D1111" s="57" t="inlineStr">
        <is>
          <t>MDF - 15MM</t>
        </is>
      </c>
      <c r="E1111" s="169">
        <f>VLOOKUP(Tabela10[[#This Row],[Tipo de Chapa]],Tabela11[],2,FALSE)</f>
        <v/>
      </c>
      <c r="F1111" s="151" t="n">
        <v>358</v>
      </c>
      <c r="G1111" s="152" t="n">
        <v>0.0427</v>
      </c>
      <c r="H1111" s="170">
        <f>Tabela10[[#This Row],[M² Da chapa]]*Tabela10[[#This Row],[Qtde Chapas
Liberadas]]</f>
        <v/>
      </c>
      <c r="J1111" s="59">
        <f>Tabela10[[#This Row],[ERP]]/Tabela10[[#This Row],[M² Da chapa]]</f>
        <v/>
      </c>
      <c r="K1111" s="170">
        <f>Tabela10[[#This Row],[M² CHAPAS]]-Tabela10[[#This Row],[ERP]]</f>
        <v/>
      </c>
      <c r="L1111" s="170">
        <f>Tabela10[[#This Row],[DIFERENÇA M²]]/Tabela10[[#This Row],[M² Da chapa]]</f>
        <v/>
      </c>
    </row>
    <row r="1112">
      <c r="A1112" s="6" t="n">
        <v>46244</v>
      </c>
      <c r="B1112" s="8" t="inlineStr">
        <is>
          <t>N2608904</t>
        </is>
      </c>
      <c r="C1112" s="168">
        <f>VLOOKUP(LEFT(B1112,1),Tabela5[],2,0)</f>
        <v/>
      </c>
      <c r="D1112" s="57" t="inlineStr">
        <is>
          <t>EUCADUR NT - 2,5MM</t>
        </is>
      </c>
      <c r="E1112" s="169">
        <f>VLOOKUP(Tabela10[[#This Row],[Tipo de Chapa]],Tabela11[],2,FALSE)</f>
        <v/>
      </c>
      <c r="F1112" s="151">
        <f>150+15</f>
        <v/>
      </c>
      <c r="G1112" s="152" t="n">
        <v>0.0631</v>
      </c>
      <c r="H1112" s="170">
        <f>Tabela10[[#This Row],[M² Da chapa]]*Tabela10[[#This Row],[Qtde Chapas
Liberadas]]</f>
        <v/>
      </c>
      <c r="J1112" s="59">
        <f>Tabela10[[#This Row],[ERP]]/Tabela10[[#This Row],[M² Da chapa]]</f>
        <v/>
      </c>
      <c r="K1112" s="170">
        <f>Tabela10[[#This Row],[M² CHAPAS]]-Tabela10[[#This Row],[ERP]]</f>
        <v/>
      </c>
      <c r="L1112" s="170">
        <f>Tabela10[[#This Row],[DIFERENÇA M²]]/Tabela10[[#This Row],[M² Da chapa]]</f>
        <v/>
      </c>
    </row>
    <row r="1113" hidden="1">
      <c r="A1113" s="6" t="n">
        <v>46244</v>
      </c>
      <c r="B1113" s="8" t="inlineStr">
        <is>
          <t>M2604302 | M2604301</t>
        </is>
      </c>
      <c r="C1113" s="168">
        <f>VLOOKUP(LEFT(B1113,1),Tabela5[],2,0)</f>
        <v/>
      </c>
      <c r="D1113" s="57" t="inlineStr">
        <is>
          <t>MDF - 15MM</t>
        </is>
      </c>
      <c r="E1113" s="169">
        <f>VLOOKUP(Tabela10[[#This Row],[Tipo de Chapa]],Tabela11[],2,FALSE)</f>
        <v/>
      </c>
      <c r="F1113" s="151" t="n">
        <v>88</v>
      </c>
      <c r="G1113" s="152" t="n">
        <v>0.0641</v>
      </c>
      <c r="H1113" s="170">
        <f>Tabela10[[#This Row],[M² Da chapa]]*Tabela10[[#This Row],[Qtde Chapas
Liberadas]]</f>
        <v/>
      </c>
      <c r="J1113" s="59">
        <f>Tabela10[[#This Row],[ERP]]/Tabela10[[#This Row],[M² Da chapa]]</f>
        <v/>
      </c>
      <c r="K1113" s="170">
        <f>Tabela10[[#This Row],[M² CHAPAS]]-Tabela10[[#This Row],[ERP]]</f>
        <v/>
      </c>
      <c r="L1113" s="170">
        <f>Tabela10[[#This Row],[DIFERENÇA M²]]/Tabela10[[#This Row],[M² Da chapa]]</f>
        <v/>
      </c>
    </row>
    <row r="1114">
      <c r="A1114" s="6" t="n">
        <v>46244</v>
      </c>
      <c r="B1114" s="8" t="inlineStr">
        <is>
          <t>N2609402</t>
        </is>
      </c>
      <c r="C1114" s="168">
        <f>VLOOKUP(LEFT(B1114,1),Tabela5[],2,0)</f>
        <v/>
      </c>
      <c r="D1114" s="57" t="inlineStr">
        <is>
          <t>MDF - 15MM</t>
        </is>
      </c>
      <c r="E1114" s="169">
        <f>VLOOKUP(Tabela10[[#This Row],[Tipo de Chapa]],Tabela11[],2,FALSE)</f>
        <v/>
      </c>
      <c r="F1114" s="151" t="n">
        <v>16</v>
      </c>
      <c r="G1114" s="152" t="n">
        <v>0.063</v>
      </c>
      <c r="H1114" s="170">
        <f>Tabela10[[#This Row],[M² Da chapa]]*Tabela10[[#This Row],[Qtde Chapas
Liberadas]]</f>
        <v/>
      </c>
      <c r="J1114" s="59">
        <f>Tabela10[[#This Row],[ERP]]/Tabela10[[#This Row],[M² Da chapa]]</f>
        <v/>
      </c>
      <c r="K1114" s="170">
        <f>Tabela10[[#This Row],[M² CHAPAS]]-Tabela10[[#This Row],[ERP]]</f>
        <v/>
      </c>
      <c r="L1114" s="170">
        <f>Tabela10[[#This Row],[DIFERENÇA M²]]/Tabela10[[#This Row],[M² Da chapa]]</f>
        <v/>
      </c>
    </row>
    <row r="1115">
      <c r="A1115" s="6" t="n">
        <v>46244</v>
      </c>
      <c r="B1115" s="8" t="inlineStr">
        <is>
          <t>N2609403</t>
        </is>
      </c>
      <c r="C1115" s="168">
        <f>VLOOKUP(LEFT(B1115,1),Tabela5[],2,0)</f>
        <v/>
      </c>
      <c r="D1115" s="57" t="inlineStr">
        <is>
          <t>MDF - 15MM</t>
        </is>
      </c>
      <c r="E1115" s="169">
        <f>VLOOKUP(Tabela10[[#This Row],[Tipo de Chapa]],Tabela11[],2,FALSE)</f>
        <v/>
      </c>
      <c r="F1115" s="147">
        <f>74+32+5</f>
        <v/>
      </c>
      <c r="G1115" s="152" t="n">
        <v>0.0638</v>
      </c>
      <c r="H1115" s="170">
        <f>Tabela10[[#This Row],[M² Da chapa]]*Tabela10[[#This Row],[Qtde Chapas
Liberadas]]</f>
        <v/>
      </c>
      <c r="J1115" s="59">
        <f>Tabela10[[#This Row],[ERP]]/Tabela10[[#This Row],[M² Da chapa]]</f>
        <v/>
      </c>
      <c r="K1115" s="170">
        <f>Tabela10[[#This Row],[M² CHAPAS]]-Tabela10[[#This Row],[ERP]]</f>
        <v/>
      </c>
      <c r="L1115" s="170">
        <f>Tabela10[[#This Row],[DIFERENÇA M²]]/Tabela10[[#This Row],[M² Da chapa]]</f>
        <v/>
      </c>
    </row>
    <row r="1116">
      <c r="A1116" s="6" t="n">
        <v>46244</v>
      </c>
      <c r="B1116" s="8" t="inlineStr">
        <is>
          <t>N2609001</t>
        </is>
      </c>
      <c r="C1116" s="168">
        <f>VLOOKUP(LEFT(B1116,1),Tabela5[],2,0)</f>
        <v/>
      </c>
      <c r="D1116" s="57" t="inlineStr">
        <is>
          <t>MDF - 15MM</t>
        </is>
      </c>
      <c r="E1116" s="169">
        <f>VLOOKUP(Tabela10[[#This Row],[Tipo de Chapa]],Tabela11[],2,FALSE)</f>
        <v/>
      </c>
      <c r="F1116" s="151" t="n">
        <v>360</v>
      </c>
      <c r="G1116" s="152" t="n">
        <v>0.0462</v>
      </c>
      <c r="H1116" s="170">
        <f>Tabela10[[#This Row],[M² Da chapa]]*Tabela10[[#This Row],[Qtde Chapas
Liberadas]]</f>
        <v/>
      </c>
      <c r="J1116" s="59">
        <f>Tabela10[[#This Row],[ERP]]/Tabela10[[#This Row],[M² Da chapa]]</f>
        <v/>
      </c>
      <c r="K1116" s="170">
        <f>Tabela10[[#This Row],[M² CHAPAS]]-Tabela10[[#This Row],[ERP]]</f>
        <v/>
      </c>
      <c r="L1116" s="170">
        <f>Tabela10[[#This Row],[DIFERENÇA M²]]/Tabela10[[#This Row],[M² Da chapa]]</f>
        <v/>
      </c>
    </row>
    <row r="1117">
      <c r="A1117" s="6" t="n">
        <v>46244</v>
      </c>
      <c r="B1117" s="8" t="inlineStr">
        <is>
          <t>N2609101</t>
        </is>
      </c>
      <c r="C1117" s="168">
        <f>VLOOKUP(LEFT(B1117,1),Tabela5[],2,0)</f>
        <v/>
      </c>
      <c r="D1117" s="57" t="inlineStr">
        <is>
          <t>EUCADUR NT - 2,5MM</t>
        </is>
      </c>
      <c r="E1117" s="169">
        <f>VLOOKUP(Tabela10[[#This Row],[Tipo de Chapa]],Tabela11[],2,FALSE)</f>
        <v/>
      </c>
      <c r="F1117" s="151" t="n">
        <v>35</v>
      </c>
      <c r="G1117" s="152" t="n">
        <v>0.0688</v>
      </c>
      <c r="H1117" s="170">
        <f>Tabela10[[#This Row],[M² Da chapa]]*Tabela10[[#This Row],[Qtde Chapas
Liberadas]]</f>
        <v/>
      </c>
      <c r="J1117" s="59">
        <f>Tabela10[[#This Row],[ERP]]/Tabela10[[#This Row],[M² Da chapa]]</f>
        <v/>
      </c>
      <c r="K1117" s="170">
        <f>Tabela10[[#This Row],[M² CHAPAS]]-Tabela10[[#This Row],[ERP]]</f>
        <v/>
      </c>
      <c r="L1117" s="170">
        <f>Tabela10[[#This Row],[DIFERENÇA M²]]/Tabela10[[#This Row],[M² Da chapa]]</f>
        <v/>
      </c>
    </row>
    <row r="1118">
      <c r="A1118" s="6" t="n">
        <v>46244</v>
      </c>
      <c r="B1118" s="8" t="inlineStr">
        <is>
          <t>N2609402 | N2609403</t>
        </is>
      </c>
      <c r="C1118" s="168">
        <f>VLOOKUP(LEFT(B1118,1),Tabela5[],2,0)</f>
        <v/>
      </c>
      <c r="D1118" s="57" t="inlineStr">
        <is>
          <t>EUCADUR NT - 2,5MM</t>
        </is>
      </c>
      <c r="E1118" s="169">
        <f>VLOOKUP(Tabela10[[#This Row],[Tipo de Chapa]],Tabela11[],2,FALSE)</f>
        <v/>
      </c>
      <c r="F1118" s="151" t="n">
        <v>54</v>
      </c>
      <c r="G1118" s="152" t="n">
        <v>0.0723</v>
      </c>
      <c r="H1118" s="170">
        <f>Tabela10[[#This Row],[M² Da chapa]]*Tabela10[[#This Row],[Qtde Chapas
Liberadas]]</f>
        <v/>
      </c>
      <c r="J1118" s="59">
        <f>Tabela10[[#This Row],[ERP]]/Tabela10[[#This Row],[M² Da chapa]]</f>
        <v/>
      </c>
      <c r="K1118" s="170">
        <f>Tabela10[[#This Row],[M² CHAPAS]]-Tabela10[[#This Row],[ERP]]</f>
        <v/>
      </c>
      <c r="L1118" s="170">
        <f>Tabela10[[#This Row],[DIFERENÇA M²]]/Tabela10[[#This Row],[M² Da chapa]]</f>
        <v/>
      </c>
    </row>
    <row r="1119">
      <c r="A1119" s="6" t="n">
        <v>46244</v>
      </c>
      <c r="B1119" s="8" t="inlineStr">
        <is>
          <t>N2609001</t>
        </is>
      </c>
      <c r="C1119" s="168">
        <f>VLOOKUP(LEFT(B1119,1),Tabela5[],2,0)</f>
        <v/>
      </c>
      <c r="D1119" s="57" t="inlineStr">
        <is>
          <t>EUCADUR NT - 2,5MM</t>
        </is>
      </c>
      <c r="E1119" s="169">
        <f>VLOOKUP(Tabela10[[#This Row],[Tipo de Chapa]],Tabela11[],2,FALSE)</f>
        <v/>
      </c>
      <c r="F1119" s="147" t="n">
        <v>204</v>
      </c>
      <c r="G1119" s="152" t="n">
        <v>0.0634</v>
      </c>
      <c r="H1119" s="170">
        <f>Tabela10[[#This Row],[M² Da chapa]]*Tabela10[[#This Row],[Qtde Chapas
Liberadas]]</f>
        <v/>
      </c>
      <c r="J1119" s="59">
        <f>Tabela10[[#This Row],[ERP]]/Tabela10[[#This Row],[M² Da chapa]]</f>
        <v/>
      </c>
      <c r="K1119" s="170">
        <f>Tabela10[[#This Row],[M² CHAPAS]]-Tabela10[[#This Row],[ERP]]</f>
        <v/>
      </c>
      <c r="L1119" s="170">
        <f>Tabela10[[#This Row],[DIFERENÇA M²]]/Tabela10[[#This Row],[M² Da chapa]]</f>
        <v/>
      </c>
    </row>
    <row r="1120">
      <c r="A1120" s="6" t="n">
        <v>46245</v>
      </c>
      <c r="B1120" s="8" t="inlineStr">
        <is>
          <t>N2609501</t>
        </is>
      </c>
      <c r="C1120" s="168">
        <f>VLOOKUP(LEFT(B1120,1),Tabela5[],2,0)</f>
        <v/>
      </c>
      <c r="D1120" s="57" t="inlineStr">
        <is>
          <t>MDF - 15MM</t>
        </is>
      </c>
      <c r="E1120" s="169">
        <f>VLOOKUP(Tabela10[[#This Row],[Tipo de Chapa]],Tabela11[],2,FALSE)</f>
        <v/>
      </c>
      <c r="F1120" s="151" t="n">
        <v>131</v>
      </c>
      <c r="G1120" s="152" t="n">
        <v>0.046</v>
      </c>
      <c r="H1120" s="170">
        <f>Tabela10[[#This Row],[M² Da chapa]]*Tabela10[[#This Row],[Qtde Chapas
Liberadas]]</f>
        <v/>
      </c>
      <c r="J1120" s="59">
        <f>Tabela10[[#This Row],[ERP]]/Tabela10[[#This Row],[M² Da chapa]]</f>
        <v/>
      </c>
      <c r="K1120" s="170">
        <f>Tabela10[[#This Row],[M² CHAPAS]]-Tabela10[[#This Row],[ERP]]</f>
        <v/>
      </c>
      <c r="L1120" s="170">
        <f>Tabela10[[#This Row],[DIFERENÇA M²]]/Tabela10[[#This Row],[M² Da chapa]]</f>
        <v/>
      </c>
    </row>
    <row r="1121" hidden="1" ht="28.8" customHeight="1">
      <c r="A1121" s="6" t="n">
        <v>46245</v>
      </c>
      <c r="B1121" s="8" t="inlineStr">
        <is>
          <t>M2604208 | M2604209 | M2604210 | M2604211 | M2604212</t>
        </is>
      </c>
      <c r="C1121" s="168">
        <f>VLOOKUP(LEFT(B1121,1),Tabela5[],2,0)</f>
        <v/>
      </c>
      <c r="D1121" s="57" t="inlineStr">
        <is>
          <t>MDF - 15MM</t>
        </is>
      </c>
      <c r="E1121" s="169">
        <f>VLOOKUP(Tabela10[[#This Row],[Tipo de Chapa]],Tabela11[],2,FALSE)</f>
        <v/>
      </c>
      <c r="F1121" s="151" t="n">
        <v>275</v>
      </c>
      <c r="G1121" s="152" t="n">
        <v>0.0601</v>
      </c>
      <c r="H1121" s="170">
        <f>Tabela10[[#This Row],[M² Da chapa]]*Tabela10[[#This Row],[Qtde Chapas
Liberadas]]</f>
        <v/>
      </c>
      <c r="J1121" s="59">
        <f>Tabela10[[#This Row],[ERP]]/Tabela10[[#This Row],[M² Da chapa]]</f>
        <v/>
      </c>
      <c r="K1121" s="170">
        <f>Tabela10[[#This Row],[M² CHAPAS]]-Tabela10[[#This Row],[ERP]]</f>
        <v/>
      </c>
      <c r="L1121" s="170">
        <f>Tabela10[[#This Row],[DIFERENÇA M²]]/Tabela10[[#This Row],[M² Da chapa]]</f>
        <v/>
      </c>
    </row>
    <row r="1122" hidden="1">
      <c r="A1122" s="6" t="n">
        <v>46245</v>
      </c>
      <c r="B1122" s="8" t="inlineStr">
        <is>
          <t>M2604208</t>
        </is>
      </c>
      <c r="C1122" s="168">
        <f>VLOOKUP(LEFT(B1122,1),Tabela5[],2,0)</f>
        <v/>
      </c>
      <c r="D1122" s="57" t="inlineStr">
        <is>
          <t>MDF - 9MM</t>
        </is>
      </c>
      <c r="E1122" s="169">
        <f>VLOOKUP(Tabela10[[#This Row],[Tipo de Chapa]],Tabela11[],2,FALSE)</f>
        <v/>
      </c>
      <c r="F1122" s="151" t="n">
        <v>13</v>
      </c>
      <c r="G1122" s="152" t="n">
        <v>0.0365</v>
      </c>
      <c r="H1122" s="170">
        <f>Tabela10[[#This Row],[M² Da chapa]]*Tabela10[[#This Row],[Qtde Chapas
Liberadas]]</f>
        <v/>
      </c>
      <c r="J1122" s="59">
        <f>Tabela10[[#This Row],[ERP]]/Tabela10[[#This Row],[M² Da chapa]]</f>
        <v/>
      </c>
      <c r="K1122" s="170">
        <f>Tabela10[[#This Row],[M² CHAPAS]]-Tabela10[[#This Row],[ERP]]</f>
        <v/>
      </c>
      <c r="L1122" s="170">
        <f>Tabela10[[#This Row],[DIFERENÇA M²]]/Tabela10[[#This Row],[M² Da chapa]]</f>
        <v/>
      </c>
    </row>
    <row r="1123" hidden="1">
      <c r="A1123" s="6" t="n">
        <v>46245</v>
      </c>
      <c r="B1123" s="8" t="inlineStr">
        <is>
          <t>M26040</t>
        </is>
      </c>
      <c r="C1123" s="168">
        <f>VLOOKUP(LEFT(B1123,1),Tabela5[],2,0)</f>
        <v/>
      </c>
      <c r="D1123" s="57" t="inlineStr">
        <is>
          <t>CAPA MDF - 15MM</t>
        </is>
      </c>
      <c r="E1123" s="169">
        <f>VLOOKUP(Tabela10[[#This Row],[Tipo de Chapa]],Tabela11[],2,FALSE)</f>
        <v/>
      </c>
      <c r="F1123" s="151" t="n">
        <v>37</v>
      </c>
      <c r="G1123" s="152" t="n">
        <v>0.1117</v>
      </c>
      <c r="H1123" s="170">
        <f>Tabela10[[#This Row],[M² Da chapa]]*Tabela10[[#This Row],[Qtde Chapas
Liberadas]]</f>
        <v/>
      </c>
      <c r="J1123" s="59">
        <f>Tabela10[[#This Row],[ERP]]/Tabela10[[#This Row],[M² Da chapa]]</f>
        <v/>
      </c>
      <c r="K1123" s="170">
        <f>Tabela10[[#This Row],[M² CHAPAS]]-Tabela10[[#This Row],[ERP]]</f>
        <v/>
      </c>
      <c r="L1123" s="170">
        <f>Tabela10[[#This Row],[DIFERENÇA M²]]/Tabela10[[#This Row],[M² Da chapa]]</f>
        <v/>
      </c>
    </row>
    <row r="1124" hidden="1">
      <c r="A1124" s="6" t="n">
        <v>46245</v>
      </c>
      <c r="B1124" s="8" t="inlineStr">
        <is>
          <t>M26041</t>
        </is>
      </c>
      <c r="C1124" s="168">
        <f>VLOOKUP(LEFT(B1124,1),Tabela5[],2,0)</f>
        <v/>
      </c>
      <c r="D1124" s="57" t="inlineStr">
        <is>
          <t>CAPA MDF - 15MM</t>
        </is>
      </c>
      <c r="E1124" s="169">
        <f>VLOOKUP(Tabela10[[#This Row],[Tipo de Chapa]],Tabela11[],2,FALSE)</f>
        <v/>
      </c>
      <c r="F1124" s="151" t="n">
        <v>14</v>
      </c>
      <c r="G1124" s="152" t="n">
        <v>0.0975</v>
      </c>
      <c r="H1124" s="170">
        <f>Tabela10[[#This Row],[M² Da chapa]]*Tabela10[[#This Row],[Qtde Chapas
Liberadas]]</f>
        <v/>
      </c>
      <c r="J1124" s="59">
        <f>Tabela10[[#This Row],[ERP]]/Tabela10[[#This Row],[M² Da chapa]]</f>
        <v/>
      </c>
      <c r="K1124" s="170">
        <f>Tabela10[[#This Row],[M² CHAPAS]]-Tabela10[[#This Row],[ERP]]</f>
        <v/>
      </c>
      <c r="L1124" s="170">
        <f>Tabela10[[#This Row],[DIFERENÇA M²]]/Tabela10[[#This Row],[M² Da chapa]]</f>
        <v/>
      </c>
    </row>
    <row r="1125" hidden="1">
      <c r="A1125" s="6" t="n">
        <v>46245</v>
      </c>
      <c r="B1125" s="8" t="inlineStr">
        <is>
          <t>M26042</t>
        </is>
      </c>
      <c r="C1125" s="168">
        <f>VLOOKUP(LEFT(B1125,1),Tabela5[],2,0)</f>
        <v/>
      </c>
      <c r="D1125" s="57" t="inlineStr">
        <is>
          <t>CAPA MDF - 15MM</t>
        </is>
      </c>
      <c r="E1125" s="169">
        <f>VLOOKUP(Tabela10[[#This Row],[Tipo de Chapa]],Tabela11[],2,FALSE)</f>
        <v/>
      </c>
      <c r="F1125" s="151" t="n">
        <v>6</v>
      </c>
      <c r="G1125" s="152" t="n">
        <v>0.097</v>
      </c>
      <c r="H1125" s="170">
        <f>Tabela10[[#This Row],[M² Da chapa]]*Tabela10[[#This Row],[Qtde Chapas
Liberadas]]</f>
        <v/>
      </c>
      <c r="J1125" s="59">
        <f>Tabela10[[#This Row],[ERP]]/Tabela10[[#This Row],[M² Da chapa]]</f>
        <v/>
      </c>
      <c r="K1125" s="170">
        <f>Tabela10[[#This Row],[M² CHAPAS]]-Tabela10[[#This Row],[ERP]]</f>
        <v/>
      </c>
      <c r="L1125" s="170">
        <f>Tabela10[[#This Row],[DIFERENÇA M²]]/Tabela10[[#This Row],[M² Da chapa]]</f>
        <v/>
      </c>
    </row>
    <row r="1126">
      <c r="A1126" s="6" t="n">
        <v>46245</v>
      </c>
      <c r="B1126" s="8" t="inlineStr">
        <is>
          <t>N2609502</t>
        </is>
      </c>
      <c r="C1126" s="168">
        <f>VLOOKUP(LEFT(B1126,1),Tabela5[],2,0)</f>
        <v/>
      </c>
      <c r="D1126" s="57" t="inlineStr">
        <is>
          <t>MDF - 15MM</t>
        </is>
      </c>
      <c r="E1126" s="169">
        <f>VLOOKUP(Tabela10[[#This Row],[Tipo de Chapa]],Tabela11[],2,FALSE)</f>
        <v/>
      </c>
      <c r="F1126" s="147" t="n">
        <v>105</v>
      </c>
      <c r="G1126" s="152" t="n">
        <v>0.0479</v>
      </c>
      <c r="H1126" s="170">
        <f>Tabela10[[#This Row],[M² Da chapa]]*Tabela10[[#This Row],[Qtde Chapas
Liberadas]]</f>
        <v/>
      </c>
      <c r="J1126" s="59">
        <f>Tabela10[[#This Row],[ERP]]/Tabela10[[#This Row],[M² Da chapa]]</f>
        <v/>
      </c>
      <c r="K1126" s="170">
        <f>Tabela10[[#This Row],[M² CHAPAS]]-Tabela10[[#This Row],[ERP]]</f>
        <v/>
      </c>
      <c r="L1126" s="170">
        <f>Tabela10[[#This Row],[DIFERENÇA M²]]/Tabela10[[#This Row],[M² Da chapa]]</f>
        <v/>
      </c>
    </row>
    <row r="1127">
      <c r="A1127" s="6" t="n">
        <v>46245</v>
      </c>
      <c r="B1127" s="8" t="inlineStr">
        <is>
          <t>N2609503</t>
        </is>
      </c>
      <c r="C1127" s="168">
        <f>VLOOKUP(LEFT(B1127,1),Tabela5[],2,0)</f>
        <v/>
      </c>
      <c r="D1127" s="57" t="inlineStr">
        <is>
          <t>MDF - 15MM</t>
        </is>
      </c>
      <c r="E1127" s="169">
        <f>VLOOKUP(Tabela10[[#This Row],[Tipo de Chapa]],Tabela11[],2,FALSE)</f>
        <v/>
      </c>
      <c r="F1127" s="147" t="n">
        <v>54</v>
      </c>
      <c r="G1127" s="152" t="n">
        <v>0.0617</v>
      </c>
      <c r="H1127" s="170">
        <f>Tabela10[[#This Row],[M² Da chapa]]*Tabela10[[#This Row],[Qtde Chapas
Liberadas]]</f>
        <v/>
      </c>
      <c r="J1127" s="59">
        <f>Tabela10[[#This Row],[ERP]]/Tabela10[[#This Row],[M² Da chapa]]</f>
        <v/>
      </c>
      <c r="K1127" s="170">
        <f>Tabela10[[#This Row],[M² CHAPAS]]-Tabela10[[#This Row],[ERP]]</f>
        <v/>
      </c>
      <c r="L1127" s="170">
        <f>Tabela10[[#This Row],[DIFERENÇA M²]]/Tabela10[[#This Row],[M² Da chapa]]</f>
        <v/>
      </c>
    </row>
    <row r="1128" hidden="1">
      <c r="A1128" s="6" t="n">
        <v>46245</v>
      </c>
      <c r="B1128" s="8" t="inlineStr">
        <is>
          <t>M2604306 | M2604304 | M2604303 | M2604305</t>
        </is>
      </c>
      <c r="C1128" s="168">
        <f>VLOOKUP(LEFT(B1128,1),Tabela5[],2,0)</f>
        <v/>
      </c>
      <c r="D1128" s="57" t="inlineStr">
        <is>
          <t>MDF - 9MM</t>
        </is>
      </c>
      <c r="E1128" s="169">
        <f>VLOOKUP(Tabela10[[#This Row],[Tipo de Chapa]],Tabela11[],2,FALSE)</f>
        <v/>
      </c>
      <c r="F1128" s="151" t="n">
        <v>52</v>
      </c>
      <c r="G1128" s="152" t="n">
        <v>0.0548</v>
      </c>
      <c r="H1128" s="170">
        <f>Tabela10[[#This Row],[M² Da chapa]]*Tabela10[[#This Row],[Qtde Chapas
Liberadas]]</f>
        <v/>
      </c>
      <c r="J1128" s="59">
        <f>Tabela10[[#This Row],[ERP]]/Tabela10[[#This Row],[M² Da chapa]]</f>
        <v/>
      </c>
      <c r="K1128" s="170">
        <f>Tabela10[[#This Row],[M² CHAPAS]]-Tabela10[[#This Row],[ERP]]</f>
        <v/>
      </c>
      <c r="L1128" s="170">
        <f>Tabela10[[#This Row],[DIFERENÇA M²]]/Tabela10[[#This Row],[M² Da chapa]]</f>
        <v/>
      </c>
    </row>
    <row r="1129" hidden="1">
      <c r="A1129" s="6" t="n">
        <v>46246</v>
      </c>
      <c r="B1129" s="8" t="inlineStr">
        <is>
          <t>M26040</t>
        </is>
      </c>
      <c r="C1129" s="168">
        <f>VLOOKUP(LEFT(B1129,1),Tabela5[],2,0)</f>
        <v/>
      </c>
      <c r="D1129" s="57" t="inlineStr">
        <is>
          <t>EUCADUR FRJ - 2,5MM</t>
        </is>
      </c>
      <c r="E1129" s="169">
        <f>VLOOKUP(Tabela10[[#This Row],[Tipo de Chapa]],Tabela11[],2,FALSE)</f>
        <v/>
      </c>
      <c r="F1129" s="151" t="n">
        <v>273</v>
      </c>
      <c r="G1129" s="152" t="n">
        <v>0.0599</v>
      </c>
      <c r="H1129" s="170">
        <f>Tabela10[[#This Row],[M² Da chapa]]*Tabela10[[#This Row],[Qtde Chapas
Liberadas]]</f>
        <v/>
      </c>
      <c r="J1129" s="59">
        <f>Tabela10[[#This Row],[ERP]]/Tabela10[[#This Row],[M² Da chapa]]</f>
        <v/>
      </c>
      <c r="K1129" s="170">
        <f>Tabela10[[#This Row],[M² CHAPAS]]-Tabela10[[#This Row],[ERP]]</f>
        <v/>
      </c>
      <c r="L1129" s="170">
        <f>Tabela10[[#This Row],[DIFERENÇA M²]]/Tabela10[[#This Row],[M² Da chapa]]</f>
        <v/>
      </c>
    </row>
    <row r="1130" hidden="1">
      <c r="A1130" s="6" t="n">
        <v>46246</v>
      </c>
      <c r="B1130" s="8" t="inlineStr">
        <is>
          <t>M26042</t>
        </is>
      </c>
      <c r="C1130" s="168">
        <f>VLOOKUP(LEFT(B1130,1),Tabela5[],2,0)</f>
        <v/>
      </c>
      <c r="D1130" s="57" t="inlineStr">
        <is>
          <t>EUCADUR FRJ - 2,5MM</t>
        </is>
      </c>
      <c r="E1130" s="169">
        <f>VLOOKUP(Tabela10[[#This Row],[Tipo de Chapa]],Tabela11[],2,FALSE)</f>
        <v/>
      </c>
      <c r="F1130" s="151" t="n">
        <v>137</v>
      </c>
      <c r="G1130" s="152" t="n">
        <v>0.0633</v>
      </c>
      <c r="H1130" s="170">
        <f>Tabela10[[#This Row],[M² Da chapa]]*Tabela10[[#This Row],[Qtde Chapas
Liberadas]]</f>
        <v/>
      </c>
      <c r="J1130" s="59">
        <f>Tabela10[[#This Row],[ERP]]/Tabela10[[#This Row],[M² Da chapa]]</f>
        <v/>
      </c>
      <c r="K1130" s="170">
        <f>Tabela10[[#This Row],[M² CHAPAS]]-Tabela10[[#This Row],[ERP]]</f>
        <v/>
      </c>
      <c r="L1130" s="170">
        <f>Tabela10[[#This Row],[DIFERENÇA M²]]/Tabela10[[#This Row],[M² Da chapa]]</f>
        <v/>
      </c>
    </row>
    <row r="1131" hidden="1">
      <c r="A1131" s="6" t="n">
        <v>46246</v>
      </c>
      <c r="B1131" s="8" t="inlineStr">
        <is>
          <t>M26041</t>
        </is>
      </c>
      <c r="C1131" s="168">
        <f>VLOOKUP(LEFT(B1131,1),Tabela5[],2,0)</f>
        <v/>
      </c>
      <c r="D1131" s="57" t="inlineStr">
        <is>
          <t>EUCADUR FRJ - 2,5MM</t>
        </is>
      </c>
      <c r="E1131" s="169">
        <f>VLOOKUP(Tabela10[[#This Row],[Tipo de Chapa]],Tabela11[],2,FALSE)</f>
        <v/>
      </c>
      <c r="F1131" s="151" t="n">
        <v>0</v>
      </c>
      <c r="G1131" s="152" t="n"/>
      <c r="H1131" s="170">
        <f>Tabela10[[#This Row],[M² Da chapa]]*Tabela10[[#This Row],[Qtde Chapas
Liberadas]]</f>
        <v/>
      </c>
      <c r="J1131" s="59">
        <f>Tabela10[[#This Row],[ERP]]/Tabela10[[#This Row],[M² Da chapa]]</f>
        <v/>
      </c>
      <c r="K1131" s="170">
        <f>Tabela10[[#This Row],[M² CHAPAS]]-Tabela10[[#This Row],[ERP]]</f>
        <v/>
      </c>
      <c r="L1131" s="170">
        <f>Tabela10[[#This Row],[DIFERENÇA M²]]/Tabela10[[#This Row],[M² Da chapa]]</f>
        <v/>
      </c>
    </row>
    <row r="1132" hidden="1">
      <c r="A1132" s="6" t="n">
        <v>46246</v>
      </c>
      <c r="B1132" s="8" t="inlineStr">
        <is>
          <t>M26042</t>
        </is>
      </c>
      <c r="C1132" s="168">
        <f>VLOOKUP(LEFT(B1132,1),Tabela5[],2,0)</f>
        <v/>
      </c>
      <c r="D1132" s="57" t="inlineStr">
        <is>
          <t>EUCADUR NT - 2,5MM</t>
        </is>
      </c>
      <c r="E1132" s="169">
        <f>VLOOKUP(Tabela10[[#This Row],[Tipo de Chapa]],Tabela11[],2,FALSE)</f>
        <v/>
      </c>
      <c r="F1132" s="151" t="n">
        <v>52</v>
      </c>
      <c r="G1132" s="152" t="n">
        <v>0.0582</v>
      </c>
      <c r="H1132" s="170">
        <f>Tabela10[[#This Row],[M² Da chapa]]*Tabela10[[#This Row],[Qtde Chapas
Liberadas]]</f>
        <v/>
      </c>
      <c r="J1132" s="59">
        <f>Tabela10[[#This Row],[ERP]]/Tabela10[[#This Row],[M² Da chapa]]</f>
        <v/>
      </c>
      <c r="K1132" s="170">
        <f>Tabela10[[#This Row],[M² CHAPAS]]-Tabela10[[#This Row],[ERP]]</f>
        <v/>
      </c>
      <c r="L1132" s="170">
        <f>Tabela10[[#This Row],[DIFERENÇA M²]]/Tabela10[[#This Row],[M² Da chapa]]</f>
        <v/>
      </c>
    </row>
    <row r="1133">
      <c r="A1133" s="6" t="n">
        <v>46246</v>
      </c>
      <c r="B1133" s="8" t="inlineStr">
        <is>
          <t>N2609501</t>
        </is>
      </c>
      <c r="C1133" s="168">
        <f>VLOOKUP(LEFT(B1133,1),Tabela5[],2,0)</f>
        <v/>
      </c>
      <c r="D1133" s="57" t="inlineStr">
        <is>
          <t>MDF - 25MM 2750x2200</t>
        </is>
      </c>
      <c r="E1133" s="169">
        <f>VLOOKUP(Tabela10[[#This Row],[Tipo de Chapa]],Tabela11[],2,FALSE)</f>
        <v/>
      </c>
      <c r="F1133" s="147" t="n">
        <v>50</v>
      </c>
      <c r="G1133" s="152" t="n">
        <v>0.0805</v>
      </c>
      <c r="H1133" s="170">
        <f>Tabela10[[#This Row],[M² Da chapa]]*Tabela10[[#This Row],[Qtde Chapas
Liberadas]]</f>
        <v/>
      </c>
      <c r="J1133" s="59">
        <f>Tabela10[[#This Row],[ERP]]/Tabela10[[#This Row],[M² Da chapa]]</f>
        <v/>
      </c>
      <c r="K1133" s="170">
        <f>Tabela10[[#This Row],[M² CHAPAS]]-Tabela10[[#This Row],[ERP]]</f>
        <v/>
      </c>
      <c r="L1133" s="170">
        <f>Tabela10[[#This Row],[DIFERENÇA M²]]/Tabela10[[#This Row],[M² Da chapa]]</f>
        <v/>
      </c>
    </row>
    <row r="1134">
      <c r="A1134" s="6" t="n">
        <v>46246</v>
      </c>
      <c r="B1134" s="8" t="inlineStr">
        <is>
          <t>N2609601</t>
        </is>
      </c>
      <c r="C1134" s="168">
        <f>VLOOKUP(LEFT(B1134,1),Tabela5[],2,0)</f>
        <v/>
      </c>
      <c r="D1134" s="57" t="inlineStr">
        <is>
          <t>MDF - 25MM 2750x2200</t>
        </is>
      </c>
      <c r="E1134" s="169">
        <f>VLOOKUP(Tabela10[[#This Row],[Tipo de Chapa]],Tabela11[],2,FALSE)</f>
        <v/>
      </c>
      <c r="F1134" s="151" t="n">
        <v>16</v>
      </c>
      <c r="G1134" s="152" t="n">
        <v>0.019</v>
      </c>
      <c r="H1134" s="170">
        <f>Tabela10[[#This Row],[M² Da chapa]]*Tabela10[[#This Row],[Qtde Chapas
Liberadas]]</f>
        <v/>
      </c>
      <c r="J1134" s="59">
        <f>Tabela10[[#This Row],[ERP]]/Tabela10[[#This Row],[M² Da chapa]]</f>
        <v/>
      </c>
      <c r="K1134" s="170">
        <f>Tabela10[[#This Row],[M² CHAPAS]]-Tabela10[[#This Row],[ERP]]</f>
        <v/>
      </c>
      <c r="L1134" s="170">
        <f>Tabela10[[#This Row],[DIFERENÇA M²]]/Tabela10[[#This Row],[M² Da chapa]]</f>
        <v/>
      </c>
    </row>
    <row r="1135" hidden="1">
      <c r="A1135" s="6" t="n">
        <v>46246</v>
      </c>
      <c r="B1135" s="8" t="inlineStr">
        <is>
          <t>M2604310 | M2604312 | M2604309</t>
        </is>
      </c>
      <c r="C1135" s="168">
        <f>VLOOKUP(LEFT(B1135,1),Tabela5[],2,0)</f>
        <v/>
      </c>
      <c r="D1135" s="57" t="inlineStr">
        <is>
          <t>MDF - 9MM</t>
        </is>
      </c>
      <c r="E1135" s="169">
        <f>VLOOKUP(Tabela10[[#This Row],[Tipo de Chapa]],Tabela11[],2,FALSE)</f>
        <v/>
      </c>
      <c r="F1135" s="151" t="n">
        <v>14</v>
      </c>
      <c r="G1135" s="152" t="n">
        <v>0.07530000000000001</v>
      </c>
      <c r="H1135" s="170">
        <f>Tabela10[[#This Row],[M² Da chapa]]*Tabela10[[#This Row],[Qtde Chapas
Liberadas]]</f>
        <v/>
      </c>
      <c r="J1135" s="59">
        <f>Tabela10[[#This Row],[ERP]]/Tabela10[[#This Row],[M² Da chapa]]</f>
        <v/>
      </c>
      <c r="K1135" s="170">
        <f>Tabela10[[#This Row],[M² CHAPAS]]-Tabela10[[#This Row],[ERP]]</f>
        <v/>
      </c>
      <c r="L1135" s="170">
        <f>Tabela10[[#This Row],[DIFERENÇA M²]]/Tabela10[[#This Row],[M² Da chapa]]</f>
        <v/>
      </c>
    </row>
    <row r="1136">
      <c r="A1136" s="6" t="n">
        <v>46246</v>
      </c>
      <c r="B1136" s="8" t="inlineStr">
        <is>
          <t>N2609601 | N2609602 | N2609603</t>
        </is>
      </c>
      <c r="C1136" s="168">
        <f>VLOOKUP(LEFT(B1136,1),Tabela5[],2,0)</f>
        <v/>
      </c>
      <c r="D1136" s="57" t="inlineStr">
        <is>
          <t>MDF - 15MM</t>
        </is>
      </c>
      <c r="E1136" s="169">
        <f>VLOOKUP(Tabela10[[#This Row],[Tipo de Chapa]],Tabela11[],2,FALSE)</f>
        <v/>
      </c>
      <c r="F1136" s="151" t="n">
        <v>148</v>
      </c>
      <c r="G1136" s="152" t="n">
        <v>0.0485</v>
      </c>
      <c r="H1136" s="170">
        <f>Tabela10[[#This Row],[M² Da chapa]]*Tabela10[[#This Row],[Qtde Chapas
Liberadas]]</f>
        <v/>
      </c>
      <c r="J1136" s="59">
        <f>Tabela10[[#This Row],[ERP]]/Tabela10[[#This Row],[M² Da chapa]]</f>
        <v/>
      </c>
      <c r="K1136" s="170">
        <f>Tabela10[[#This Row],[M² CHAPAS]]-Tabela10[[#This Row],[ERP]]</f>
        <v/>
      </c>
      <c r="L1136" s="170">
        <f>Tabela10[[#This Row],[DIFERENÇA M²]]/Tabela10[[#This Row],[M² Da chapa]]</f>
        <v/>
      </c>
    </row>
    <row r="1137" hidden="1">
      <c r="A1137" s="6" t="n">
        <v>46246</v>
      </c>
      <c r="B1137" s="8" t="inlineStr">
        <is>
          <t>M26043</t>
        </is>
      </c>
      <c r="C1137" s="168">
        <f>VLOOKUP(LEFT(B1137,1),Tabela5[],2,0)</f>
        <v/>
      </c>
      <c r="D1137" s="57" t="inlineStr">
        <is>
          <t>EUCADUR FRJ - 2,5MM</t>
        </is>
      </c>
      <c r="E1137" s="169">
        <f>VLOOKUP(Tabela10[[#This Row],[Tipo de Chapa]],Tabela11[],2,FALSE)</f>
        <v/>
      </c>
      <c r="F1137" s="151" t="n">
        <v>104</v>
      </c>
      <c r="G1137" s="152" t="n">
        <v>0.0659</v>
      </c>
      <c r="H1137" s="170">
        <f>Tabela10[[#This Row],[M² Da chapa]]*Tabela10[[#This Row],[Qtde Chapas
Liberadas]]</f>
        <v/>
      </c>
      <c r="J1137" s="59">
        <f>Tabela10[[#This Row],[ERP]]/Tabela10[[#This Row],[M² Da chapa]]</f>
        <v/>
      </c>
      <c r="K1137" s="170">
        <f>Tabela10[[#This Row],[M² CHAPAS]]-Tabela10[[#This Row],[ERP]]</f>
        <v/>
      </c>
      <c r="L1137" s="170">
        <f>Tabela10[[#This Row],[DIFERENÇA M²]]/Tabela10[[#This Row],[M² Da chapa]]</f>
        <v/>
      </c>
    </row>
    <row r="1138">
      <c r="A1138" s="6" t="n">
        <v>46246</v>
      </c>
      <c r="B1138" s="8" t="inlineStr">
        <is>
          <t>N2609605</t>
        </is>
      </c>
      <c r="C1138" s="168">
        <f>VLOOKUP(LEFT(B1138,1),Tabela5[],2,0)</f>
        <v/>
      </c>
      <c r="D1138" s="57" t="inlineStr">
        <is>
          <t xml:space="preserve">MDF BERNECK - 15MM </t>
        </is>
      </c>
      <c r="E1138" s="169">
        <f>VLOOKUP(Tabela10[[#This Row],[Tipo de Chapa]],Tabela11[],2,FALSE)</f>
        <v/>
      </c>
      <c r="F1138" s="151" t="n">
        <v>40</v>
      </c>
      <c r="G1138" s="152" t="n">
        <v>0.0494</v>
      </c>
      <c r="H1138" s="170">
        <f>Tabela10[[#This Row],[M² Da chapa]]*Tabela10[[#This Row],[Qtde Chapas
Liberadas]]</f>
        <v/>
      </c>
      <c r="J1138" s="59">
        <f>Tabela10[[#This Row],[ERP]]/Tabela10[[#This Row],[M² Da chapa]]</f>
        <v/>
      </c>
      <c r="K1138" s="170">
        <f>Tabela10[[#This Row],[M² CHAPAS]]-Tabela10[[#This Row],[ERP]]</f>
        <v/>
      </c>
      <c r="L1138" s="170">
        <f>Tabela10[[#This Row],[DIFERENÇA M²]]/Tabela10[[#This Row],[M² Da chapa]]</f>
        <v/>
      </c>
    </row>
    <row r="1139">
      <c r="A1139" s="6" t="n">
        <v>46246</v>
      </c>
      <c r="B1139" s="8" t="inlineStr">
        <is>
          <t>N2609605</t>
        </is>
      </c>
      <c r="C1139" s="168">
        <f>VLOOKUP(LEFT(B1139,1),Tabela5[],2,0)</f>
        <v/>
      </c>
      <c r="D1139" s="57" t="inlineStr">
        <is>
          <t>MDF - 15MM</t>
        </is>
      </c>
      <c r="E1139" s="169">
        <f>VLOOKUP(Tabela10[[#This Row],[Tipo de Chapa]],Tabela11[],2,FALSE)</f>
        <v/>
      </c>
      <c r="F1139" s="151" t="n">
        <v>38</v>
      </c>
      <c r="G1139" s="152" t="n">
        <v>0.0494</v>
      </c>
      <c r="H1139" s="170">
        <f>Tabela10[[#This Row],[M² Da chapa]]*Tabela10[[#This Row],[Qtde Chapas
Liberadas]]</f>
        <v/>
      </c>
      <c r="J1139" s="59">
        <f>Tabela10[[#This Row],[ERP]]/Tabela10[[#This Row],[M² Da chapa]]</f>
        <v/>
      </c>
      <c r="K1139" s="170">
        <f>Tabela10[[#This Row],[M² CHAPAS]]-Tabela10[[#This Row],[ERP]]</f>
        <v/>
      </c>
      <c r="L1139" s="170">
        <f>Tabela10[[#This Row],[DIFERENÇA M²]]/Tabela10[[#This Row],[M² Da chapa]]</f>
        <v/>
      </c>
    </row>
    <row r="1140">
      <c r="A1140" s="6" t="n">
        <v>46246</v>
      </c>
      <c r="B1140" s="8" t="inlineStr">
        <is>
          <t>N2609604</t>
        </is>
      </c>
      <c r="C1140" s="168">
        <f>VLOOKUP(LEFT(B1140,1),Tabela5[],2,0)</f>
        <v/>
      </c>
      <c r="D1140" s="57" t="inlineStr">
        <is>
          <t xml:space="preserve">MDF BERNECK - 15MM </t>
        </is>
      </c>
      <c r="E1140" s="169">
        <f>VLOOKUP(Tabela10[[#This Row],[Tipo de Chapa]],Tabela11[],2,FALSE)</f>
        <v/>
      </c>
      <c r="F1140" s="151" t="n">
        <v>14</v>
      </c>
      <c r="G1140" s="152" t="n">
        <v>0.0589</v>
      </c>
      <c r="H1140" s="170">
        <f>Tabela10[[#This Row],[M² Da chapa]]*Tabela10[[#This Row],[Qtde Chapas
Liberadas]]</f>
        <v/>
      </c>
      <c r="J1140" s="59">
        <f>Tabela10[[#This Row],[ERP]]/Tabela10[[#This Row],[M² Da chapa]]</f>
        <v/>
      </c>
      <c r="K1140" s="170">
        <f>Tabela10[[#This Row],[M² CHAPAS]]-Tabela10[[#This Row],[ERP]]</f>
        <v/>
      </c>
      <c r="L1140" s="170">
        <f>Tabela10[[#This Row],[DIFERENÇA M²]]/Tabela10[[#This Row],[M² Da chapa]]</f>
        <v/>
      </c>
    </row>
    <row r="1141">
      <c r="A1141" s="6" t="n">
        <v>46246</v>
      </c>
      <c r="B1141" s="8" t="inlineStr">
        <is>
          <t>N2609604</t>
        </is>
      </c>
      <c r="C1141" s="168">
        <f>VLOOKUP(LEFT(B1141,1),Tabela5[],2,0)</f>
        <v/>
      </c>
      <c r="D1141" s="57" t="inlineStr">
        <is>
          <t>MDF - 15MM</t>
        </is>
      </c>
      <c r="E1141" s="169">
        <f>VLOOKUP(Tabela10[[#This Row],[Tipo de Chapa]],Tabela11[],2,FALSE)</f>
        <v/>
      </c>
      <c r="F1141" s="151" t="n">
        <v>29</v>
      </c>
      <c r="G1141" s="152" t="n">
        <v>0.0589</v>
      </c>
      <c r="H1141" s="170">
        <f>Tabela10[[#This Row],[M² Da chapa]]*Tabela10[[#This Row],[Qtde Chapas
Liberadas]]</f>
        <v/>
      </c>
      <c r="J1141" s="59">
        <f>Tabela10[[#This Row],[ERP]]/Tabela10[[#This Row],[M² Da chapa]]</f>
        <v/>
      </c>
      <c r="K1141" s="170">
        <f>Tabela10[[#This Row],[M² CHAPAS]]-Tabela10[[#This Row],[ERP]]</f>
        <v/>
      </c>
      <c r="L1141" s="170">
        <f>Tabela10[[#This Row],[DIFERENÇA M²]]/Tabela10[[#This Row],[M² Da chapa]]</f>
        <v/>
      </c>
    </row>
    <row r="1142" hidden="1" ht="43.2" customHeight="1">
      <c r="A1142" s="6" t="n">
        <v>46246</v>
      </c>
      <c r="B1142" s="8" t="inlineStr">
        <is>
          <t>M2604306 | M2604304 | M2604303 | M2604305 | M2604313 | M2604312 | M2604310 | M2604311 | M2604309</t>
        </is>
      </c>
      <c r="C1142" s="168">
        <f>VLOOKUP(LEFT(B1142,1),Tabela5[],2,0)</f>
        <v/>
      </c>
      <c r="D1142" s="57" t="inlineStr">
        <is>
          <t>MDF - 15MM</t>
        </is>
      </c>
      <c r="E1142" s="169">
        <f>VLOOKUP(Tabela10[[#This Row],[Tipo de Chapa]],Tabela11[],2,FALSE)</f>
        <v/>
      </c>
      <c r="F1142" s="151" t="n">
        <v>578</v>
      </c>
      <c r="G1142" s="152" t="n">
        <v>0.0638</v>
      </c>
      <c r="H1142" s="170">
        <f>Tabela10[[#This Row],[M² Da chapa]]*Tabela10[[#This Row],[Qtde Chapas
Liberadas]]</f>
        <v/>
      </c>
      <c r="J1142" s="59">
        <f>Tabela10[[#This Row],[ERP]]/Tabela10[[#This Row],[M² Da chapa]]</f>
        <v/>
      </c>
      <c r="K1142" s="170">
        <f>Tabela10[[#This Row],[M² CHAPAS]]-Tabela10[[#This Row],[ERP]]</f>
        <v/>
      </c>
      <c r="L1142" s="170">
        <f>Tabela10[[#This Row],[DIFERENÇA M²]]/Tabela10[[#This Row],[M² Da chapa]]</f>
        <v/>
      </c>
    </row>
    <row r="1143" hidden="1">
      <c r="A1143" s="6" t="n">
        <v>46246</v>
      </c>
      <c r="B1143" s="8" t="inlineStr">
        <is>
          <t>M26043</t>
        </is>
      </c>
      <c r="C1143" s="168">
        <f>VLOOKUP(LEFT(B1143,1),Tabela5[],2,0)</f>
        <v/>
      </c>
      <c r="D1143" s="57" t="inlineStr">
        <is>
          <t>MDF - 25MM 2750x2200</t>
        </is>
      </c>
      <c r="E1143" s="169">
        <f>VLOOKUP(Tabela10[[#This Row],[Tipo de Chapa]],Tabela11[],2,FALSE)</f>
        <v/>
      </c>
      <c r="F1143" s="151" t="n">
        <v>43</v>
      </c>
      <c r="G1143" s="152" t="n">
        <v>0.0711</v>
      </c>
      <c r="H1143" s="170">
        <f>Tabela10[[#This Row],[M² Da chapa]]*Tabela10[[#This Row],[Qtde Chapas
Liberadas]]</f>
        <v/>
      </c>
      <c r="J1143" s="59">
        <f>Tabela10[[#This Row],[ERP]]/Tabela10[[#This Row],[M² Da chapa]]</f>
        <v/>
      </c>
      <c r="K1143" s="170">
        <f>Tabela10[[#This Row],[M² CHAPAS]]-Tabela10[[#This Row],[ERP]]</f>
        <v/>
      </c>
      <c r="L1143" s="170">
        <f>Tabela10[[#This Row],[DIFERENÇA M²]]/Tabela10[[#This Row],[M² Da chapa]]</f>
        <v/>
      </c>
    </row>
    <row r="1144">
      <c r="A1144" s="6" t="n">
        <v>46246</v>
      </c>
      <c r="B1144" s="8" t="inlineStr">
        <is>
          <t>N2609701 | N2609702</t>
        </is>
      </c>
      <c r="C1144" s="168">
        <f>VLOOKUP(LEFT(B1144,1),Tabela5[],2,0)</f>
        <v/>
      </c>
      <c r="D1144" s="57" t="inlineStr">
        <is>
          <t>MDF - 15MM</t>
        </is>
      </c>
      <c r="E1144" s="169">
        <f>VLOOKUP(Tabela10[[#This Row],[Tipo de Chapa]],Tabela11[],2,FALSE)</f>
        <v/>
      </c>
      <c r="F1144" s="151" t="n">
        <v>79</v>
      </c>
      <c r="G1144" s="152" t="n">
        <v>0.038</v>
      </c>
      <c r="H1144" s="170">
        <f>Tabela10[[#This Row],[M² Da chapa]]*Tabela10[[#This Row],[Qtde Chapas
Liberadas]]</f>
        <v/>
      </c>
      <c r="J1144" s="59">
        <f>Tabela10[[#This Row],[ERP]]/Tabela10[[#This Row],[M² Da chapa]]</f>
        <v/>
      </c>
      <c r="K1144" s="170">
        <f>Tabela10[[#This Row],[M² CHAPAS]]-Tabela10[[#This Row],[ERP]]</f>
        <v/>
      </c>
      <c r="L1144" s="170">
        <f>Tabela10[[#This Row],[DIFERENÇA M²]]/Tabela10[[#This Row],[M² Da chapa]]</f>
        <v/>
      </c>
    </row>
    <row r="1145">
      <c r="A1145" s="6" t="n">
        <v>46247</v>
      </c>
      <c r="B1145" s="8" t="inlineStr">
        <is>
          <t>N26095</t>
        </is>
      </c>
      <c r="C1145" s="168">
        <f>VLOOKUP(LEFT(B1145,1),Tabela5[],2,0)</f>
        <v/>
      </c>
      <c r="D1145" s="57" t="inlineStr">
        <is>
          <t>EUCADUR NT - 2,5MM</t>
        </is>
      </c>
      <c r="E1145" s="169">
        <f>VLOOKUP(Tabela10[[#This Row],[Tipo de Chapa]],Tabela11[],2,FALSE)</f>
        <v/>
      </c>
      <c r="F1145" s="151" t="n">
        <v>204</v>
      </c>
      <c r="G1145" s="152" t="n">
        <v>0.0755</v>
      </c>
      <c r="H1145" s="170">
        <f>Tabela10[[#This Row],[M² Da chapa]]*Tabela10[[#This Row],[Qtde Chapas
Liberadas]]</f>
        <v/>
      </c>
      <c r="J1145" s="59">
        <f>Tabela10[[#This Row],[ERP]]/Tabela10[[#This Row],[M² Da chapa]]</f>
        <v/>
      </c>
      <c r="K1145" s="170">
        <f>Tabela10[[#This Row],[M² CHAPAS]]-Tabela10[[#This Row],[ERP]]</f>
        <v/>
      </c>
      <c r="L1145" s="170">
        <f>Tabela10[[#This Row],[DIFERENÇA M²]]/Tabela10[[#This Row],[M² Da chapa]]</f>
        <v/>
      </c>
    </row>
    <row r="1146">
      <c r="A1146" s="6" t="n">
        <v>46247</v>
      </c>
      <c r="B1146" s="8" t="inlineStr">
        <is>
          <t>N26096</t>
        </is>
      </c>
      <c r="C1146" s="168">
        <f>VLOOKUP(LEFT(B1146,1),Tabela5[],2,0)</f>
        <v/>
      </c>
      <c r="D1146" s="57" t="inlineStr">
        <is>
          <t>EUCADUR NT - 2,5MM</t>
        </is>
      </c>
      <c r="E1146" s="169">
        <f>VLOOKUP(Tabela10[[#This Row],[Tipo de Chapa]],Tabela11[],2,FALSE)</f>
        <v/>
      </c>
      <c r="F1146" s="151" t="n">
        <v>64</v>
      </c>
      <c r="G1146" s="152" t="n">
        <v>0.06809999999999999</v>
      </c>
      <c r="H1146" s="170">
        <f>Tabela10[[#This Row],[M² Da chapa]]*Tabela10[[#This Row],[Qtde Chapas
Liberadas]]</f>
        <v/>
      </c>
      <c r="J1146" s="59">
        <f>Tabela10[[#This Row],[ERP]]/Tabela10[[#This Row],[M² Da chapa]]</f>
        <v/>
      </c>
      <c r="K1146" s="170">
        <f>Tabela10[[#This Row],[M² CHAPAS]]-Tabela10[[#This Row],[ERP]]</f>
        <v/>
      </c>
      <c r="L1146" s="170">
        <f>Tabela10[[#This Row],[DIFERENÇA M²]]/Tabela10[[#This Row],[M² Da chapa]]</f>
        <v/>
      </c>
    </row>
    <row r="1147" hidden="1">
      <c r="A1147" s="6" t="n">
        <v>46247</v>
      </c>
      <c r="B1147" s="8" t="inlineStr">
        <is>
          <t>M2604212</t>
        </is>
      </c>
      <c r="C1147" s="168">
        <f>VLOOKUP(LEFT(B1147,1),Tabela5[],2,0)</f>
        <v/>
      </c>
      <c r="D1147" s="57" t="inlineStr">
        <is>
          <t>EUCADUR BR - 2,5MM</t>
        </is>
      </c>
      <c r="E1147" s="169">
        <f>VLOOKUP(Tabela10[[#This Row],[Tipo de Chapa]],Tabela11[],2,FALSE)</f>
        <v/>
      </c>
      <c r="F1147" s="151" t="n">
        <v>33</v>
      </c>
      <c r="G1147" s="152" t="n">
        <v>0.0556</v>
      </c>
      <c r="H1147" s="170">
        <f>Tabela10[[#This Row],[M² Da chapa]]*Tabela10[[#This Row],[Qtde Chapas
Liberadas]]</f>
        <v/>
      </c>
      <c r="J1147" s="59">
        <f>Tabela10[[#This Row],[ERP]]/Tabela10[[#This Row],[M² Da chapa]]</f>
        <v/>
      </c>
      <c r="K1147" s="170">
        <f>Tabela10[[#This Row],[M² CHAPAS]]-Tabela10[[#This Row],[ERP]]</f>
        <v/>
      </c>
      <c r="L1147" s="170">
        <f>Tabela10[[#This Row],[DIFERENÇA M²]]/Tabela10[[#This Row],[M² Da chapa]]</f>
        <v/>
      </c>
    </row>
    <row r="1148">
      <c r="A1148" s="6" t="n">
        <v>46247</v>
      </c>
      <c r="B1148" s="8" t="inlineStr">
        <is>
          <t>N2609504</t>
        </is>
      </c>
      <c r="C1148" s="168">
        <f>VLOOKUP(LEFT(B1148,1),Tabela5[],2,0)</f>
        <v/>
      </c>
      <c r="D1148" s="57" t="inlineStr">
        <is>
          <t>MDF - 18MM 2750X1850</t>
        </is>
      </c>
      <c r="E1148" s="169">
        <f>VLOOKUP(Tabela10[[#This Row],[Tipo de Chapa]],Tabela11[],2,FALSE)</f>
        <v/>
      </c>
      <c r="F1148" s="151" t="n">
        <v>2</v>
      </c>
      <c r="G1148" s="152" t="n">
        <v>0.101</v>
      </c>
      <c r="H1148" s="170">
        <f>Tabela10[[#This Row],[M² Da chapa]]*Tabela10[[#This Row],[Qtde Chapas
Liberadas]]</f>
        <v/>
      </c>
      <c r="J1148" s="59">
        <f>Tabela10[[#This Row],[ERP]]/Tabela10[[#This Row],[M² Da chapa]]</f>
        <v/>
      </c>
      <c r="K1148" s="170">
        <f>Tabela10[[#This Row],[M² CHAPAS]]-Tabela10[[#This Row],[ERP]]</f>
        <v/>
      </c>
      <c r="L1148" s="170">
        <f>Tabela10[[#This Row],[DIFERENÇA M²]]/Tabela10[[#This Row],[M² Da chapa]]</f>
        <v/>
      </c>
    </row>
    <row r="1149">
      <c r="A1149" s="6" t="n">
        <v>46247</v>
      </c>
      <c r="B1149" s="8" t="inlineStr">
        <is>
          <t>N2609701 | N2609702</t>
        </is>
      </c>
      <c r="C1149" s="168">
        <f>VLOOKUP(LEFT(B1149,1),Tabela5[],2,0)</f>
        <v/>
      </c>
      <c r="D1149" s="57" t="inlineStr">
        <is>
          <t>MDF - 15MM</t>
        </is>
      </c>
      <c r="E1149" s="169">
        <f>VLOOKUP(Tabela10[[#This Row],[Tipo de Chapa]],Tabela11[],2,FALSE)</f>
        <v/>
      </c>
      <c r="F1149" s="147">
        <f>263-4</f>
        <v/>
      </c>
      <c r="G1149" s="152" t="n">
        <v>0.0464</v>
      </c>
      <c r="H1149" s="170">
        <f>Tabela10[[#This Row],[M² Da chapa]]*Tabela10[[#This Row],[Qtde Chapas
Liberadas]]</f>
        <v/>
      </c>
      <c r="J1149" s="59">
        <f>Tabela10[[#This Row],[ERP]]/Tabela10[[#This Row],[M² Da chapa]]</f>
        <v/>
      </c>
      <c r="K1149" s="170">
        <f>Tabela10[[#This Row],[M² CHAPAS]]-Tabela10[[#This Row],[ERP]]</f>
        <v/>
      </c>
      <c r="L1149" s="170">
        <f>Tabela10[[#This Row],[DIFERENÇA M²]]/Tabela10[[#This Row],[M² Da chapa]]</f>
        <v/>
      </c>
    </row>
    <row r="1150">
      <c r="A1150" s="6" t="n">
        <v>46247</v>
      </c>
      <c r="B1150" s="8" t="inlineStr">
        <is>
          <t>N2609703</t>
        </is>
      </c>
      <c r="C1150" s="168">
        <f>VLOOKUP(LEFT(B1150,1),Tabela5[],2,0)</f>
        <v/>
      </c>
      <c r="D1150" s="57" t="inlineStr">
        <is>
          <t>MDF - 15MM</t>
        </is>
      </c>
      <c r="E1150" s="169">
        <f>VLOOKUP(Tabela10[[#This Row],[Tipo de Chapa]],Tabela11[],2,FALSE)</f>
        <v/>
      </c>
      <c r="F1150" s="151" t="n">
        <v>81</v>
      </c>
      <c r="G1150" s="152" t="n">
        <v>0.0534</v>
      </c>
      <c r="H1150" s="170">
        <f>Tabela10[[#This Row],[M² Da chapa]]*Tabela10[[#This Row],[Qtde Chapas
Liberadas]]</f>
        <v/>
      </c>
      <c r="J1150" s="59">
        <f>Tabela10[[#This Row],[ERP]]/Tabela10[[#This Row],[M² Da chapa]]</f>
        <v/>
      </c>
      <c r="K1150" s="170">
        <f>Tabela10[[#This Row],[M² CHAPAS]]-Tabela10[[#This Row],[ERP]]</f>
        <v/>
      </c>
      <c r="L1150" s="170">
        <f>Tabela10[[#This Row],[DIFERENÇA M²]]/Tabela10[[#This Row],[M² Da chapa]]</f>
        <v/>
      </c>
    </row>
    <row r="1151">
      <c r="A1151" s="6" t="n">
        <v>46247</v>
      </c>
      <c r="B1151" s="8" t="inlineStr">
        <is>
          <t>N2609804</t>
        </is>
      </c>
      <c r="C1151" s="168">
        <f>VLOOKUP(LEFT(B1151,1),Tabela5[],2,0)</f>
        <v/>
      </c>
      <c r="D1151" s="57" t="inlineStr">
        <is>
          <t>MDF - 15MM</t>
        </is>
      </c>
      <c r="E1151" s="169">
        <f>VLOOKUP(Tabela10[[#This Row],[Tipo de Chapa]],Tabela11[],2,FALSE)</f>
        <v/>
      </c>
      <c r="F1151" s="151" t="n">
        <v>74</v>
      </c>
      <c r="G1151" s="152" t="n">
        <v>0.0512</v>
      </c>
      <c r="H1151" s="170">
        <f>Tabela10[[#This Row],[M² Da chapa]]*Tabela10[[#This Row],[Qtde Chapas
Liberadas]]</f>
        <v/>
      </c>
      <c r="J1151" s="59">
        <f>Tabela10[[#This Row],[ERP]]/Tabela10[[#This Row],[M² Da chapa]]</f>
        <v/>
      </c>
      <c r="K1151" s="170">
        <f>Tabela10[[#This Row],[M² CHAPAS]]-Tabela10[[#This Row],[ERP]]</f>
        <v/>
      </c>
      <c r="L1151" s="170">
        <f>Tabela10[[#This Row],[DIFERENÇA M²]]/Tabela10[[#This Row],[M² Da chapa]]</f>
        <v/>
      </c>
    </row>
    <row r="1152">
      <c r="A1152" s="6" t="n">
        <v>46247</v>
      </c>
      <c r="B1152" s="8" t="inlineStr">
        <is>
          <t>N2609805|N2609806</t>
        </is>
      </c>
      <c r="C1152" s="168">
        <f>VLOOKUP(LEFT(B1152,1),Tabela5[],2,0)</f>
        <v/>
      </c>
      <c r="D1152" s="57" t="inlineStr">
        <is>
          <t>MDF - 15MM</t>
        </is>
      </c>
      <c r="E1152" s="169">
        <f>VLOOKUP(Tabela10[[#This Row],[Tipo de Chapa]],Tabela11[],2,FALSE)</f>
        <v/>
      </c>
      <c r="F1152" s="147">
        <f>86+12</f>
        <v/>
      </c>
      <c r="G1152" s="152" t="n">
        <v>0.0528</v>
      </c>
      <c r="H1152" s="170">
        <f>Tabela10[[#This Row],[M² Da chapa]]*Tabela10[[#This Row],[Qtde Chapas
Liberadas]]</f>
        <v/>
      </c>
      <c r="J1152" s="59">
        <f>Tabela10[[#This Row],[ERP]]/Tabela10[[#This Row],[M² Da chapa]]</f>
        <v/>
      </c>
      <c r="K1152" s="170">
        <f>Tabela10[[#This Row],[M² CHAPAS]]-Tabela10[[#This Row],[ERP]]</f>
        <v/>
      </c>
      <c r="L1152" s="170">
        <f>Tabela10[[#This Row],[DIFERENÇA M²]]/Tabela10[[#This Row],[M² Da chapa]]</f>
        <v/>
      </c>
    </row>
    <row r="1153">
      <c r="A1153" s="6" t="n">
        <v>46247</v>
      </c>
      <c r="B1153" s="8" t="inlineStr">
        <is>
          <t>N2609801</t>
        </is>
      </c>
      <c r="C1153" s="168">
        <f>VLOOKUP(LEFT(B1153,1),Tabela5[],2,0)</f>
        <v/>
      </c>
      <c r="D1153" s="57" t="inlineStr">
        <is>
          <t>MDF - 15MM</t>
        </is>
      </c>
      <c r="E1153" s="169">
        <f>VLOOKUP(Tabela10[[#This Row],[Tipo de Chapa]],Tabela11[],2,FALSE)</f>
        <v/>
      </c>
      <c r="F1153" s="151" t="n">
        <v>40</v>
      </c>
      <c r="G1153" s="152" t="n">
        <v>0.0566</v>
      </c>
      <c r="H1153" s="170">
        <f>Tabela10[[#This Row],[M² Da chapa]]*Tabela10[[#This Row],[Qtde Chapas
Liberadas]]</f>
        <v/>
      </c>
      <c r="J1153" s="59">
        <f>Tabela10[[#This Row],[ERP]]/Tabela10[[#This Row],[M² Da chapa]]</f>
        <v/>
      </c>
      <c r="K1153" s="170">
        <f>Tabela10[[#This Row],[M² CHAPAS]]-Tabela10[[#This Row],[ERP]]</f>
        <v/>
      </c>
      <c r="L1153" s="170">
        <f>Tabela10[[#This Row],[DIFERENÇA M²]]/Tabela10[[#This Row],[M² Da chapa]]</f>
        <v/>
      </c>
    </row>
    <row r="1154">
      <c r="A1154" s="6" t="n">
        <v>46247</v>
      </c>
      <c r="B1154" s="8" t="inlineStr">
        <is>
          <t>N2609802</t>
        </is>
      </c>
      <c r="C1154" s="168">
        <f>VLOOKUP(LEFT(B1154,1),Tabela5[],2,0)</f>
        <v/>
      </c>
      <c r="D1154" s="57" t="inlineStr">
        <is>
          <t>MDF - 15MM</t>
        </is>
      </c>
      <c r="E1154" s="169">
        <f>VLOOKUP(Tabela10[[#This Row],[Tipo de Chapa]],Tabela11[],2,FALSE)</f>
        <v/>
      </c>
      <c r="F1154" s="151" t="n">
        <v>38</v>
      </c>
      <c r="G1154" s="152" t="n">
        <v>0.0542</v>
      </c>
      <c r="H1154" s="170">
        <f>Tabela10[[#This Row],[M² Da chapa]]*Tabela10[[#This Row],[Qtde Chapas
Liberadas]]</f>
        <v/>
      </c>
      <c r="J1154" s="59">
        <f>Tabela10[[#This Row],[ERP]]/Tabela10[[#This Row],[M² Da chapa]]</f>
        <v/>
      </c>
      <c r="K1154" s="170">
        <f>Tabela10[[#This Row],[M² CHAPAS]]-Tabela10[[#This Row],[ERP]]</f>
        <v/>
      </c>
      <c r="L1154" s="170">
        <f>Tabela10[[#This Row],[DIFERENÇA M²]]/Tabela10[[#This Row],[M² Da chapa]]</f>
        <v/>
      </c>
    </row>
    <row r="1155">
      <c r="A1155" s="6" t="n">
        <v>46247</v>
      </c>
      <c r="B1155" s="8" t="inlineStr">
        <is>
          <t>N2609803</t>
        </is>
      </c>
      <c r="C1155" s="168">
        <f>VLOOKUP(LEFT(B1155,1),Tabela5[],2,0)</f>
        <v/>
      </c>
      <c r="D1155" s="57" t="inlineStr">
        <is>
          <t>MDF - 15MM</t>
        </is>
      </c>
      <c r="E1155" s="169">
        <f>VLOOKUP(Tabela10[[#This Row],[Tipo de Chapa]],Tabela11[],2,FALSE)</f>
        <v/>
      </c>
      <c r="F1155" s="151" t="n">
        <v>41</v>
      </c>
      <c r="G1155" s="152" t="n">
        <v>0.0645</v>
      </c>
      <c r="H1155" s="170">
        <f>Tabela10[[#This Row],[M² Da chapa]]*Tabela10[[#This Row],[Qtde Chapas
Liberadas]]</f>
        <v/>
      </c>
      <c r="J1155" s="59">
        <f>Tabela10[[#This Row],[ERP]]/Tabela10[[#This Row],[M² Da chapa]]</f>
        <v/>
      </c>
      <c r="K1155" s="170">
        <f>Tabela10[[#This Row],[M² CHAPAS]]-Tabela10[[#This Row],[ERP]]</f>
        <v/>
      </c>
      <c r="L1155" s="170">
        <f>Tabela10[[#This Row],[DIFERENÇA M²]]/Tabela10[[#This Row],[M² Da chapa]]</f>
        <v/>
      </c>
    </row>
    <row r="1156">
      <c r="A1156" s="6" t="n">
        <v>46248</v>
      </c>
      <c r="B1156" s="8" t="inlineStr">
        <is>
          <t>N2609703</t>
        </is>
      </c>
      <c r="C1156" s="168">
        <f>VLOOKUP(LEFT(B1156,1),Tabela5[],2,0)</f>
        <v/>
      </c>
      <c r="D1156" s="57" t="inlineStr">
        <is>
          <t>MDF - 25MM 2750x2200</t>
        </is>
      </c>
      <c r="E1156" s="169">
        <f>VLOOKUP(Tabela10[[#This Row],[Tipo de Chapa]],Tabela11[],2,FALSE)</f>
        <v/>
      </c>
      <c r="F1156" s="151" t="n">
        <v>25</v>
      </c>
      <c r="G1156" s="152" t="n">
        <v>0.06370000000000001</v>
      </c>
      <c r="H1156" s="170">
        <f>Tabela10[[#This Row],[M² Da chapa]]*Tabela10[[#This Row],[Qtde Chapas
Liberadas]]</f>
        <v/>
      </c>
      <c r="J1156" s="59">
        <f>Tabela10[[#This Row],[ERP]]/Tabela10[[#This Row],[M² Da chapa]]</f>
        <v/>
      </c>
      <c r="K1156" s="170">
        <f>Tabela10[[#This Row],[M² CHAPAS]]-Tabela10[[#This Row],[ERP]]</f>
        <v/>
      </c>
      <c r="L1156" s="170">
        <f>Tabela10[[#This Row],[DIFERENÇA M²]]/Tabela10[[#This Row],[M² Da chapa]]</f>
        <v/>
      </c>
    </row>
    <row r="1157">
      <c r="A1157" s="6" t="n">
        <v>46248</v>
      </c>
      <c r="B1157" s="8" t="inlineStr">
        <is>
          <t>N2610002</t>
        </is>
      </c>
      <c r="C1157" s="168">
        <f>VLOOKUP(LEFT(B1157,1),Tabela5[],2,0)</f>
        <v/>
      </c>
      <c r="D1157" s="57" t="inlineStr">
        <is>
          <t>MDF - 25MM 2750x2200</t>
        </is>
      </c>
      <c r="E1157" s="169">
        <f>VLOOKUP(Tabela10[[#This Row],[Tipo de Chapa]],Tabela11[],2,FALSE)</f>
        <v/>
      </c>
      <c r="F1157" s="151" t="n">
        <v>33</v>
      </c>
      <c r="G1157" s="152" t="n">
        <v>0.06370000000000001</v>
      </c>
      <c r="H1157" s="170">
        <f>Tabela10[[#This Row],[M² Da chapa]]*Tabela10[[#This Row],[Qtde Chapas
Liberadas]]</f>
        <v/>
      </c>
      <c r="J1157" s="59">
        <f>Tabela10[[#This Row],[ERP]]/Tabela10[[#This Row],[M² Da chapa]]</f>
        <v/>
      </c>
      <c r="K1157" s="170">
        <f>Tabela10[[#This Row],[M² CHAPAS]]-Tabela10[[#This Row],[ERP]]</f>
        <v/>
      </c>
      <c r="L1157" s="170">
        <f>Tabela10[[#This Row],[DIFERENÇA M²]]/Tabela10[[#This Row],[M² Da chapa]]</f>
        <v/>
      </c>
    </row>
    <row r="1158" hidden="1" ht="43.2" customHeight="1">
      <c r="A1158" s="6" t="n">
        <v>46248</v>
      </c>
      <c r="B1158" s="8" t="inlineStr">
        <is>
          <t>M2604306 | M2604304 | M2604303 | M2604305 | M2604313 | M2604312 | M2604310 | M2604311 | M2604309</t>
        </is>
      </c>
      <c r="C1158" s="168">
        <f>VLOOKUP(LEFT(B1158,1),Tabela5[],2,0)</f>
        <v/>
      </c>
      <c r="D1158" s="57" t="inlineStr">
        <is>
          <t>EUCADUR NT - 2,5MM</t>
        </is>
      </c>
      <c r="E1158" s="169">
        <f>VLOOKUP(Tabela10[[#This Row],[Tipo de Chapa]],Tabela11[],2,FALSE)</f>
        <v/>
      </c>
      <c r="F1158" s="151" t="n">
        <v>203</v>
      </c>
      <c r="G1158" s="152" t="n">
        <v>0.0689</v>
      </c>
      <c r="H1158" s="170">
        <f>Tabela10[[#This Row],[M² Da chapa]]*Tabela10[[#This Row],[Qtde Chapas
Liberadas]]</f>
        <v/>
      </c>
      <c r="J1158" s="59">
        <f>Tabela10[[#This Row],[ERP]]/Tabela10[[#This Row],[M² Da chapa]]</f>
        <v/>
      </c>
      <c r="K1158" s="170">
        <f>Tabela10[[#This Row],[M² CHAPAS]]-Tabela10[[#This Row],[ERP]]</f>
        <v/>
      </c>
      <c r="L1158" s="170">
        <f>Tabela10[[#This Row],[DIFERENÇA M²]]/Tabela10[[#This Row],[M² Da chapa]]</f>
        <v/>
      </c>
    </row>
    <row r="1159">
      <c r="A1159" s="6" t="n">
        <v>46248</v>
      </c>
      <c r="B1159" s="8" t="inlineStr">
        <is>
          <t>N2609901</t>
        </is>
      </c>
      <c r="C1159" s="168">
        <f>VLOOKUP(LEFT(B1159,1),Tabela5[],2,0)</f>
        <v/>
      </c>
      <c r="D1159" s="57" t="inlineStr">
        <is>
          <t>MDF - 15MM</t>
        </is>
      </c>
      <c r="E1159" s="169">
        <f>VLOOKUP(Tabela10[[#This Row],[Tipo de Chapa]],Tabela11[],2,FALSE)</f>
        <v/>
      </c>
      <c r="F1159" s="151" t="n">
        <v>50</v>
      </c>
      <c r="G1159" s="152" t="n">
        <v>0.0518</v>
      </c>
      <c r="H1159" s="170">
        <f>Tabela10[[#This Row],[M² Da chapa]]*Tabela10[[#This Row],[Qtde Chapas
Liberadas]]</f>
        <v/>
      </c>
      <c r="J1159" s="59">
        <f>Tabela10[[#This Row],[ERP]]/Tabela10[[#This Row],[M² Da chapa]]</f>
        <v/>
      </c>
      <c r="K1159" s="170">
        <f>Tabela10[[#This Row],[M² CHAPAS]]-Tabela10[[#This Row],[ERP]]</f>
        <v/>
      </c>
      <c r="L1159" s="170">
        <f>Tabela10[[#This Row],[DIFERENÇA M²]]/Tabela10[[#This Row],[M² Da chapa]]</f>
        <v/>
      </c>
    </row>
    <row r="1160">
      <c r="A1160" s="6" t="n">
        <v>46248</v>
      </c>
      <c r="B1160" s="8" t="inlineStr">
        <is>
          <t>N2610002</t>
        </is>
      </c>
      <c r="C1160" s="168">
        <f>VLOOKUP(LEFT(B1160,1),Tabela5[],2,0)</f>
        <v/>
      </c>
      <c r="D1160" s="57" t="inlineStr">
        <is>
          <t>MDF - 15MM</t>
        </is>
      </c>
      <c r="E1160" s="169">
        <f>VLOOKUP(Tabela10[[#This Row],[Tipo de Chapa]],Tabela11[],2,FALSE)</f>
        <v/>
      </c>
      <c r="F1160" s="151" t="n">
        <v>109</v>
      </c>
      <c r="G1160" s="152" t="n">
        <v>0.0536</v>
      </c>
      <c r="H1160" s="170">
        <f>Tabela10[[#This Row],[M² Da chapa]]*Tabela10[[#This Row],[Qtde Chapas
Liberadas]]</f>
        <v/>
      </c>
      <c r="J1160" s="59">
        <f>Tabela10[[#This Row],[ERP]]/Tabela10[[#This Row],[M² Da chapa]]</f>
        <v/>
      </c>
      <c r="K1160" s="170">
        <f>Tabela10[[#This Row],[M² CHAPAS]]-Tabela10[[#This Row],[ERP]]</f>
        <v/>
      </c>
      <c r="L1160" s="170">
        <f>Tabela10[[#This Row],[DIFERENÇA M²]]/Tabela10[[#This Row],[M² Da chapa]]</f>
        <v/>
      </c>
    </row>
    <row r="1161">
      <c r="A1161" s="6" t="n">
        <v>46248</v>
      </c>
      <c r="B1161" s="8" t="inlineStr">
        <is>
          <t>N2610003</t>
        </is>
      </c>
      <c r="C1161" s="168">
        <f>VLOOKUP(LEFT(B1161,1),Tabela5[],2,0)</f>
        <v/>
      </c>
      <c r="D1161" s="57" t="inlineStr">
        <is>
          <t>MDF - 15MM</t>
        </is>
      </c>
      <c r="E1161" s="169">
        <f>VLOOKUP(Tabela10[[#This Row],[Tipo de Chapa]],Tabela11[],2,FALSE)</f>
        <v/>
      </c>
      <c r="F1161" s="151" t="n">
        <v>105</v>
      </c>
      <c r="G1161" s="152" t="n">
        <v>0.0506</v>
      </c>
      <c r="H1161" s="170">
        <f>Tabela10[[#This Row],[M² Da chapa]]*Tabela10[[#This Row],[Qtde Chapas
Liberadas]]</f>
        <v/>
      </c>
      <c r="J1161" s="59">
        <f>Tabela10[[#This Row],[ERP]]/Tabela10[[#This Row],[M² Da chapa]]</f>
        <v/>
      </c>
      <c r="K1161" s="170">
        <f>Tabela10[[#This Row],[M² CHAPAS]]-Tabela10[[#This Row],[ERP]]</f>
        <v/>
      </c>
      <c r="L1161" s="170">
        <f>Tabela10[[#This Row],[DIFERENÇA M²]]/Tabela10[[#This Row],[M² Da chapa]]</f>
        <v/>
      </c>
    </row>
    <row r="1162">
      <c r="A1162" s="6" t="n">
        <v>46248</v>
      </c>
      <c r="B1162" s="8" t="inlineStr">
        <is>
          <t>N2610001</t>
        </is>
      </c>
      <c r="C1162" s="168">
        <f>VLOOKUP(LEFT(B1162,1),Tabela5[],2,0)</f>
        <v/>
      </c>
      <c r="D1162" s="57" t="inlineStr">
        <is>
          <t>MDF - 15MM</t>
        </is>
      </c>
      <c r="E1162" s="169">
        <f>VLOOKUP(Tabela10[[#This Row],[Tipo de Chapa]],Tabela11[],2,FALSE)</f>
        <v/>
      </c>
      <c r="F1162" s="151" t="n">
        <v>86</v>
      </c>
      <c r="G1162" s="152" t="n">
        <v>0.0581</v>
      </c>
      <c r="H1162" s="170">
        <f>Tabela10[[#This Row],[M² Da chapa]]*Tabela10[[#This Row],[Qtde Chapas
Liberadas]]</f>
        <v/>
      </c>
      <c r="J1162" s="59">
        <f>Tabela10[[#This Row],[ERP]]/Tabela10[[#This Row],[M² Da chapa]]</f>
        <v/>
      </c>
      <c r="K1162" s="170">
        <f>Tabela10[[#This Row],[M² CHAPAS]]-Tabela10[[#This Row],[ERP]]</f>
        <v/>
      </c>
      <c r="L1162" s="170">
        <f>Tabela10[[#This Row],[DIFERENÇA M²]]/Tabela10[[#This Row],[M² Da chapa]]</f>
        <v/>
      </c>
    </row>
    <row r="1163">
      <c r="A1163" s="6" t="n">
        <v>46251</v>
      </c>
      <c r="B1163" s="8" t="inlineStr">
        <is>
          <t>N26097</t>
        </is>
      </c>
      <c r="C1163" s="168">
        <f>VLOOKUP(LEFT(B1163,1),Tabela5[],2,0)</f>
        <v/>
      </c>
      <c r="D1163" s="57" t="inlineStr">
        <is>
          <t>EUCADUR NT - 2,5MM</t>
        </is>
      </c>
      <c r="E1163" s="169">
        <f>VLOOKUP(Tabela10[[#This Row],[Tipo de Chapa]],Tabela11[],2,FALSE)</f>
        <v/>
      </c>
      <c r="F1163" s="151" t="n">
        <v>98</v>
      </c>
      <c r="G1163" s="152" t="n">
        <v>0.0578</v>
      </c>
      <c r="H1163" s="170">
        <f>Tabela10[[#This Row],[M² Da chapa]]*Tabela10[[#This Row],[Qtde Chapas
Liberadas]]</f>
        <v/>
      </c>
      <c r="J1163" s="59">
        <f>Tabela10[[#This Row],[ERP]]/Tabela10[[#This Row],[M² Da chapa]]</f>
        <v/>
      </c>
      <c r="K1163" s="170">
        <f>Tabela10[[#This Row],[M² CHAPAS]]-Tabela10[[#This Row],[ERP]]</f>
        <v/>
      </c>
      <c r="L1163" s="170">
        <f>Tabela10[[#This Row],[DIFERENÇA M²]]/Tabela10[[#This Row],[M² Da chapa]]</f>
        <v/>
      </c>
    </row>
    <row r="1164">
      <c r="A1164" s="6" t="n">
        <v>46251</v>
      </c>
      <c r="B1164" s="8" t="inlineStr">
        <is>
          <t>N26097</t>
        </is>
      </c>
      <c r="C1164" s="168">
        <f>VLOOKUP(LEFT(B1164,1),Tabela5[],2,0)</f>
        <v/>
      </c>
      <c r="D1164" s="57" t="inlineStr">
        <is>
          <t>EUCADUR FRJ - 2,5MM</t>
        </is>
      </c>
      <c r="E1164" s="169">
        <f>VLOOKUP(Tabela10[[#This Row],[Tipo de Chapa]],Tabela11[],2,FALSE)</f>
        <v/>
      </c>
      <c r="F1164" s="151" t="n">
        <v>194</v>
      </c>
      <c r="G1164" s="152" t="n">
        <v>0.0618</v>
      </c>
      <c r="H1164" s="170">
        <f>Tabela10[[#This Row],[M² Da chapa]]*Tabela10[[#This Row],[Qtde Chapas
Liberadas]]</f>
        <v/>
      </c>
      <c r="J1164" s="59">
        <f>Tabela10[[#This Row],[ERP]]/Tabela10[[#This Row],[M² Da chapa]]</f>
        <v/>
      </c>
      <c r="K1164" s="170">
        <f>Tabela10[[#This Row],[M² CHAPAS]]-Tabela10[[#This Row],[ERP]]</f>
        <v/>
      </c>
      <c r="L1164" s="170">
        <f>Tabela10[[#This Row],[DIFERENÇA M²]]/Tabela10[[#This Row],[M² Da chapa]]</f>
        <v/>
      </c>
    </row>
    <row r="1165">
      <c r="A1165" s="6" t="n">
        <v>46251</v>
      </c>
      <c r="B1165" s="8" t="inlineStr">
        <is>
          <t>N2609801</t>
        </is>
      </c>
      <c r="C1165" s="168">
        <f>VLOOKUP(LEFT(B1165,1),Tabela5[],2,0)</f>
        <v/>
      </c>
      <c r="D1165" s="57" t="inlineStr">
        <is>
          <t>MDF - 25MM 2750x2200</t>
        </is>
      </c>
      <c r="E1165" s="169">
        <f>VLOOKUP(Tabela10[[#This Row],[Tipo de Chapa]],Tabela11[],2,FALSE)</f>
        <v/>
      </c>
      <c r="F1165" s="151" t="n">
        <v>18</v>
      </c>
      <c r="G1165" s="152" t="n">
        <v>0.0819</v>
      </c>
      <c r="H1165" s="170">
        <f>Tabela10[[#This Row],[M² Da chapa]]*Tabela10[[#This Row],[Qtde Chapas
Liberadas]]</f>
        <v/>
      </c>
      <c r="J1165" s="59">
        <f>Tabela10[[#This Row],[ERP]]/Tabela10[[#This Row],[M² Da chapa]]</f>
        <v/>
      </c>
      <c r="K1165" s="170">
        <f>Tabela10[[#This Row],[M² CHAPAS]]-Tabela10[[#This Row],[ERP]]</f>
        <v/>
      </c>
      <c r="L1165" s="170">
        <f>Tabela10[[#This Row],[DIFERENÇA M²]]/Tabela10[[#This Row],[M² Da chapa]]</f>
        <v/>
      </c>
    </row>
    <row r="1166">
      <c r="A1166" s="6" t="n">
        <v>46252</v>
      </c>
      <c r="B1166" s="8" t="inlineStr">
        <is>
          <t>N2610203</t>
        </is>
      </c>
      <c r="C1166" s="168">
        <f>VLOOKUP(LEFT(B1166,1),Tabela5[],2,0)</f>
        <v/>
      </c>
      <c r="D1166" s="57" t="inlineStr">
        <is>
          <t>MDF - 15MM</t>
        </is>
      </c>
      <c r="E1166" s="169">
        <f>VLOOKUP(Tabela10[[#This Row],[Tipo de Chapa]],Tabela11[],2,FALSE)</f>
        <v/>
      </c>
      <c r="F1166" s="151" t="n">
        <v>25</v>
      </c>
      <c r="G1166" s="152" t="n">
        <v>0.0527</v>
      </c>
      <c r="H1166" s="170">
        <f>Tabela10[[#This Row],[M² Da chapa]]*Tabela10[[#This Row],[Qtde Chapas
Liberadas]]</f>
        <v/>
      </c>
      <c r="J1166" s="59">
        <f>Tabela10[[#This Row],[ERP]]/Tabela10[[#This Row],[M² Da chapa]]</f>
        <v/>
      </c>
      <c r="K1166" s="170">
        <f>Tabela10[[#This Row],[M² CHAPAS]]-Tabela10[[#This Row],[ERP]]</f>
        <v/>
      </c>
      <c r="L1166" s="170">
        <f>Tabela10[[#This Row],[DIFERENÇA M²]]/Tabela10[[#This Row],[M² Da chapa]]</f>
        <v/>
      </c>
    </row>
    <row r="1167">
      <c r="A1167" s="6" t="n">
        <v>46252</v>
      </c>
      <c r="B1167" s="8" t="inlineStr">
        <is>
          <t>N2609101</t>
        </is>
      </c>
      <c r="C1167" s="168">
        <f>VLOOKUP(LEFT(B1167,1),Tabela5[],2,0)</f>
        <v/>
      </c>
      <c r="D1167" s="57" t="inlineStr">
        <is>
          <t>MDF - 15MM</t>
        </is>
      </c>
      <c r="E1167" s="169">
        <f>VLOOKUP(Tabela10[[#This Row],[Tipo de Chapa]],Tabela11[],2,FALSE)</f>
        <v/>
      </c>
      <c r="F1167" s="151" t="n">
        <v>49</v>
      </c>
      <c r="G1167" s="152" t="n">
        <v>0.0609</v>
      </c>
      <c r="H1167" s="170">
        <f>Tabela10[[#This Row],[M² Da chapa]]*Tabela10[[#This Row],[Qtde Chapas
Liberadas]]</f>
        <v/>
      </c>
      <c r="J1167" s="59">
        <f>Tabela10[[#This Row],[ERP]]/Tabela10[[#This Row],[M² Da chapa]]</f>
        <v/>
      </c>
      <c r="K1167" s="170">
        <f>Tabela10[[#This Row],[M² CHAPAS]]-Tabela10[[#This Row],[ERP]]</f>
        <v/>
      </c>
      <c r="L1167" s="170">
        <f>Tabela10[[#This Row],[DIFERENÇA M²]]/Tabela10[[#This Row],[M² Da chapa]]</f>
        <v/>
      </c>
    </row>
    <row r="1168">
      <c r="A1168" s="6" t="n">
        <v>46252</v>
      </c>
      <c r="B1168" s="8" t="inlineStr">
        <is>
          <t>N260101</t>
        </is>
      </c>
      <c r="C1168" s="168">
        <f>VLOOKUP(LEFT(B1168,1),Tabela5[],2,0)</f>
        <v/>
      </c>
      <c r="D1168" s="57" t="inlineStr">
        <is>
          <t>MDF - 15MM</t>
        </is>
      </c>
      <c r="E1168" s="169">
        <f>VLOOKUP(Tabela10[[#This Row],[Tipo de Chapa]],Tabela11[],2,FALSE)</f>
        <v/>
      </c>
      <c r="F1168" s="151" t="n">
        <v>397</v>
      </c>
      <c r="G1168" s="152" t="n">
        <v>0.0467</v>
      </c>
      <c r="H1168" s="170">
        <f>Tabela10[[#This Row],[M² Da chapa]]*Tabela10[[#This Row],[Qtde Chapas
Liberadas]]</f>
        <v/>
      </c>
      <c r="J1168" s="59">
        <f>Tabela10[[#This Row],[ERP]]/Tabela10[[#This Row],[M² Da chapa]]</f>
        <v/>
      </c>
      <c r="K1168" s="170">
        <f>Tabela10[[#This Row],[M² CHAPAS]]-Tabela10[[#This Row],[ERP]]</f>
        <v/>
      </c>
      <c r="L1168" s="170">
        <f>Tabela10[[#This Row],[DIFERENÇA M²]]/Tabela10[[#This Row],[M² Da chapa]]</f>
        <v/>
      </c>
    </row>
    <row r="1169">
      <c r="A1169" s="6" t="n">
        <v>46252</v>
      </c>
      <c r="B1169" s="90" t="inlineStr">
        <is>
          <t>N2609603</t>
        </is>
      </c>
      <c r="C1169" s="168">
        <f>VLOOKUP(LEFT(B1169,1),Tabela5[],2,0)</f>
        <v/>
      </c>
      <c r="D1169" s="57" t="inlineStr">
        <is>
          <t>TIRA 9MM - 1850X165X9</t>
        </is>
      </c>
      <c r="E1169" s="169">
        <f>VLOOKUP(Tabela10[[#This Row],[Tipo de Chapa]],Tabela11[],2,FALSE)</f>
        <v/>
      </c>
      <c r="F1169" s="151" t="n">
        <v>100</v>
      </c>
      <c r="G1169" s="152" t="n">
        <v>0.1357</v>
      </c>
      <c r="H1169" s="170">
        <f>Tabela10[[#This Row],[M² Da chapa]]*Tabela10[[#This Row],[Qtde Chapas
Liberadas]]</f>
        <v/>
      </c>
      <c r="J1169" s="59">
        <f>Tabela10[[#This Row],[ERP]]/Tabela10[[#This Row],[M² Da chapa]]</f>
        <v/>
      </c>
      <c r="K1169" s="170">
        <f>Tabela10[[#This Row],[M² CHAPAS]]-Tabela10[[#This Row],[ERP]]</f>
        <v/>
      </c>
      <c r="L1169" s="170">
        <f>Tabela10[[#This Row],[DIFERENÇA M²]]/Tabela10[[#This Row],[M² Da chapa]]</f>
        <v/>
      </c>
    </row>
    <row r="1170">
      <c r="A1170" s="6" t="n">
        <v>46252</v>
      </c>
      <c r="B1170" s="6" t="inlineStr">
        <is>
          <t>N2609802</t>
        </is>
      </c>
      <c r="C1170" s="168">
        <f>VLOOKUP(LEFT(B1170,1),Tabela5[],2,0)</f>
        <v/>
      </c>
      <c r="D1170" s="57" t="inlineStr">
        <is>
          <t>MDF - 9MM</t>
        </is>
      </c>
      <c r="E1170" s="169">
        <f>VLOOKUP(Tabela10[[#This Row],[Tipo de Chapa]],Tabela11[],2,FALSE)</f>
        <v/>
      </c>
      <c r="F1170" s="151" t="n">
        <v>6</v>
      </c>
      <c r="G1170" s="152" t="n">
        <v>0.0834</v>
      </c>
      <c r="H1170" s="170">
        <f>Tabela10[[#This Row],[M² Da chapa]]*Tabela10[[#This Row],[Qtde Chapas
Liberadas]]</f>
        <v/>
      </c>
      <c r="J1170" s="59">
        <f>Tabela10[[#This Row],[ERP]]/Tabela10[[#This Row],[M² Da chapa]]</f>
        <v/>
      </c>
      <c r="K1170" s="170">
        <f>Tabela10[[#This Row],[M² CHAPAS]]-Tabela10[[#This Row],[ERP]]</f>
        <v/>
      </c>
      <c r="L1170" s="170">
        <f>Tabela10[[#This Row],[DIFERENÇA M²]]/Tabela10[[#This Row],[M² Da chapa]]</f>
        <v/>
      </c>
    </row>
    <row r="1171">
      <c r="A1171" s="6" t="n">
        <v>46252</v>
      </c>
      <c r="B1171" s="8" t="inlineStr">
        <is>
          <t>N26098</t>
        </is>
      </c>
      <c r="C1171" s="168">
        <f>VLOOKUP(LEFT(B1171,1),Tabela5[],2,0)</f>
        <v/>
      </c>
      <c r="D1171" s="57" t="inlineStr">
        <is>
          <t>EUCADUR NT - 2,5MM</t>
        </is>
      </c>
      <c r="E1171" s="169">
        <f>VLOOKUP(Tabela10[[#This Row],[Tipo de Chapa]],Tabela11[],2,FALSE)</f>
        <v/>
      </c>
      <c r="F1171" s="151" t="n">
        <v>138</v>
      </c>
      <c r="G1171" s="152" t="n">
        <v>0.0769</v>
      </c>
      <c r="H1171" s="170">
        <f>Tabela10[[#This Row],[M² Da chapa]]*Tabela10[[#This Row],[Qtde Chapas
Liberadas]]</f>
        <v/>
      </c>
      <c r="J1171" s="59">
        <f>Tabela10[[#This Row],[ERP]]/Tabela10[[#This Row],[M² Da chapa]]</f>
        <v/>
      </c>
      <c r="K1171" s="170">
        <f>Tabela10[[#This Row],[M² CHAPAS]]-Tabela10[[#This Row],[ERP]]</f>
        <v/>
      </c>
      <c r="L1171" s="170">
        <f>Tabela10[[#This Row],[DIFERENÇA M²]]/Tabela10[[#This Row],[M² Da chapa]]</f>
        <v/>
      </c>
    </row>
    <row r="1172" hidden="1">
      <c r="A1172" s="6" t="n">
        <v>46252</v>
      </c>
      <c r="B1172" s="8" t="inlineStr">
        <is>
          <t>I26026</t>
        </is>
      </c>
      <c r="C1172" s="168">
        <f>VLOOKUP(LEFT(B1172,1),Tabela5[],2,0)</f>
        <v/>
      </c>
      <c r="D1172" s="57" t="inlineStr">
        <is>
          <t>MDF - 15MM</t>
        </is>
      </c>
      <c r="E1172" s="169">
        <f>VLOOKUP(Tabela10[[#This Row],[Tipo de Chapa]],Tabela11[],2,FALSE)</f>
        <v/>
      </c>
      <c r="F1172" s="151" t="n">
        <v>1306</v>
      </c>
      <c r="G1172" s="152" t="n">
        <v>0.06270000000000001</v>
      </c>
      <c r="H1172" s="170">
        <f>Tabela10[[#This Row],[M² Da chapa]]*Tabela10[[#This Row],[Qtde Chapas
Liberadas]]</f>
        <v/>
      </c>
      <c r="J1172" s="59">
        <f>Tabela10[[#This Row],[ERP]]/Tabela10[[#This Row],[M² Da chapa]]</f>
        <v/>
      </c>
      <c r="K1172" s="170">
        <f>Tabela10[[#This Row],[M² CHAPAS]]-Tabela10[[#This Row],[ERP]]</f>
        <v/>
      </c>
      <c r="L1172" s="170">
        <f>Tabela10[[#This Row],[DIFERENÇA M²]]/Tabela10[[#This Row],[M² Da chapa]]</f>
        <v/>
      </c>
    </row>
    <row r="1173">
      <c r="A1173" s="6" t="n">
        <v>46253</v>
      </c>
      <c r="B1173" s="8" t="inlineStr">
        <is>
          <t>N2610101</t>
        </is>
      </c>
      <c r="C1173" s="168">
        <f>VLOOKUP(LEFT(B1173,1),Tabela5[],2,0)</f>
        <v/>
      </c>
      <c r="D1173" s="57" t="inlineStr">
        <is>
          <t>MDF - 25MM 2750x2200</t>
        </is>
      </c>
      <c r="E1173" s="169">
        <f>VLOOKUP(Tabela10[[#This Row],[Tipo de Chapa]],Tabela11[],2,FALSE)</f>
        <v/>
      </c>
      <c r="F1173" s="151" t="n">
        <v>34</v>
      </c>
      <c r="G1173" s="152" t="n">
        <v>0.0204</v>
      </c>
      <c r="H1173" s="170">
        <f>Tabela10[[#This Row],[M² Da chapa]]*Tabela10[[#This Row],[Qtde Chapas
Liberadas]]</f>
        <v/>
      </c>
      <c r="J1173" s="59">
        <f>Tabela10[[#This Row],[ERP]]/Tabela10[[#This Row],[M² Da chapa]]</f>
        <v/>
      </c>
      <c r="K1173" s="170">
        <f>Tabela10[[#This Row],[M² CHAPAS]]-Tabela10[[#This Row],[ERP]]</f>
        <v/>
      </c>
      <c r="L1173" s="170">
        <f>Tabela10[[#This Row],[DIFERENÇA M²]]/Tabela10[[#This Row],[M² Da chapa]]</f>
        <v/>
      </c>
    </row>
    <row r="1174" hidden="1">
      <c r="A1174" s="6" t="n">
        <v>46253</v>
      </c>
      <c r="B1174" s="8" t="inlineStr">
        <is>
          <t>I26026</t>
        </is>
      </c>
      <c r="C1174" s="168">
        <f>VLOOKUP(LEFT(B1174,1),Tabela5[],2,0)</f>
        <v/>
      </c>
      <c r="D1174" s="57" t="inlineStr">
        <is>
          <t>EUCADUR NT - 2,5MM</t>
        </is>
      </c>
      <c r="E1174" s="169">
        <f>VLOOKUP(Tabela10[[#This Row],[Tipo de Chapa]],Tabela11[],2,FALSE)</f>
        <v/>
      </c>
      <c r="F1174" s="151" t="n">
        <v>117</v>
      </c>
      <c r="G1174" s="152" t="n">
        <v>0.0573</v>
      </c>
      <c r="H1174" s="170">
        <f>Tabela10[[#This Row],[M² Da chapa]]*Tabela10[[#This Row],[Qtde Chapas
Liberadas]]</f>
        <v/>
      </c>
      <c r="J1174" s="59">
        <f>Tabela10[[#This Row],[ERP]]/Tabela10[[#This Row],[M² Da chapa]]</f>
        <v/>
      </c>
      <c r="K1174" s="170">
        <f>Tabela10[[#This Row],[M² CHAPAS]]-Tabela10[[#This Row],[ERP]]</f>
        <v/>
      </c>
      <c r="L1174" s="170">
        <f>Tabela10[[#This Row],[DIFERENÇA M²]]/Tabela10[[#This Row],[M² Da chapa]]</f>
        <v/>
      </c>
    </row>
    <row r="1175">
      <c r="A1175" s="6" t="n">
        <v>46253</v>
      </c>
      <c r="B1175" s="8" t="inlineStr">
        <is>
          <t>N2610203</t>
        </is>
      </c>
      <c r="C1175" s="168">
        <f>VLOOKUP(LEFT(B1175,1),Tabela5[],2,0)</f>
        <v/>
      </c>
      <c r="D1175" s="57" t="inlineStr">
        <is>
          <t>MDF - 15MM</t>
        </is>
      </c>
      <c r="E1175" s="169">
        <f>VLOOKUP(Tabela10[[#This Row],[Tipo de Chapa]],Tabela11[],2,FALSE)</f>
        <v/>
      </c>
      <c r="F1175" s="147">
        <f>211+9</f>
        <v/>
      </c>
      <c r="G1175" s="152" t="n">
        <v>0.0594</v>
      </c>
      <c r="H1175" s="170">
        <f>Tabela10[[#This Row],[M² Da chapa]]*Tabela10[[#This Row],[Qtde Chapas
Liberadas]]</f>
        <v/>
      </c>
      <c r="J1175" s="59">
        <f>Tabela10[[#This Row],[ERP]]/Tabela10[[#This Row],[M² Da chapa]]</f>
        <v/>
      </c>
      <c r="K1175" s="170">
        <f>Tabela10[[#This Row],[M² CHAPAS]]-Tabela10[[#This Row],[ERP]]</f>
        <v/>
      </c>
      <c r="L1175" s="170">
        <f>Tabela10[[#This Row],[DIFERENÇA M²]]/Tabela10[[#This Row],[M² Da chapa]]</f>
        <v/>
      </c>
    </row>
    <row r="1176">
      <c r="A1176" s="6" t="n">
        <v>46253</v>
      </c>
      <c r="B1176" s="8" t="inlineStr">
        <is>
          <t>N26100</t>
        </is>
      </c>
      <c r="C1176" s="168">
        <f>VLOOKUP(LEFT(B1176,1),Tabela5[],2,0)</f>
        <v/>
      </c>
      <c r="D1176" s="57" t="inlineStr">
        <is>
          <t>EUCADUR NT - 2,5MM</t>
        </is>
      </c>
      <c r="E1176" s="169">
        <f>VLOOKUP(Tabela10[[#This Row],[Tipo de Chapa]],Tabela11[],2,FALSE)</f>
        <v/>
      </c>
      <c r="F1176" s="151" t="n">
        <v>179</v>
      </c>
      <c r="G1176" s="152" t="n">
        <v>0.0616</v>
      </c>
      <c r="H1176" s="170">
        <f>Tabela10[[#This Row],[M² Da chapa]]*Tabela10[[#This Row],[Qtde Chapas
Liberadas]]</f>
        <v/>
      </c>
      <c r="J1176" s="59">
        <f>Tabela10[[#This Row],[ERP]]/Tabela10[[#This Row],[M² Da chapa]]</f>
        <v/>
      </c>
      <c r="K1176" s="170">
        <f>Tabela10[[#This Row],[M² CHAPAS]]-Tabela10[[#This Row],[ERP]]</f>
        <v/>
      </c>
      <c r="L1176" s="170">
        <f>Tabela10[[#This Row],[DIFERENÇA M²]]/Tabela10[[#This Row],[M² Da chapa]]</f>
        <v/>
      </c>
    </row>
    <row r="1177" hidden="1">
      <c r="A1177" s="6" t="n">
        <v>46253</v>
      </c>
      <c r="B1177" s="8" t="inlineStr">
        <is>
          <t>I26026</t>
        </is>
      </c>
      <c r="C1177" s="168">
        <f>VLOOKUP(LEFT(B1177,1),Tabela5[],2,0)</f>
        <v/>
      </c>
      <c r="D1177" s="57" t="inlineStr">
        <is>
          <t>CAPA MDF - 15MM</t>
        </is>
      </c>
      <c r="E1177" s="169">
        <f>VLOOKUP(Tabela10[[#This Row],[Tipo de Chapa]],Tabela11[],2,FALSE)</f>
        <v/>
      </c>
      <c r="F1177" s="151" t="n">
        <v>15</v>
      </c>
      <c r="G1177" s="152" t="n">
        <v>0.0946</v>
      </c>
      <c r="H1177" s="170">
        <f>Tabela10[[#This Row],[M² Da chapa]]*Tabela10[[#This Row],[Qtde Chapas
Liberadas]]</f>
        <v/>
      </c>
      <c r="J1177" s="59">
        <f>Tabela10[[#This Row],[ERP]]/Tabela10[[#This Row],[M² Da chapa]]</f>
        <v/>
      </c>
      <c r="K1177" s="170">
        <f>Tabela10[[#This Row],[M² CHAPAS]]-Tabela10[[#This Row],[ERP]]</f>
        <v/>
      </c>
      <c r="L1177" s="170">
        <f>Tabela10[[#This Row],[DIFERENÇA M²]]/Tabela10[[#This Row],[M² Da chapa]]</f>
        <v/>
      </c>
    </row>
    <row r="1178" hidden="1">
      <c r="A1178" s="6" t="n">
        <v>46253</v>
      </c>
      <c r="B1178" s="8" t="inlineStr">
        <is>
          <t>I26027</t>
        </is>
      </c>
      <c r="C1178" s="168">
        <f>VLOOKUP(LEFT(B1178,1),Tabela5[],2,0)</f>
        <v/>
      </c>
      <c r="D1178" s="57" t="inlineStr">
        <is>
          <t>CAPA MDF - 15MM</t>
        </is>
      </c>
      <c r="E1178" s="169">
        <f>VLOOKUP(Tabela10[[#This Row],[Tipo de Chapa]],Tabela11[],2,FALSE)</f>
        <v/>
      </c>
      <c r="F1178" s="151" t="n">
        <v>11</v>
      </c>
      <c r="G1178" s="152" t="n">
        <v>0.0999</v>
      </c>
      <c r="H1178" s="170">
        <f>Tabela10[[#This Row],[M² Da chapa]]*Tabela10[[#This Row],[Qtde Chapas
Liberadas]]</f>
        <v/>
      </c>
      <c r="J1178" s="59">
        <f>Tabela10[[#This Row],[ERP]]/Tabela10[[#This Row],[M² Da chapa]]</f>
        <v/>
      </c>
      <c r="K1178" s="170">
        <f>Tabela10[[#This Row],[M² CHAPAS]]-Tabela10[[#This Row],[ERP]]</f>
        <v/>
      </c>
      <c r="L1178" s="170">
        <f>Tabela10[[#This Row],[DIFERENÇA M²]]/Tabela10[[#This Row],[M² Da chapa]]</f>
        <v/>
      </c>
    </row>
    <row r="1179">
      <c r="A1179" s="6" t="n">
        <v>46253</v>
      </c>
      <c r="B1179" s="8" t="inlineStr">
        <is>
          <t>N26104</t>
        </is>
      </c>
      <c r="C1179" s="168">
        <f>VLOOKUP(LEFT(B1179,1),Tabela5[],2,0)</f>
        <v/>
      </c>
      <c r="D1179" s="57" t="inlineStr">
        <is>
          <t>MDF - 15MM</t>
        </is>
      </c>
      <c r="E1179" s="169">
        <f>VLOOKUP(Tabela10[[#This Row],[Tipo de Chapa]],Tabela11[],2,FALSE)</f>
        <v/>
      </c>
      <c r="F1179" s="151" t="n">
        <v>65</v>
      </c>
      <c r="G1179" s="152" t="n">
        <v>0.0539</v>
      </c>
      <c r="H1179" s="170">
        <f>Tabela10[[#This Row],[M² Da chapa]]*Tabela10[[#This Row],[Qtde Chapas
Liberadas]]</f>
        <v/>
      </c>
      <c r="J1179" s="59">
        <f>Tabela10[[#This Row],[ERP]]/Tabela10[[#This Row],[M² Da chapa]]</f>
        <v/>
      </c>
      <c r="K1179" s="170">
        <f>Tabela10[[#This Row],[M² CHAPAS]]-Tabela10[[#This Row],[ERP]]</f>
        <v/>
      </c>
      <c r="L1179" s="170">
        <f>Tabela10[[#This Row],[DIFERENÇA M²]]/Tabela10[[#This Row],[M² Da chapa]]</f>
        <v/>
      </c>
    </row>
    <row r="1180">
      <c r="A1180" s="6" t="n">
        <v>46253</v>
      </c>
      <c r="B1180" s="8" t="inlineStr">
        <is>
          <t>N26101</t>
        </is>
      </c>
      <c r="C1180" s="168">
        <f>VLOOKUP(LEFT(B1180,1),Tabela5[],2,0)</f>
        <v/>
      </c>
      <c r="D1180" s="57" t="inlineStr">
        <is>
          <t>EUCADUR NT - 2,5MM</t>
        </is>
      </c>
      <c r="E1180" s="169">
        <f>VLOOKUP(Tabela10[[#This Row],[Tipo de Chapa]],Tabela11[],2,FALSE)</f>
        <v/>
      </c>
      <c r="F1180" s="147">
        <f>120+12</f>
        <v/>
      </c>
      <c r="G1180" s="152" t="n">
        <v>0.0664</v>
      </c>
      <c r="H1180" s="170">
        <f>Tabela10[[#This Row],[M² Da chapa]]*Tabela10[[#This Row],[Qtde Chapas
Liberadas]]</f>
        <v/>
      </c>
      <c r="J1180" s="59">
        <f>Tabela10[[#This Row],[ERP]]/Tabela10[[#This Row],[M² Da chapa]]</f>
        <v/>
      </c>
      <c r="K1180" s="170">
        <f>Tabela10[[#This Row],[M² CHAPAS]]-Tabela10[[#This Row],[ERP]]</f>
        <v/>
      </c>
      <c r="L1180" s="170">
        <f>Tabela10[[#This Row],[DIFERENÇA M²]]/Tabela10[[#This Row],[M² Da chapa]]</f>
        <v/>
      </c>
    </row>
    <row r="1181">
      <c r="A1181" s="6" t="n">
        <v>46253</v>
      </c>
      <c r="B1181" s="8" t="inlineStr">
        <is>
          <t>N2610504</t>
        </is>
      </c>
      <c r="C1181" s="168">
        <f>VLOOKUP(LEFT(B1181,1),Tabela5[],2,0)</f>
        <v/>
      </c>
      <c r="D1181" s="57" t="inlineStr">
        <is>
          <t>MDF - 15MM</t>
        </is>
      </c>
      <c r="E1181" s="169">
        <f>VLOOKUP(Tabela10[[#This Row],[Tipo de Chapa]],Tabela11[],2,FALSE)</f>
        <v/>
      </c>
      <c r="F1181" s="151" t="n">
        <v>90</v>
      </c>
      <c r="G1181" s="152" t="n">
        <v>0.0462</v>
      </c>
      <c r="H1181" s="170">
        <f>Tabela10[[#This Row],[M² Da chapa]]*Tabela10[[#This Row],[Qtde Chapas
Liberadas]]</f>
        <v/>
      </c>
      <c r="J1181" s="59">
        <f>Tabela10[[#This Row],[ERP]]/Tabela10[[#This Row],[M² Da chapa]]</f>
        <v/>
      </c>
      <c r="K1181" s="170">
        <f>Tabela10[[#This Row],[M² CHAPAS]]-Tabela10[[#This Row],[ERP]]</f>
        <v/>
      </c>
      <c r="L1181" s="170">
        <f>Tabela10[[#This Row],[DIFERENÇA M²]]/Tabela10[[#This Row],[M² Da chapa]]</f>
        <v/>
      </c>
    </row>
    <row r="1182">
      <c r="A1182" s="6" t="n">
        <v>46253</v>
      </c>
      <c r="B1182" s="8" t="inlineStr">
        <is>
          <t>N2610505</t>
        </is>
      </c>
      <c r="C1182" s="168">
        <f>VLOOKUP(LEFT(B1182,1),Tabela5[],2,0)</f>
        <v/>
      </c>
      <c r="D1182" s="57" t="inlineStr">
        <is>
          <t>MDF - 15MM</t>
        </is>
      </c>
      <c r="E1182" s="169">
        <f>VLOOKUP(Tabela10[[#This Row],[Tipo de Chapa]],Tabela11[],2,FALSE)</f>
        <v/>
      </c>
      <c r="F1182" s="151" t="n">
        <v>31</v>
      </c>
      <c r="G1182" s="152" t="n">
        <v>0.0487</v>
      </c>
      <c r="H1182" s="170">
        <f>Tabela10[[#This Row],[M² Da chapa]]*Tabela10[[#This Row],[Qtde Chapas
Liberadas]]</f>
        <v/>
      </c>
      <c r="J1182" s="59">
        <f>Tabela10[[#This Row],[ERP]]/Tabela10[[#This Row],[M² Da chapa]]</f>
        <v/>
      </c>
      <c r="K1182" s="170">
        <f>Tabela10[[#This Row],[M² CHAPAS]]-Tabela10[[#This Row],[ERP]]</f>
        <v/>
      </c>
      <c r="L1182" s="170">
        <f>Tabela10[[#This Row],[DIFERENÇA M²]]/Tabela10[[#This Row],[M² Da chapa]]</f>
        <v/>
      </c>
    </row>
    <row r="1183">
      <c r="A1183" s="6" t="n">
        <v>46253</v>
      </c>
      <c r="B1183" s="8" t="inlineStr">
        <is>
          <t>N26102</t>
        </is>
      </c>
      <c r="C1183" s="168">
        <f>VLOOKUP(LEFT(B1183,1),Tabela5[],2,0)</f>
        <v/>
      </c>
      <c r="D1183" s="57" t="inlineStr">
        <is>
          <t>EUCADUR NT - 2,5MM</t>
        </is>
      </c>
      <c r="E1183" s="169">
        <f>VLOOKUP(Tabela10[[#This Row],[Tipo de Chapa]],Tabela11[],2,FALSE)</f>
        <v/>
      </c>
      <c r="F1183" s="151" t="n">
        <v>140</v>
      </c>
      <c r="G1183" s="152" t="n">
        <v>0.0679</v>
      </c>
      <c r="H1183" s="170">
        <f>Tabela10[[#This Row],[M² Da chapa]]*Tabela10[[#This Row],[Qtde Chapas
Liberadas]]</f>
        <v/>
      </c>
      <c r="J1183" s="59">
        <f>Tabela10[[#This Row],[ERP]]/Tabela10[[#This Row],[M² Da chapa]]</f>
        <v/>
      </c>
      <c r="K1183" s="170">
        <f>Tabela10[[#This Row],[M² CHAPAS]]-Tabela10[[#This Row],[ERP]]</f>
        <v/>
      </c>
      <c r="L1183" s="170">
        <f>Tabela10[[#This Row],[DIFERENÇA M²]]/Tabela10[[#This Row],[M² Da chapa]]</f>
        <v/>
      </c>
    </row>
    <row r="1184">
      <c r="A1184" s="6" t="n">
        <v>46253</v>
      </c>
      <c r="B1184" s="8" t="inlineStr">
        <is>
          <t>N2608901</t>
        </is>
      </c>
      <c r="C1184" s="168">
        <f>VLOOKUP(LEFT(B1184,1),Tabela5[],2,0)</f>
        <v/>
      </c>
      <c r="D1184" s="57" t="inlineStr">
        <is>
          <t>CAPA MDF - 15MM</t>
        </is>
      </c>
      <c r="E1184" s="169">
        <f>VLOOKUP(Tabela10[[#This Row],[Tipo de Chapa]],Tabela11[],2,FALSE)</f>
        <v/>
      </c>
      <c r="F1184" s="151" t="n">
        <v>0</v>
      </c>
      <c r="G1184" s="152" t="n">
        <v>0</v>
      </c>
      <c r="H1184" s="170">
        <f>Tabela10[[#This Row],[M² Da chapa]]*Tabela10[[#This Row],[Qtde Chapas
Liberadas]]</f>
        <v/>
      </c>
      <c r="J1184" s="59">
        <f>Tabela10[[#This Row],[ERP]]/Tabela10[[#This Row],[M² Da chapa]]</f>
        <v/>
      </c>
      <c r="K1184" s="170">
        <f>Tabela10[[#This Row],[M² CHAPAS]]-Tabela10[[#This Row],[ERP]]</f>
        <v/>
      </c>
      <c r="L1184" s="170">
        <f>Tabela10[[#This Row],[DIFERENÇA M²]]/Tabela10[[#This Row],[M² Da chapa]]</f>
        <v/>
      </c>
    </row>
    <row r="1185" hidden="1">
      <c r="A1185" s="6" t="n">
        <v>46254</v>
      </c>
      <c r="B1185" s="8" t="inlineStr">
        <is>
          <t>I26027</t>
        </is>
      </c>
      <c r="C1185" s="168">
        <f>VLOOKUP(LEFT(B1185,1),Tabela5[],2,0)</f>
        <v/>
      </c>
      <c r="D1185" s="57" t="inlineStr">
        <is>
          <t>MDF - 9MM</t>
        </is>
      </c>
      <c r="E1185" s="169">
        <f>VLOOKUP(Tabela10[[#This Row],[Tipo de Chapa]],Tabela11[],2,FALSE)</f>
        <v/>
      </c>
      <c r="F1185" s="151">
        <f>62-3</f>
        <v/>
      </c>
      <c r="G1185" s="152" t="n">
        <v>0.0489</v>
      </c>
      <c r="H1185" s="170">
        <f>Tabela10[[#This Row],[M² Da chapa]]*Tabela10[[#This Row],[Qtde Chapas
Liberadas]]</f>
        <v/>
      </c>
      <c r="J1185" s="59">
        <f>Tabela10[[#This Row],[ERP]]/Tabela10[[#This Row],[M² Da chapa]]</f>
        <v/>
      </c>
      <c r="K1185" s="170">
        <f>Tabela10[[#This Row],[M² CHAPAS]]-Tabela10[[#This Row],[ERP]]</f>
        <v/>
      </c>
      <c r="L1185" s="170">
        <f>Tabela10[[#This Row],[DIFERENÇA M²]]/Tabela10[[#This Row],[M² Da chapa]]</f>
        <v/>
      </c>
    </row>
    <row r="1186" hidden="1">
      <c r="A1186" s="6" t="n">
        <v>46254</v>
      </c>
      <c r="B1186" s="8" t="inlineStr">
        <is>
          <t>I26026</t>
        </is>
      </c>
      <c r="C1186" s="168">
        <f>VLOOKUP(LEFT(B1186,1),Tabela5[],2,0)</f>
        <v/>
      </c>
      <c r="D1186" s="57" t="inlineStr">
        <is>
          <t>EUCADUR FRJ - 2,5MM</t>
        </is>
      </c>
      <c r="E1186" s="169">
        <f>VLOOKUP(Tabela10[[#This Row],[Tipo de Chapa]],Tabela11[],2,FALSE)</f>
        <v/>
      </c>
      <c r="F1186" s="151" t="n">
        <v>65</v>
      </c>
      <c r="G1186" s="152" t="n">
        <v>0.0675</v>
      </c>
      <c r="H1186" s="170">
        <f>Tabela10[[#This Row],[M² Da chapa]]*Tabela10[[#This Row],[Qtde Chapas
Liberadas]]</f>
        <v/>
      </c>
      <c r="J1186" s="59">
        <f>Tabela10[[#This Row],[ERP]]/Tabela10[[#This Row],[M² Da chapa]]</f>
        <v/>
      </c>
      <c r="K1186" s="170">
        <f>Tabela10[[#This Row],[M² CHAPAS]]-Tabela10[[#This Row],[ERP]]</f>
        <v/>
      </c>
      <c r="L1186" s="170">
        <f>Tabela10[[#This Row],[DIFERENÇA M²]]/Tabela10[[#This Row],[M² Da chapa]]</f>
        <v/>
      </c>
    </row>
    <row r="1187">
      <c r="A1187" s="6" t="n">
        <v>46254</v>
      </c>
      <c r="B1187" s="8" t="inlineStr">
        <is>
          <t>N2610102</t>
        </is>
      </c>
      <c r="C1187" s="168">
        <f>VLOOKUP(LEFT(B1187,1),Tabela5[],2,0)</f>
        <v/>
      </c>
      <c r="D1187" s="57" t="inlineStr">
        <is>
          <t>MDF - 9MM</t>
        </is>
      </c>
      <c r="E1187" s="169">
        <f>VLOOKUP(Tabela10[[#This Row],[Tipo de Chapa]],Tabela11[],2,FALSE)</f>
        <v/>
      </c>
      <c r="F1187" s="151" t="n">
        <v>10</v>
      </c>
      <c r="G1187" s="152" t="n">
        <v>0.0835</v>
      </c>
      <c r="H1187" s="170">
        <f>Tabela10[[#This Row],[M² Da chapa]]*Tabela10[[#This Row],[Qtde Chapas
Liberadas]]</f>
        <v/>
      </c>
      <c r="J1187" s="59">
        <f>Tabela10[[#This Row],[ERP]]/Tabela10[[#This Row],[M² Da chapa]]</f>
        <v/>
      </c>
      <c r="K1187" s="170">
        <f>Tabela10[[#This Row],[M² CHAPAS]]-Tabela10[[#This Row],[ERP]]</f>
        <v/>
      </c>
      <c r="L1187" s="170">
        <f>Tabela10[[#This Row],[DIFERENÇA M²]]/Tabela10[[#This Row],[M² Da chapa]]</f>
        <v/>
      </c>
    </row>
    <row r="1188">
      <c r="A1188" s="6" t="n">
        <v>46254</v>
      </c>
      <c r="B1188" s="8" t="inlineStr">
        <is>
          <t>N2610201</t>
        </is>
      </c>
      <c r="C1188" s="168">
        <f>VLOOKUP(LEFT(B1188,1),Tabela5[],2,0)</f>
        <v/>
      </c>
      <c r="D1188" s="57" t="inlineStr">
        <is>
          <t>MDF - 9MM</t>
        </is>
      </c>
      <c r="E1188" s="169">
        <f>VLOOKUP(Tabela10[[#This Row],[Tipo de Chapa]],Tabela11[],2,FALSE)</f>
        <v/>
      </c>
      <c r="F1188" s="151" t="n">
        <v>12</v>
      </c>
      <c r="G1188" s="152" t="n">
        <v>0.074</v>
      </c>
      <c r="H1188" s="170">
        <f>Tabela10[[#This Row],[M² Da chapa]]*Tabela10[[#This Row],[Qtde Chapas
Liberadas]]</f>
        <v/>
      </c>
      <c r="J1188" s="59">
        <f>Tabela10[[#This Row],[ERP]]/Tabela10[[#This Row],[M² Da chapa]]</f>
        <v/>
      </c>
      <c r="K1188" s="170">
        <f>Tabela10[[#This Row],[M² CHAPAS]]-Tabela10[[#This Row],[ERP]]</f>
        <v/>
      </c>
      <c r="L1188" s="170">
        <f>Tabela10[[#This Row],[DIFERENÇA M²]]/Tabela10[[#This Row],[M² Da chapa]]</f>
        <v/>
      </c>
    </row>
    <row r="1189">
      <c r="A1189" s="6" t="n">
        <v>46255</v>
      </c>
      <c r="B1189" s="8" t="inlineStr">
        <is>
          <t>N26106</t>
        </is>
      </c>
      <c r="C1189" s="168">
        <f>VLOOKUP(LEFT(B1189,1),Tabela5[],2,0)</f>
        <v/>
      </c>
      <c r="D1189" s="57" t="inlineStr">
        <is>
          <t>MDF - 9MM</t>
        </is>
      </c>
      <c r="E1189" s="169">
        <f>VLOOKUP(Tabela10[[#This Row],[Tipo de Chapa]],Tabela11[],2,FALSE)</f>
        <v/>
      </c>
      <c r="F1189" s="151" t="n">
        <v>20</v>
      </c>
      <c r="G1189" s="152" t="n">
        <v>0.0857</v>
      </c>
      <c r="H1189" s="170">
        <f>Tabela10[[#This Row],[M² Da chapa]]*Tabela10[[#This Row],[Qtde Chapas
Liberadas]]</f>
        <v/>
      </c>
      <c r="J1189" s="59">
        <f>Tabela10[[#This Row],[ERP]]/Tabela10[[#This Row],[M² Da chapa]]</f>
        <v/>
      </c>
      <c r="K1189" s="170">
        <f>Tabela10[[#This Row],[M² CHAPAS]]-Tabela10[[#This Row],[ERP]]</f>
        <v/>
      </c>
      <c r="L1189" s="170">
        <f>Tabela10[[#This Row],[DIFERENÇA M²]]/Tabela10[[#This Row],[M² Da chapa]]</f>
        <v/>
      </c>
    </row>
    <row r="1190">
      <c r="A1190" s="6" t="n">
        <v>46254</v>
      </c>
      <c r="B1190" s="8" t="inlineStr">
        <is>
          <t>N2610506 | N2610501</t>
        </is>
      </c>
      <c r="C1190" s="168">
        <f>VLOOKUP(LEFT(B1190,1),Tabela5[],2,0)</f>
        <v/>
      </c>
      <c r="D1190" s="57" t="inlineStr">
        <is>
          <t>MDF - 15MM</t>
        </is>
      </c>
      <c r="E1190" s="169">
        <f>VLOOKUP(Tabela10[[#This Row],[Tipo de Chapa]],Tabela11[],2,FALSE)</f>
        <v/>
      </c>
      <c r="F1190" s="147" t="n">
        <v>164</v>
      </c>
      <c r="G1190" s="152" t="n">
        <v>0.0584</v>
      </c>
      <c r="H1190" s="170">
        <f>Tabela10[[#This Row],[M² Da chapa]]*Tabela10[[#This Row],[Qtde Chapas
Liberadas]]</f>
        <v/>
      </c>
      <c r="J1190" s="59">
        <f>Tabela10[[#This Row],[ERP]]/Tabela10[[#This Row],[M² Da chapa]]</f>
        <v/>
      </c>
      <c r="K1190" s="170">
        <f>Tabela10[[#This Row],[M² CHAPAS]]-Tabela10[[#This Row],[ERP]]</f>
        <v/>
      </c>
      <c r="L1190" s="170">
        <f>Tabela10[[#This Row],[DIFERENÇA M²]]/Tabela10[[#This Row],[M² Da chapa]]</f>
        <v/>
      </c>
    </row>
    <row r="1191">
      <c r="A1191" s="6" t="n">
        <v>46254</v>
      </c>
      <c r="B1191" s="8" t="inlineStr">
        <is>
          <t>N2610503</t>
        </is>
      </c>
      <c r="C1191" s="168">
        <f>VLOOKUP(LEFT(B1191,1),Tabela5[],2,0)</f>
        <v/>
      </c>
      <c r="D1191" s="57" t="inlineStr">
        <is>
          <t>MDF - 25MM 2750x2200</t>
        </is>
      </c>
      <c r="E1191" s="169">
        <f>VLOOKUP(Tabela10[[#This Row],[Tipo de Chapa]],Tabela11[],2,FALSE)</f>
        <v/>
      </c>
      <c r="F1191" s="151" t="n">
        <v>41</v>
      </c>
      <c r="G1191" s="152" t="n">
        <v>0.0805</v>
      </c>
      <c r="H1191" s="170">
        <f>Tabela10[[#This Row],[M² Da chapa]]*Tabela10[[#This Row],[Qtde Chapas
Liberadas]]</f>
        <v/>
      </c>
      <c r="J1191" s="59">
        <f>Tabela10[[#This Row],[ERP]]/Tabela10[[#This Row],[M² Da chapa]]</f>
        <v/>
      </c>
      <c r="K1191" s="170">
        <f>Tabela10[[#This Row],[M² CHAPAS]]-Tabela10[[#This Row],[ERP]]</f>
        <v/>
      </c>
      <c r="L1191" s="170">
        <f>Tabela10[[#This Row],[DIFERENÇA M²]]/Tabela10[[#This Row],[M² Da chapa]]</f>
        <v/>
      </c>
    </row>
    <row r="1192">
      <c r="A1192" s="6" t="n">
        <v>46254</v>
      </c>
      <c r="B1192" s="8" t="inlineStr">
        <is>
          <t>N2610503</t>
        </is>
      </c>
      <c r="C1192" s="168">
        <f>VLOOKUP(LEFT(B1192,1),Tabela5[],2,0)</f>
        <v/>
      </c>
      <c r="D1192" s="57" t="inlineStr">
        <is>
          <t>MDF - 15MM</t>
        </is>
      </c>
      <c r="E1192" s="169">
        <f>VLOOKUP(Tabela10[[#This Row],[Tipo de Chapa]],Tabela11[],2,FALSE)</f>
        <v/>
      </c>
      <c r="F1192" s="151" t="n">
        <v>106</v>
      </c>
      <c r="G1192" s="152" t="n">
        <v>0.0462</v>
      </c>
      <c r="H1192" s="170">
        <f>Tabela10[[#This Row],[M² Da chapa]]*Tabela10[[#This Row],[Qtde Chapas
Liberadas]]</f>
        <v/>
      </c>
      <c r="J1192" s="59">
        <f>Tabela10[[#This Row],[ERP]]/Tabela10[[#This Row],[M² Da chapa]]</f>
        <v/>
      </c>
      <c r="K1192" s="170">
        <f>Tabela10[[#This Row],[M² CHAPAS]]-Tabela10[[#This Row],[ERP]]</f>
        <v/>
      </c>
      <c r="L1192" s="170">
        <f>Tabela10[[#This Row],[DIFERENÇA M²]]/Tabela10[[#This Row],[M² Da chapa]]</f>
        <v/>
      </c>
    </row>
    <row r="1193" hidden="1">
      <c r="A1193" s="6" t="n">
        <v>46254</v>
      </c>
      <c r="B1193" s="8" t="inlineStr">
        <is>
          <t>I26028</t>
        </is>
      </c>
      <c r="C1193" s="168">
        <f>VLOOKUP(LEFT(B1193,1),Tabela5[],2,0)</f>
        <v/>
      </c>
      <c r="D1193" s="57" t="inlineStr">
        <is>
          <t>MDF - 9MM</t>
        </is>
      </c>
      <c r="E1193" s="169">
        <f>VLOOKUP(Tabela10[[#This Row],[Tipo de Chapa]],Tabela11[],2,FALSE)</f>
        <v/>
      </c>
      <c r="F1193" s="151" t="n">
        <v>56</v>
      </c>
      <c r="G1193" s="152" t="n">
        <v>0.0377</v>
      </c>
      <c r="H1193" s="170">
        <f>Tabela10[[#This Row],[M² Da chapa]]*Tabela10[[#This Row],[Qtde Chapas
Liberadas]]</f>
        <v/>
      </c>
      <c r="J1193" s="59">
        <f>Tabela10[[#This Row],[ERP]]/Tabela10[[#This Row],[M² Da chapa]]</f>
        <v/>
      </c>
      <c r="K1193" s="170">
        <f>Tabela10[[#This Row],[M² CHAPAS]]-Tabela10[[#This Row],[ERP]]</f>
        <v/>
      </c>
      <c r="L1193" s="170">
        <f>Tabela10[[#This Row],[DIFERENÇA M²]]/Tabela10[[#This Row],[M² Da chapa]]</f>
        <v/>
      </c>
    </row>
    <row r="1194" hidden="1">
      <c r="A1194" s="6" t="n">
        <v>46254</v>
      </c>
      <c r="B1194" s="8" t="inlineStr">
        <is>
          <t>I26029</t>
        </is>
      </c>
      <c r="C1194" s="168">
        <f>VLOOKUP(LEFT(B1194,1),Tabela5[],2,0)</f>
        <v/>
      </c>
      <c r="D1194" s="57" t="inlineStr">
        <is>
          <t>MDF - 9MM</t>
        </is>
      </c>
      <c r="E1194" s="169">
        <f>VLOOKUP(Tabela10[[#This Row],[Tipo de Chapa]],Tabela11[],2,FALSE)</f>
        <v/>
      </c>
      <c r="F1194" s="151" t="n">
        <v>126</v>
      </c>
      <c r="G1194" s="152" t="n">
        <v>0.0428</v>
      </c>
      <c r="H1194" s="170">
        <f>Tabela10[[#This Row],[M² Da chapa]]*Tabela10[[#This Row],[Qtde Chapas
Liberadas]]</f>
        <v/>
      </c>
      <c r="J1194" s="59">
        <f>Tabela10[[#This Row],[ERP]]/Tabela10[[#This Row],[M² Da chapa]]</f>
        <v/>
      </c>
      <c r="K1194" s="170">
        <f>Tabela10[[#This Row],[M² CHAPAS]]-Tabela10[[#This Row],[ERP]]</f>
        <v/>
      </c>
      <c r="L1194" s="170">
        <f>Tabela10[[#This Row],[DIFERENÇA M²]]/Tabela10[[#This Row],[M² Da chapa]]</f>
        <v/>
      </c>
    </row>
    <row r="1195">
      <c r="A1195" s="6" t="n">
        <v>46254</v>
      </c>
      <c r="B1195" s="8" t="inlineStr">
        <is>
          <t>N26106</t>
        </is>
      </c>
      <c r="C1195" s="168">
        <f>VLOOKUP(LEFT(B1195,1),Tabela5[],2,0)</f>
        <v/>
      </c>
      <c r="D1195" s="57" t="inlineStr">
        <is>
          <t>MDF - 15MM</t>
        </is>
      </c>
      <c r="E1195" s="169">
        <f>VLOOKUP(Tabela10[[#This Row],[Tipo de Chapa]],Tabela11[],2,FALSE)</f>
        <v/>
      </c>
      <c r="F1195" s="151" t="n">
        <v>338</v>
      </c>
      <c r="G1195" s="152" t="n">
        <v>0.05245</v>
      </c>
      <c r="H1195" s="170">
        <f>Tabela10[[#This Row],[M² Da chapa]]*Tabela10[[#This Row],[Qtde Chapas
Liberadas]]</f>
        <v/>
      </c>
      <c r="J1195" s="59">
        <f>Tabela10[[#This Row],[ERP]]/Tabela10[[#This Row],[M² Da chapa]]</f>
        <v/>
      </c>
      <c r="K1195" s="170">
        <f>Tabela10[[#This Row],[M² CHAPAS]]-Tabela10[[#This Row],[ERP]]</f>
        <v/>
      </c>
      <c r="L1195" s="170">
        <f>Tabela10[[#This Row],[DIFERENÇA M²]]/Tabela10[[#This Row],[M² Da chapa]]</f>
        <v/>
      </c>
    </row>
    <row r="1196">
      <c r="A1196" s="6" t="n">
        <v>46255</v>
      </c>
      <c r="B1196" s="8" t="inlineStr">
        <is>
          <t>N26106</t>
        </is>
      </c>
      <c r="C1196" s="168">
        <f>VLOOKUP(LEFT(B1196,1),Tabela5[],2,0)</f>
        <v/>
      </c>
      <c r="D1196" s="57" t="inlineStr">
        <is>
          <t>MDF - 25MM 2750x2100</t>
        </is>
      </c>
      <c r="E1196" s="169">
        <f>VLOOKUP(Tabela10[[#This Row],[Tipo de Chapa]],Tabela11[],2,FALSE)</f>
        <v/>
      </c>
      <c r="F1196" s="151" t="n">
        <v>66</v>
      </c>
      <c r="G1196" s="152" t="n">
        <v>0.0805</v>
      </c>
      <c r="H1196" s="170">
        <f>Tabela10[[#This Row],[M² Da chapa]]*Tabela10[[#This Row],[Qtde Chapas
Liberadas]]</f>
        <v/>
      </c>
      <c r="J1196" s="59">
        <f>Tabela10[[#This Row],[ERP]]/Tabela10[[#This Row],[M² Da chapa]]</f>
        <v/>
      </c>
      <c r="K1196" s="170">
        <f>Tabela10[[#This Row],[M² CHAPAS]]-Tabela10[[#This Row],[ERP]]</f>
        <v/>
      </c>
      <c r="L1196" s="170">
        <f>Tabela10[[#This Row],[DIFERENÇA M²]]/Tabela10[[#This Row],[M² Da chapa]]</f>
        <v/>
      </c>
    </row>
    <row r="1197">
      <c r="A1197" s="6" t="n">
        <v>46255</v>
      </c>
      <c r="B1197" s="8" t="inlineStr">
        <is>
          <t>I2602605</t>
        </is>
      </c>
      <c r="C1197" s="168">
        <f>VLOOKUP(LEFT(B1197,1),Tabela5[],2,0)</f>
        <v/>
      </c>
      <c r="D1197" s="57" t="inlineStr">
        <is>
          <t>EUCADUR NT - 2,5MM</t>
        </is>
      </c>
      <c r="E1197" s="169">
        <f>VLOOKUP(Tabela10[[#This Row],[Tipo de Chapa]],Tabela11[],2,FALSE)</f>
        <v/>
      </c>
      <c r="F1197" s="151" t="n">
        <v>13</v>
      </c>
      <c r="G1197" s="152" t="n">
        <v>0.055</v>
      </c>
      <c r="H1197" s="170">
        <f>Tabela10[[#This Row],[M² Da chapa]]*Tabela10[[#This Row],[Qtde Chapas
Liberadas]]</f>
        <v/>
      </c>
      <c r="J1197" s="59">
        <f>Tabela10[[#This Row],[ERP]]/Tabela10[[#This Row],[M² Da chapa]]</f>
        <v/>
      </c>
      <c r="K1197" s="170">
        <f>Tabela10[[#This Row],[M² CHAPAS]]-Tabela10[[#This Row],[ERP]]</f>
        <v/>
      </c>
      <c r="L1197" s="170">
        <f>Tabela10[[#This Row],[DIFERENÇA M²]]/Tabela10[[#This Row],[M² Da chapa]]</f>
        <v/>
      </c>
    </row>
    <row r="1198">
      <c r="A1198" s="6" t="n">
        <v>46255</v>
      </c>
      <c r="B1198" s="8" t="inlineStr">
        <is>
          <t>N26107</t>
        </is>
      </c>
      <c r="C1198" s="168">
        <f>VLOOKUP(LEFT(B1198,1),Tabela5[],2,0)</f>
        <v/>
      </c>
      <c r="D1198" s="57" t="inlineStr">
        <is>
          <t>MDF - 15MM</t>
        </is>
      </c>
      <c r="E1198" s="169">
        <f>VLOOKUP(Tabela10[[#This Row],[Tipo de Chapa]],Tabela11[],2,FALSE)</f>
        <v/>
      </c>
      <c r="F1198" s="151" t="n">
        <v>317</v>
      </c>
      <c r="G1198" s="152" t="n">
        <v>0.0501</v>
      </c>
      <c r="H1198" s="170">
        <f>Tabela10[[#This Row],[M² Da chapa]]*Tabela10[[#This Row],[Qtde Chapas
Liberadas]]</f>
        <v/>
      </c>
      <c r="J1198" s="59">
        <f>Tabela10[[#This Row],[ERP]]/Tabela10[[#This Row],[M² Da chapa]]</f>
        <v/>
      </c>
      <c r="K1198" s="170">
        <f>Tabela10[[#This Row],[M² CHAPAS]]-Tabela10[[#This Row],[ERP]]</f>
        <v/>
      </c>
      <c r="L1198" s="170">
        <f>Tabela10[[#This Row],[DIFERENÇA M²]]/Tabela10[[#This Row],[M² Da chapa]]</f>
        <v/>
      </c>
    </row>
    <row r="1199">
      <c r="A1199" s="6" t="n">
        <v>46257</v>
      </c>
      <c r="B1199" s="8" t="inlineStr">
        <is>
          <t>N2604801</t>
        </is>
      </c>
      <c r="C1199" s="168">
        <f>VLOOKUP(LEFT(B1199,1),Tabela5[],2,0)</f>
        <v/>
      </c>
      <c r="D1199" s="57" t="inlineStr">
        <is>
          <t>CAPA MDF - 15MM</t>
        </is>
      </c>
      <c r="E1199" s="169">
        <f>VLOOKUP(Tabela10[[#This Row],[Tipo de Chapa]],Tabela11[],2,FALSE)</f>
        <v/>
      </c>
      <c r="F1199" s="151" t="n">
        <v>45</v>
      </c>
      <c r="G1199" s="152" t="n">
        <v>0.0512</v>
      </c>
      <c r="H1199" s="170">
        <f>Tabela10[[#This Row],[M² Da chapa]]*Tabela10[[#This Row],[Qtde Chapas
Liberadas]]</f>
        <v/>
      </c>
      <c r="J1199" s="59">
        <f>Tabela10[[#This Row],[ERP]]/Tabela10[[#This Row],[M² Da chapa]]</f>
        <v/>
      </c>
      <c r="K1199" s="170">
        <f>Tabela10[[#This Row],[M² CHAPAS]]-Tabela10[[#This Row],[ERP]]</f>
        <v/>
      </c>
      <c r="L1199" s="170">
        <f>Tabela10[[#This Row],[DIFERENÇA M²]]/Tabela10[[#This Row],[M² Da chapa]]</f>
        <v/>
      </c>
    </row>
    <row r="1200">
      <c r="A1200" s="41" t="n">
        <v>46257.34194279182</v>
      </c>
      <c r="B1200" t="inlineStr">
        <is>
          <t>N26455</t>
        </is>
      </c>
      <c r="C1200" t="inlineStr">
        <is>
          <t>Nesher</t>
        </is>
      </c>
      <c r="D1200" t="inlineStr">
        <is>
          <t>MDF - 15MM</t>
        </is>
      </c>
      <c r="E1200" t="n">
        <v>6.05</v>
      </c>
      <c r="F1200" t="n">
        <v>120</v>
      </c>
      <c r="G1200" s="179" t="n">
        <v>0.0605</v>
      </c>
      <c r="H1200" t="n">
        <v>726</v>
      </c>
      <c r="J1200" s="180" t="n"/>
    </row>
  </sheetData>
  <mergeCells count="1">
    <mergeCell ref="A1:L1"/>
  </mergeCells>
  <conditionalFormatting sqref="D1:D922 D931:D1148 D1150:D1048576">
    <cfRule type="containsText" priority="17" operator="containsText" dxfId="44" text="CRÉ">
      <formula>NOT(ISERROR(SEARCH("CRÉ",D1)))</formula>
    </cfRule>
  </conditionalFormatting>
  <conditionalFormatting sqref="F387:F388">
    <cfRule type="containsText" priority="15" operator="containsText" dxfId="44" text="CRÉ">
      <formula>NOT(ISERROR(SEARCH("CRÉ",F387)))</formula>
    </cfRule>
  </conditionalFormatting>
  <conditionalFormatting sqref="F417">
    <cfRule type="containsText" priority="14" operator="containsText" dxfId="44" text="CRÉ">
      <formula>NOT(ISERROR(SEARCH("CRÉ",F417)))</formula>
    </cfRule>
  </conditionalFormatting>
  <conditionalFormatting sqref="F902">
    <cfRule type="containsText" priority="4" operator="containsText" dxfId="44" text="CRÉ">
      <formula>NOT(ISERROR(SEARCH("CRÉ",F902)))</formula>
    </cfRule>
  </conditionalFormatting>
  <conditionalFormatting sqref="G1 G3:G1048576">
    <cfRule type="cellIs" priority="5" operator="greaterThan" dxfId="7">
      <formula>0.07</formula>
    </cfRule>
  </conditionalFormatting>
  <conditionalFormatting sqref="G1 G416:G584 G586:G740 G742:G922 G932:G1048576">
    <cfRule type="cellIs" priority="27" operator="greaterThan" dxfId="7">
      <formula>7</formula>
    </cfRule>
  </conditionalFormatting>
  <conditionalFormatting sqref="G3:G414">
    <cfRule type="cellIs" priority="25" operator="greaterThan" dxfId="7">
      <formula>7</formula>
    </cfRule>
  </conditionalFormatting>
  <conditionalFormatting sqref="I419:L420">
    <cfRule type="cellIs" priority="22" operator="greaterThan" dxfId="7">
      <formula>7</formula>
    </cfRule>
  </conditionalFormatting>
  <dataValidations count="1">
    <dataValidation sqref="D3:D1199" showDropDown="0" showInputMessage="1" showErrorMessage="1" allowBlank="1" type="list">
      <formula1>INDIRECT("Tabela6[Coluna1]")</formula1>
    </dataValidation>
  </dataValidation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2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Planilha1">
    <outlinePr summaryBelow="1" summaryRight="1"/>
    <pageSetUpPr/>
  </sheetPr>
  <dimension ref="A1:C28"/>
  <sheetViews>
    <sheetView showGridLines="0" zoomScale="115" zoomScaleNormal="115" workbookViewId="0">
      <selection activeCell="A4" sqref="A3:B4"/>
    </sheetView>
  </sheetViews>
  <sheetFormatPr baseColWidth="8" defaultRowHeight="14.4"/>
  <cols>
    <col width="16.88671875" bestFit="1" customWidth="1" min="1" max="1"/>
    <col width="11.44140625" bestFit="1" customWidth="1" style="110" min="2" max="2"/>
    <col width="12.33203125" bestFit="1" customWidth="1" min="3" max="3"/>
    <col width="3.33203125" customWidth="1" min="4" max="4"/>
  </cols>
  <sheetData>
    <row r="1" customFormat="1" s="9">
      <c r="A1" s="162" t="inlineStr">
        <is>
          <t>NESHER</t>
        </is>
      </c>
    </row>
    <row r="2">
      <c r="A2" s="100" t="inlineStr">
        <is>
          <t>QTD CHAPAS</t>
        </is>
      </c>
      <c r="B2" s="109" t="inlineStr">
        <is>
          <t>PERDA</t>
        </is>
      </c>
      <c r="C2" s="102" t="inlineStr">
        <is>
          <t>PONDERADA</t>
        </is>
      </c>
    </row>
    <row r="3">
      <c r="A3" s="151" t="n">
        <v>97</v>
      </c>
      <c r="B3" s="152" t="n">
        <v>0.0386</v>
      </c>
      <c r="C3" s="103">
        <f>SUMPRODUCT(Tabela19[QTD CHAPAS],Tabela19[PERDA])/SUM(Tabela19[QTD CHAPAS])</f>
        <v/>
      </c>
    </row>
    <row r="4">
      <c r="A4" s="151" t="n">
        <v>29</v>
      </c>
      <c r="B4" s="152" t="n">
        <v>0.0567</v>
      </c>
      <c r="C4" s="1" t="n"/>
    </row>
    <row r="5">
      <c r="A5" s="132" t="n"/>
      <c r="B5" s="133" t="n"/>
      <c r="C5" s="1" t="n"/>
    </row>
    <row r="6">
      <c r="A6" s="130" t="n"/>
      <c r="B6" s="131" t="n"/>
      <c r="C6" s="1" t="n"/>
    </row>
    <row r="7">
      <c r="A7" s="132" t="n"/>
      <c r="B7" s="133" t="n"/>
      <c r="C7" s="1" t="n"/>
    </row>
    <row r="8">
      <c r="A8" s="130" t="n"/>
      <c r="B8" s="131" t="n"/>
      <c r="C8" s="1" t="n"/>
    </row>
    <row r="9">
      <c r="A9" s="132" t="n"/>
      <c r="B9" s="133" t="n"/>
      <c r="C9" s="1" t="n"/>
    </row>
    <row r="10">
      <c r="A10" s="130" t="n"/>
      <c r="B10" s="131" t="n"/>
      <c r="C10" s="1" t="n"/>
    </row>
    <row r="11">
      <c r="A11" s="132" t="n"/>
      <c r="B11" s="133" t="n"/>
    </row>
    <row r="12">
      <c r="A12" s="130" t="n"/>
      <c r="B12" s="131" t="n"/>
    </row>
    <row r="13">
      <c r="A13" s="132" t="n"/>
      <c r="B13" s="133" t="n"/>
    </row>
    <row r="14">
      <c r="A14" s="130" t="n"/>
      <c r="B14" s="131" t="n"/>
    </row>
    <row r="15">
      <c r="A15" s="132" t="n"/>
      <c r="B15" s="133" t="n"/>
    </row>
    <row r="16">
      <c r="A16" s="130" t="n"/>
      <c r="B16" s="131" t="n"/>
    </row>
    <row r="17">
      <c r="A17" s="132" t="n"/>
      <c r="B17" s="133" t="n"/>
    </row>
    <row r="18">
      <c r="A18" s="130" t="n"/>
      <c r="B18" s="131" t="n"/>
    </row>
    <row r="19">
      <c r="A19" s="132" t="n"/>
      <c r="B19" s="133" t="n"/>
    </row>
    <row r="20">
      <c r="A20" s="130" t="n"/>
      <c r="B20" s="131" t="n"/>
    </row>
    <row r="21">
      <c r="A21" s="132" t="n"/>
      <c r="B21" s="133" t="n"/>
    </row>
    <row r="22">
      <c r="A22" s="130" t="n"/>
      <c r="B22" s="131" t="n"/>
    </row>
    <row r="23">
      <c r="A23" s="132" t="n"/>
      <c r="B23" s="133" t="n"/>
    </row>
    <row r="24">
      <c r="A24" s="130" t="n"/>
      <c r="B24" s="131" t="n"/>
    </row>
    <row r="25">
      <c r="A25" s="132" t="n"/>
      <c r="B25" s="133" t="n"/>
    </row>
    <row r="26">
      <c r="A26" s="130" t="n"/>
      <c r="B26" s="131" t="n"/>
    </row>
    <row r="28">
      <c r="A28">
        <f>SUM(A3:A26)</f>
        <v/>
      </c>
    </row>
  </sheetData>
  <mergeCells count="1">
    <mergeCell ref="A1:C1"/>
  </mergeCells>
  <conditionalFormatting sqref="B3">
    <cfRule type="cellIs" priority="1" operator="greaterThan" dxfId="7">
      <formula>0.07</formula>
    </cfRule>
  </conditionalFormatting>
  <conditionalFormatting sqref="B3:B26">
    <cfRule type="cellIs" priority="2" operator="greaterThan" dxfId="7">
      <formula>7</formula>
    </cfRule>
  </conditionalFormatting>
  <conditionalFormatting sqref="B5:B26">
    <cfRule type="cellIs" priority="5" operator="greaterThan" dxfId="7">
      <formula>0.07</formula>
    </cfRule>
  </conditionalFormatting>
  <pageMargins left="0.511811024" right="0.511811024" top="0.787401575" bottom="0.787401575" header="0.31496062" footer="0.31496062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Planilha2">
    <outlinePr summaryBelow="1" summaryRight="1"/>
    <pageSetUpPr/>
  </sheetPr>
  <dimension ref="A1:H17"/>
  <sheetViews>
    <sheetView zoomScale="115" zoomScaleNormal="115" workbookViewId="0">
      <selection activeCell="G29" sqref="G29"/>
    </sheetView>
  </sheetViews>
  <sheetFormatPr baseColWidth="8" defaultColWidth="9.109375" defaultRowHeight="14.4"/>
  <cols>
    <col width="26.33203125" bestFit="1" customWidth="1" style="78" min="1" max="1"/>
    <col width="14.6640625" bestFit="1" customWidth="1" style="170" min="2" max="2"/>
    <col width="13.44140625" bestFit="1" customWidth="1" style="170" min="3" max="3"/>
    <col width="9.33203125" bestFit="1" customWidth="1" style="170" min="4" max="4"/>
    <col width="9.44140625" bestFit="1" customWidth="1" style="170" min="5" max="5"/>
    <col width="1.109375" customWidth="1" style="170" min="6" max="6"/>
    <col width="23.33203125" bestFit="1" customWidth="1" style="170" min="7" max="7"/>
    <col width="6" bestFit="1" customWidth="1" style="170" min="8" max="8"/>
    <col width="9.109375" customWidth="1" style="170" min="9" max="16384"/>
  </cols>
  <sheetData>
    <row r="1">
      <c r="A1" s="181" t="n">
        <v>2025</v>
      </c>
      <c r="E1" s="182" t="n"/>
      <c r="G1" s="85" t="inlineStr">
        <is>
          <t>M² CHAPA 2750X2200X25</t>
        </is>
      </c>
      <c r="H1" s="85">
        <f>2.75*2.2</f>
        <v/>
      </c>
    </row>
    <row r="2">
      <c r="A2" s="79" t="inlineStr">
        <is>
          <t>PRODUTO</t>
        </is>
      </c>
      <c r="B2" s="79" t="inlineStr">
        <is>
          <t>CHAPA</t>
        </is>
      </c>
      <c r="C2" s="79" t="inlineStr">
        <is>
          <t xml:space="preserve">PEÇA </t>
        </is>
      </c>
      <c r="D2" s="79" t="inlineStr">
        <is>
          <t>PERDA %</t>
        </is>
      </c>
      <c r="E2" s="79" t="inlineStr">
        <is>
          <t>PERDA R$</t>
        </is>
      </c>
      <c r="G2" s="86" t="inlineStr">
        <is>
          <t>M² CHAPA 2750X2100X25</t>
        </is>
      </c>
      <c r="H2" s="85">
        <f>2.75*2.1</f>
        <v/>
      </c>
    </row>
    <row r="3" ht="28.8" customHeight="1">
      <c r="A3" s="80" t="inlineStr">
        <is>
          <t>KIT NOBREZA 160 V01
KIT REALEZA 160 V01</t>
        </is>
      </c>
      <c r="B3" s="82" t="inlineStr">
        <is>
          <t>2750X2100X25</t>
        </is>
      </c>
      <c r="C3" s="62" t="inlineStr">
        <is>
          <t>1599X448X25</t>
        </is>
      </c>
      <c r="D3" s="83" t="n">
        <v>8.01</v>
      </c>
      <c r="E3" s="87">
        <f>$H$2*$H$4*(D3/100)</f>
        <v/>
      </c>
    </row>
    <row r="4">
      <c r="A4" s="81" t="inlineStr">
        <is>
          <t>TAMPO DE MESA DONNA</t>
        </is>
      </c>
      <c r="B4" s="62" t="inlineStr">
        <is>
          <t>2750X2200X25</t>
        </is>
      </c>
      <c r="C4" s="62" t="inlineStr">
        <is>
          <t>1202X902X25</t>
        </is>
      </c>
      <c r="D4" s="83" t="n">
        <v>10.4</v>
      </c>
      <c r="E4" s="87">
        <f>$H$1*$H$4*(D4/100)</f>
        <v/>
      </c>
      <c r="G4" s="88" t="inlineStr">
        <is>
          <t>PREÇO M² - R$</t>
        </is>
      </c>
      <c r="H4" s="85" t="n">
        <v>41.15</v>
      </c>
    </row>
    <row r="5">
      <c r="A5" s="81" t="inlineStr">
        <is>
          <t>TAMPO DE MESA MONALISA</t>
        </is>
      </c>
      <c r="B5" s="62" t="inlineStr">
        <is>
          <t>2750X2100X25</t>
        </is>
      </c>
      <c r="C5" s="62" t="inlineStr">
        <is>
          <t>1602X902X25</t>
        </is>
      </c>
      <c r="D5" s="83" t="n">
        <v>7.84</v>
      </c>
      <c r="E5" s="87">
        <f>$H$2*$H$4*(D5/100)</f>
        <v/>
      </c>
    </row>
    <row r="7">
      <c r="A7" s="163" t="n">
        <v>2026</v>
      </c>
      <c r="B7" s="183" t="n"/>
      <c r="C7" s="183" t="n"/>
      <c r="D7" s="183" t="n"/>
      <c r="E7" s="183" t="n"/>
    </row>
    <row r="8">
      <c r="A8" s="79" t="inlineStr">
        <is>
          <t>PRODUTO</t>
        </is>
      </c>
      <c r="B8" s="79" t="inlineStr">
        <is>
          <t>CHAPA</t>
        </is>
      </c>
      <c r="C8" s="79" t="inlineStr">
        <is>
          <t xml:space="preserve">PEÇA </t>
        </is>
      </c>
      <c r="D8" s="79" t="inlineStr">
        <is>
          <t>PERDA  %</t>
        </is>
      </c>
      <c r="E8" s="79" t="inlineStr">
        <is>
          <t>PERDA R$</t>
        </is>
      </c>
    </row>
    <row r="9" ht="28.8" customHeight="1">
      <c r="A9" s="80" t="inlineStr">
        <is>
          <t>KIT NOBREZA 160 V01
KIT REALEZA 160 V01</t>
        </is>
      </c>
      <c r="B9" s="82" t="inlineStr">
        <is>
          <t>2750X2100X25</t>
        </is>
      </c>
      <c r="C9" s="62" t="inlineStr">
        <is>
          <t>1599X448X25</t>
        </is>
      </c>
      <c r="D9" s="84" t="n">
        <v>4.38</v>
      </c>
      <c r="E9" s="87">
        <f>$H$2*$H$4*(D9/100)</f>
        <v/>
      </c>
    </row>
    <row r="10">
      <c r="A10" s="81" t="inlineStr">
        <is>
          <t>TAMPO DE MESA DONNA</t>
        </is>
      </c>
      <c r="B10" s="62" t="inlineStr">
        <is>
          <t>2750X2100X25</t>
        </is>
      </c>
      <c r="C10" s="62" t="inlineStr">
        <is>
          <t>1202X902X25</t>
        </is>
      </c>
      <c r="D10" s="84" t="n">
        <v>6.04</v>
      </c>
      <c r="E10" s="87">
        <f>$H$2*$H$4*(D10/100)</f>
        <v/>
      </c>
    </row>
    <row r="11">
      <c r="A11" s="81" t="inlineStr">
        <is>
          <t>TAMPO DE MESA MONALISA</t>
        </is>
      </c>
      <c r="B11" s="62" t="inlineStr">
        <is>
          <t>2750X2100X25</t>
        </is>
      </c>
      <c r="C11" s="62" t="inlineStr">
        <is>
          <t>1602X902X25</t>
        </is>
      </c>
      <c r="D11" s="84" t="n">
        <v>4.17</v>
      </c>
      <c r="E11" s="87">
        <f>$H$2*$H$4*(D11/100)</f>
        <v/>
      </c>
    </row>
    <row r="13">
      <c r="A13" s="163" t="inlineStr">
        <is>
          <t>DIFERENÇA EM R$ - 2025/2026</t>
        </is>
      </c>
      <c r="B13" s="183" t="n"/>
      <c r="C13" s="183" t="n"/>
      <c r="D13" s="183" t="n"/>
      <c r="E13" s="183" t="n"/>
    </row>
    <row r="14">
      <c r="A14" s="79" t="inlineStr">
        <is>
          <t>PRODUTO</t>
        </is>
      </c>
      <c r="B14" s="79" t="inlineStr">
        <is>
          <t>CHAPA</t>
        </is>
      </c>
      <c r="C14" s="79" t="inlineStr">
        <is>
          <t xml:space="preserve">PEÇA </t>
        </is>
      </c>
      <c r="D14" s="79" t="inlineStr">
        <is>
          <t>PERDA %</t>
        </is>
      </c>
      <c r="E14" s="79" t="inlineStr">
        <is>
          <t>PERDA R$</t>
        </is>
      </c>
    </row>
    <row r="15" ht="28.8" customHeight="1">
      <c r="A15" s="80" t="inlineStr">
        <is>
          <t>KIT NOBREZA 160 V01
KIT REALEZA 160 V01</t>
        </is>
      </c>
      <c r="B15" s="82" t="inlineStr">
        <is>
          <t>2750X2100X25</t>
        </is>
      </c>
      <c r="C15" s="62" t="inlineStr">
        <is>
          <t>1599X448X25</t>
        </is>
      </c>
      <c r="D15" s="84">
        <f>D3-D9</f>
        <v/>
      </c>
      <c r="E15" s="87">
        <f>E3-E9</f>
        <v/>
      </c>
    </row>
    <row r="16">
      <c r="A16" s="81" t="inlineStr">
        <is>
          <t>TAMPO DE MESA DONNA</t>
        </is>
      </c>
      <c r="B16" s="62" t="inlineStr">
        <is>
          <t>2750X2100X25</t>
        </is>
      </c>
      <c r="C16" s="62" t="inlineStr">
        <is>
          <t>1202X902X25</t>
        </is>
      </c>
      <c r="D16" s="84">
        <f>D4-D10</f>
        <v/>
      </c>
      <c r="E16" s="87">
        <f>E4-E10</f>
        <v/>
      </c>
    </row>
    <row r="17">
      <c r="A17" s="81" t="inlineStr">
        <is>
          <t>TAMPO DE MESA MONALISA</t>
        </is>
      </c>
      <c r="B17" s="62" t="inlineStr">
        <is>
          <t>2750X2100X25</t>
        </is>
      </c>
      <c r="C17" s="62" t="inlineStr">
        <is>
          <t>1602X902X25</t>
        </is>
      </c>
      <c r="D17" s="84">
        <f>D5-D11</f>
        <v/>
      </c>
      <c r="E17" s="87">
        <f>E5-E11</f>
        <v/>
      </c>
    </row>
  </sheetData>
  <mergeCells count="3">
    <mergeCell ref="A1:E1"/>
    <mergeCell ref="A7:E7"/>
    <mergeCell ref="A13:E13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2025-05-22T11:48:40Z</dcterms:created>
  <dcterms:modified xsi:type="dcterms:W3CDTF">2026-08-23T11:12:23Z</dcterms:modified>
  <cp:lastModifiedBy>Estevão Silva</cp:lastModifiedBy>
  <cp:lastPrinted>2026-05-05T12:22:34Z</cp:lastPrinted>
</cp:coreProperties>
</file>